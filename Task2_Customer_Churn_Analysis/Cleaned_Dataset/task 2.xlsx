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269c555675bbae/Documents/"/>
    </mc:Choice>
  </mc:AlternateContent>
  <xr:revisionPtr revIDLastSave="2" documentId="8_{E748B1DC-5E88-46D0-B0E2-2B3CA79717FE}" xr6:coauthVersionLast="47" xr6:coauthVersionMax="47" xr10:uidLastSave="{CE6FB430-2644-49F9-8907-D3359DF96D9A}"/>
  <bookViews>
    <workbookView xWindow="-120" yWindow="-120" windowWidth="29040" windowHeight="15720" xr2:uid="{AF5DE60D-1869-429A-95F0-50220A7E9BBE}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0"/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<sst xmlns="http://schemas.openxmlformats.org/spreadsheetml/2006/main" count="119756" uniqueCount="7083">
  <si>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</si>
  <si>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</si>
  <si>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</si>
  <si>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</si>
  <si>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</si>
  <si>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</si>
  <si>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</si>
  <si>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</si>
  <si>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</si>
  <si>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</si>
  <si>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</si>
  <si>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</si>
  <si>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</si>
  <si>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</si>
  <si>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</si>
  <si>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</si>
  <si>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</si>
  <si>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</si>
  <si>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</si>
  <si>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</si>
  <si>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</si>
  <si>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</si>
  <si>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</si>
  <si>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</si>
  <si>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</si>
  <si>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</si>
  <si>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</si>
  <si>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</si>
  <si>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</si>
  <si>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</si>
  <si>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</si>
  <si>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</si>
  <si>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</si>
  <si>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</si>
  <si>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</si>
  <si>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</si>
  <si>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</si>
  <si>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</si>
  <si>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</si>
  <si>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</si>
  <si>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</si>
  <si>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</si>
  <si>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</si>
  <si>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</si>
  <si>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</si>
  <si>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</si>
  <si>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</si>
  <si>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</si>
  <si>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</si>
  <si>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</si>
  <si>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</si>
  <si>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</si>
  <si>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</si>
  <si>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</si>
  <si>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</si>
  <si>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</si>
  <si>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</si>
  <si>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</si>
  <si>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</si>
  <si>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</si>
  <si>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</si>
  <si>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</si>
  <si>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</si>
  <si>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</si>
  <si>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</si>
  <si>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</si>
  <si>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</si>
  <si>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</si>
  <si>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</si>
  <si>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</si>
  <si>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</si>
  <si>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</si>
  <si>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</si>
  <si>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</si>
  <si>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</si>
  <si>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</si>
  <si>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</si>
  <si>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</si>
  <si>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</si>
  <si>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</si>
  <si>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</si>
  <si>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</si>
  <si>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</si>
  <si>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</si>
  <si>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</si>
  <si>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</si>
  <si>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</si>
  <si>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</si>
  <si>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</si>
  <si>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</si>
  <si>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</si>
  <si>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</si>
  <si>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</si>
  <si>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</si>
  <si>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</si>
  <si>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</si>
  <si>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</si>
  <si>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</si>
  <si>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</si>
  <si>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</si>
  <si>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</si>
  <si>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</si>
  <si>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</si>
  <si>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</si>
  <si>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</si>
  <si>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</si>
  <si>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</si>
  <si>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</si>
  <si>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</si>
  <si>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</si>
  <si>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</si>
  <si>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</si>
  <si>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</si>
  <si>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</si>
  <si>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</si>
  <si>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</si>
  <si>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</si>
  <si>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</si>
  <si>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</si>
  <si>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</si>
  <si>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</si>
  <si>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</si>
  <si>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</si>
  <si>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</si>
  <si>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</si>
  <si>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</si>
  <si>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</si>
  <si>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</si>
  <si>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</si>
  <si>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</si>
  <si>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</si>
  <si>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</si>
  <si>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</si>
  <si>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</si>
  <si>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</si>
  <si>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</si>
  <si>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</si>
  <si>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</si>
  <si>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</si>
  <si>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</si>
  <si>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</si>
  <si>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</si>
  <si>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</si>
  <si>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</si>
  <si>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</si>
  <si>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</si>
  <si>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</si>
  <si>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</si>
  <si>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</si>
  <si>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</si>
  <si>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</si>
  <si>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</si>
  <si>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</si>
  <si>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</si>
  <si>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</si>
  <si>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</si>
  <si>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</si>
  <si>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</si>
  <si>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</si>
  <si>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</si>
  <si>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</si>
  <si>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</si>
  <si>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</si>
  <si>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</si>
  <si>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</si>
  <si>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</si>
  <si>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</si>
  <si>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</si>
  <si>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</si>
  <si>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</si>
  <si>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</si>
  <si>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</si>
  <si>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</si>
  <si>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</si>
  <si>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</si>
  <si>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</si>
  <si>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</si>
  <si>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</si>
  <si>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</si>
  <si>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</si>
  <si>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</si>
  <si>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</si>
  <si>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</si>
  <si>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</si>
  <si>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</si>
  <si>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</si>
  <si>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</si>
  <si>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</si>
  <si>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</si>
  <si>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</si>
  <si>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</si>
  <si>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</si>
  <si>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</si>
  <si>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</si>
  <si>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</si>
  <si>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</si>
  <si>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</si>
  <si>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</si>
  <si>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</si>
  <si>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</si>
  <si>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</si>
  <si>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</si>
  <si>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</si>
  <si>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</si>
  <si>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</si>
  <si>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</si>
  <si>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</si>
  <si>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</si>
  <si>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</si>
  <si>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</si>
  <si>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</si>
  <si>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</si>
  <si>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</si>
  <si>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</si>
  <si>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</si>
  <si>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</si>
  <si>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</si>
  <si>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</si>
  <si>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</si>
  <si>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</si>
  <si>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</si>
  <si>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</si>
  <si>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</si>
  <si>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</si>
  <si>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</si>
  <si>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</si>
  <si>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</si>
  <si>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</si>
  <si>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</si>
  <si>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</si>
  <si>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</si>
  <si>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</si>
  <si>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</si>
  <si>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</si>
  <si>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</si>
  <si>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</si>
  <si>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</si>
  <si>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</si>
  <si>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</si>
  <si>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</si>
  <si>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</si>
  <si>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</si>
  <si>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</si>
  <si>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</si>
  <si>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</si>
  <si>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</si>
  <si>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</si>
  <si>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</si>
  <si>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</si>
  <si>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</si>
  <si>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</si>
  <si>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</si>
  <si>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</si>
  <si>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</si>
  <si>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</si>
  <si>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</si>
  <si>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</si>
  <si>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</si>
  <si>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</si>
  <si>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</si>
  <si>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</si>
  <si>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</si>
  <si>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</si>
  <si>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</si>
  <si>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</si>
  <si>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</si>
  <si>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</si>
  <si>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</si>
  <si>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</si>
  <si>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</si>
  <si>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</si>
  <si>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</si>
  <si>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</si>
  <si>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</si>
  <si>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</si>
  <si>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</si>
  <si>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</si>
  <si>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</si>
  <si>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</si>
  <si>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</si>
  <si>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</si>
  <si>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</si>
  <si>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</si>
  <si>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</si>
  <si>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</si>
  <si>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</si>
  <si>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</si>
  <si>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</si>
  <si>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</si>
  <si>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</si>
  <si>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</si>
  <si>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</si>
  <si>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</si>
  <si>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</si>
  <si>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</si>
  <si>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</si>
  <si>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</si>
  <si>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</si>
  <si>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</si>
  <si>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</si>
  <si>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</si>
  <si>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</si>
  <si>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</si>
  <si>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</si>
  <si>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</si>
  <si>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</si>
  <si>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</si>
  <si>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</si>
  <si>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</si>
  <si>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</si>
  <si>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</si>
  <si>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</si>
  <si>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</si>
  <si>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</si>
  <si>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</si>
  <si>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</si>
  <si>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</si>
  <si>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</si>
  <si>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</si>
  <si>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</si>
  <si>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</si>
  <si>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</si>
  <si>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</si>
  <si>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</si>
  <si>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</si>
  <si>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</si>
  <si>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</si>
  <si>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</si>
  <si>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</si>
  <si>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</si>
  <si>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</si>
  <si>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</si>
  <si>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</si>
  <si>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</si>
  <si>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</si>
  <si>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</si>
  <si>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</si>
  <si>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</si>
  <si>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</si>
  <si>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</si>
  <si>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</si>
  <si>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</si>
  <si>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</si>
  <si>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</si>
  <si>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</si>
  <si>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</si>
  <si>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</si>
  <si>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</si>
  <si>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</si>
  <si>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</si>
  <si>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</si>
  <si>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</si>
  <si>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</si>
  <si>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</si>
  <si>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</si>
  <si>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</si>
  <si>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</si>
  <si>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</si>
  <si>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</si>
  <si>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</si>
  <si>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</si>
  <si>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</si>
  <si>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</si>
  <si>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</si>
  <si>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</si>
  <si>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</si>
  <si>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</si>
  <si>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</si>
  <si>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</si>
  <si>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</si>
  <si>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</si>
  <si>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</si>
  <si>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</si>
  <si>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</si>
  <si>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</si>
  <si>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</si>
  <si>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</si>
  <si>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</si>
  <si>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</si>
  <si>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</si>
  <si>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</si>
  <si>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</si>
  <si>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</si>
  <si>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</si>
  <si>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</si>
  <si>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</si>
  <si>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</si>
  <si>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</si>
  <si>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</si>
  <si>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</si>
  <si>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</si>
  <si>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</si>
  <si>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</si>
  <si>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</si>
  <si>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</si>
  <si>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</si>
  <si>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</si>
  <si>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</si>
  <si>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</si>
  <si>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</si>
  <si>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</si>
  <si>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</si>
  <si>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</si>
  <si>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</si>
  <si>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</si>
  <si>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</si>
  <si>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</si>
  <si>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</si>
  <si>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</si>
  <si>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</si>
  <si>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</si>
  <si>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</si>
  <si>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</si>
  <si>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</si>
  <si>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</si>
  <si>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</si>
  <si>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</si>
  <si>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</si>
  <si>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</si>
  <si>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</si>
  <si>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</si>
  <si>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</si>
  <si>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</si>
  <si>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</si>
  <si>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</si>
  <si>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</si>
  <si>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</si>
  <si>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</si>
  <si>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</si>
  <si>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</si>
  <si>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</si>
  <si>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</si>
  <si>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</si>
  <si>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</si>
  <si>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</si>
  <si>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</si>
  <si>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</si>
  <si>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</si>
  <si>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</si>
  <si>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</si>
  <si>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</si>
  <si>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</si>
  <si>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</si>
  <si>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</si>
  <si>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</si>
  <si>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</si>
  <si>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</si>
  <si>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</si>
  <si>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</si>
  <si>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</si>
  <si>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</si>
  <si>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</si>
  <si>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</si>
  <si>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</si>
  <si>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</si>
  <si>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</si>
  <si>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</si>
  <si>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</si>
  <si>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</si>
  <si>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</si>
  <si>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</si>
  <si>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</si>
  <si>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</si>
  <si>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</si>
  <si>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</si>
  <si>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</si>
  <si>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</si>
  <si>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</si>
  <si>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</si>
  <si>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</si>
  <si>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</si>
  <si>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</si>
  <si>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</si>
  <si>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</si>
  <si>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</si>
  <si>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</si>
  <si>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</si>
  <si>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</si>
  <si>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</si>
  <si>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</si>
  <si>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</si>
  <si>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</si>
  <si>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</si>
  <si>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</si>
  <si>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</si>
  <si>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</si>
  <si>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</si>
  <si>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</si>
  <si>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</si>
  <si>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</si>
  <si>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</si>
  <si>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</si>
  <si>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</si>
  <si>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</si>
  <si>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</si>
  <si>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</si>
  <si>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</si>
  <si>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</si>
  <si>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</si>
  <si>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</si>
  <si>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</si>
  <si>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</si>
  <si>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</si>
  <si>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</si>
  <si>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</si>
  <si>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</si>
  <si>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</si>
  <si>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</si>
  <si>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</si>
  <si>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</si>
  <si>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</si>
  <si>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</si>
  <si>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</si>
  <si>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</si>
  <si>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</si>
  <si>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</si>
  <si>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</si>
  <si>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</si>
  <si>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</si>
  <si>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</si>
  <si>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</si>
  <si>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</si>
  <si>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</si>
  <si>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</si>
  <si>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</si>
  <si>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</si>
  <si>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</si>
  <si>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</si>
  <si>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</si>
  <si>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</si>
  <si>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</si>
  <si>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</si>
  <si>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</si>
  <si>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</si>
  <si>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</si>
  <si>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</si>
  <si>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</si>
  <si>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</si>
  <si>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</si>
  <si>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</si>
  <si>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</si>
  <si>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</si>
  <si>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</si>
  <si>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</si>
  <si>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</si>
  <si>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</si>
  <si>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</si>
  <si>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</si>
  <si>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</si>
  <si>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</si>
  <si>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</si>
  <si>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</si>
  <si>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</si>
  <si>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</si>
  <si>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</si>
  <si>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</si>
  <si>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</si>
  <si>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</si>
  <si>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</si>
  <si>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</si>
  <si>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</si>
  <si>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</si>
  <si>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</si>
  <si>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</si>
  <si>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</si>
  <si>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</si>
  <si>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</si>
  <si>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</si>
  <si>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</si>
  <si>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</si>
  <si>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</si>
  <si>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</si>
  <si>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</si>
  <si>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</si>
  <si>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</si>
  <si>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</si>
  <si>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</si>
  <si>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</si>
  <si>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</si>
  <si>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</si>
  <si>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</si>
  <si>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</si>
  <si>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</si>
  <si>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</si>
  <si>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</si>
  <si>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</si>
  <si>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</si>
  <si>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</si>
  <si>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</si>
  <si>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</si>
  <si>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</si>
  <si>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</si>
  <si>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</si>
  <si>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</si>
  <si>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</si>
  <si>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</si>
  <si>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</si>
  <si>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</si>
  <si>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</si>
  <si>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</si>
  <si>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</si>
  <si>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</si>
  <si>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</si>
  <si>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</si>
  <si>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</si>
  <si>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</si>
  <si>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</si>
  <si>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</si>
  <si>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</si>
  <si>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</si>
  <si>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</si>
  <si>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</si>
  <si>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</si>
  <si>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</si>
  <si>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</si>
  <si>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</si>
  <si>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</si>
  <si>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</si>
  <si>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</si>
  <si>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</si>
  <si>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</si>
  <si>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</si>
  <si>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</si>
  <si>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</si>
  <si>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</si>
  <si>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</si>
  <si>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</si>
  <si>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</si>
  <si>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</si>
  <si>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</si>
  <si>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</si>
  <si>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</si>
  <si>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</si>
  <si>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</si>
  <si>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</si>
  <si>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</si>
  <si>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</si>
  <si>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</si>
  <si>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</si>
  <si>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</si>
  <si>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</si>
  <si>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</si>
  <si>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</si>
  <si>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</si>
  <si>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</si>
  <si>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</si>
  <si>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</si>
  <si>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</si>
  <si>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</si>
  <si>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</si>
  <si>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</si>
  <si>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</si>
  <si>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</si>
  <si>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</si>
  <si>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</si>
  <si>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</si>
  <si>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</si>
  <si>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</si>
  <si>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</si>
  <si>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</si>
  <si>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</si>
  <si>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</si>
  <si>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</si>
  <si>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</si>
  <si>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</si>
  <si>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</si>
  <si>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</si>
  <si>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</si>
  <si>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</si>
  <si>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</si>
  <si>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</si>
  <si>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</si>
  <si>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</si>
  <si>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</si>
  <si>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</si>
  <si>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</si>
  <si>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</si>
  <si>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</si>
  <si>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</si>
  <si>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</si>
  <si>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</si>
  <si>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</si>
  <si>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</si>
  <si>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</si>
  <si>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</si>
  <si>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</si>
  <si>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</si>
  <si>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</si>
  <si>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</si>
  <si>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</si>
  <si>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</si>
  <si>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</si>
  <si>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</si>
  <si>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</si>
  <si>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</si>
  <si>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</si>
  <si>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</si>
  <si>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</si>
  <si>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</si>
  <si>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</si>
  <si>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</si>
  <si>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</si>
  <si>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</si>
  <si>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</si>
  <si>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</si>
  <si>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</si>
  <si>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</si>
  <si>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</si>
  <si>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</si>
  <si>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</si>
  <si>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</si>
  <si>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</si>
  <si>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</si>
  <si>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</si>
  <si>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</si>
  <si>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</si>
  <si>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</si>
  <si>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</si>
  <si>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</si>
  <si>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</si>
  <si>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</si>
  <si>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</si>
  <si>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</si>
  <si>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</si>
  <si>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</si>
  <si>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</si>
  <si>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</si>
  <si>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</si>
  <si>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</si>
  <si>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</si>
  <si>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</si>
  <si>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</si>
  <si>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</si>
  <si>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</si>
  <si>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</si>
  <si>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</si>
  <si>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</si>
  <si>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</si>
  <si>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</si>
  <si>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</si>
  <si>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</si>
  <si>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</si>
  <si>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</si>
  <si>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</si>
  <si>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</si>
  <si>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</si>
  <si>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</si>
  <si>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</si>
  <si>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</si>
  <si>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</si>
  <si>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</si>
  <si>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</si>
  <si>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</si>
  <si>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</si>
  <si>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</si>
  <si>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</si>
  <si>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</si>
  <si>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</si>
  <si>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</si>
  <si>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</si>
  <si>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</si>
  <si>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</si>
  <si>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</si>
  <si>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</si>
  <si>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</si>
  <si>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</si>
  <si>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</si>
  <si>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</si>
  <si>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</si>
  <si>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</si>
  <si>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</si>
  <si>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</si>
  <si>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</si>
  <si>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</si>
  <si>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</si>
  <si>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</si>
  <si>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</si>
  <si>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</si>
  <si>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</si>
  <si>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</si>
  <si>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</si>
  <si>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</si>
  <si>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</si>
  <si>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</si>
  <si>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</si>
  <si>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</si>
  <si>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</si>
  <si>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</si>
  <si>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</si>
  <si>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</si>
  <si>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</si>
  <si>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</si>
  <si>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</si>
  <si>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</si>
  <si>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</si>
  <si>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</si>
  <si>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</si>
  <si>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</si>
  <si>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</si>
  <si>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</si>
  <si>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</si>
  <si>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</si>
  <si>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</si>
  <si>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</si>
  <si>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</si>
  <si>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</si>
  <si>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</si>
  <si>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</si>
  <si>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</si>
  <si>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</si>
  <si>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</si>
  <si>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</si>
  <si>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</si>
  <si>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</si>
  <si>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</si>
  <si>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</si>
  <si>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</si>
  <si>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</si>
  <si>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</si>
  <si>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</si>
  <si>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</si>
  <si>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</si>
  <si>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</si>
  <si>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</si>
  <si>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</si>
  <si>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</si>
  <si>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</si>
  <si>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</si>
  <si>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</si>
  <si>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</si>
  <si>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</si>
  <si>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</si>
  <si>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</si>
  <si>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</si>
  <si>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</si>
  <si>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</si>
  <si>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</si>
  <si>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</si>
  <si>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</si>
  <si>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</si>
  <si>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</si>
  <si>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</si>
  <si>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</si>
  <si>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</si>
  <si>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</si>
  <si>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</si>
  <si>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</si>
  <si>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</si>
  <si>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</si>
  <si>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</si>
  <si>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</si>
  <si>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</si>
  <si>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</si>
  <si>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</si>
  <si>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</si>
  <si>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</si>
  <si>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</si>
  <si>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</si>
  <si>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</si>
  <si>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</si>
  <si>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</si>
  <si>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</si>
  <si>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</si>
  <si>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</si>
  <si>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</si>
  <si>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</si>
  <si>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</si>
  <si>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</si>
  <si>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</si>
  <si>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</si>
  <si>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</si>
  <si>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</si>
  <si>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</si>
  <si>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</si>
  <si>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</si>
  <si>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</si>
  <si>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</si>
  <si>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</si>
  <si>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</si>
  <si>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</si>
  <si>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</si>
  <si>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</si>
  <si>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</si>
  <si>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</si>
  <si>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</si>
  <si>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</si>
  <si>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</si>
  <si>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</si>
  <si>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</si>
  <si>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</si>
  <si>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</si>
  <si>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</si>
  <si>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</si>
  <si>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</si>
  <si>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</si>
  <si>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</si>
  <si>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</si>
  <si>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</si>
  <si>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</si>
  <si>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</si>
  <si>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</si>
  <si>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</si>
  <si>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</si>
  <si>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</si>
  <si>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</si>
  <si>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</si>
  <si>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</si>
  <si>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</si>
  <si>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</si>
  <si>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</si>
  <si>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</si>
  <si>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</si>
  <si>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</si>
  <si>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</si>
  <si>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</si>
  <si>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</si>
  <si>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</si>
  <si>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</si>
  <si>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</si>
  <si>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</si>
  <si>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</si>
  <si>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</si>
  <si>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</si>
  <si>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</si>
  <si>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</si>
  <si>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</si>
  <si>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</si>
  <si>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</si>
  <si>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</si>
  <si>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</si>
  <si>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</si>
  <si>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</si>
  <si>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</si>
  <si>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</si>
  <si>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</si>
  <si>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</si>
  <si>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</si>
  <si>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</si>
  <si>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</si>
  <si>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</si>
  <si>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</si>
  <si>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</si>
  <si>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</si>
  <si>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</si>
  <si>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</si>
  <si>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</si>
  <si>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</si>
  <si>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</si>
  <si>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</si>
  <si>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</si>
  <si>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</si>
  <si>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</si>
  <si>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</si>
  <si>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</si>
  <si>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</si>
  <si>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</si>
  <si>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</si>
  <si>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</si>
  <si>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</si>
  <si>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</si>
  <si>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</si>
  <si>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</si>
  <si>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</si>
  <si>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</si>
  <si>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</si>
  <si>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</si>
  <si>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</si>
  <si>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</si>
  <si>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</si>
  <si>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</si>
  <si>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</si>
  <si>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</si>
  <si>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</si>
  <si>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</si>
  <si>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</si>
  <si>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</si>
  <si>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</si>
  <si>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</si>
  <si>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</si>
  <si>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</si>
  <si>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</si>
  <si>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</si>
  <si>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</si>
  <si>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</si>
  <si>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</si>
  <si>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</si>
  <si>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</si>
  <si>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</si>
  <si>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</si>
  <si>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</si>
  <si>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</si>
  <si>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</si>
  <si>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</si>
  <si>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</si>
  <si>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</si>
  <si>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</si>
  <si>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</si>
  <si>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</si>
  <si>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</si>
  <si>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</si>
  <si>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</si>
  <si>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</si>
  <si>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</si>
  <si>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</si>
  <si>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</si>
  <si>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</si>
  <si>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</si>
  <si>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</si>
  <si>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</si>
  <si>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</si>
  <si>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</si>
  <si>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</si>
  <si>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</si>
  <si>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</si>
  <si>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</si>
  <si>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</si>
  <si>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</si>
  <si>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</si>
  <si>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</si>
  <si>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</si>
  <si>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</si>
  <si>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</si>
  <si>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</si>
  <si>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</si>
  <si>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</si>
  <si>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</si>
  <si>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</si>
  <si>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</si>
  <si>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</si>
  <si>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</si>
  <si>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</si>
  <si>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</si>
  <si>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</si>
  <si>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</si>
  <si>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</si>
  <si>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</si>
  <si>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</si>
  <si>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</si>
  <si>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</si>
  <si>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</si>
  <si>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</si>
  <si>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</si>
  <si>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</si>
  <si>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</si>
  <si>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</si>
  <si>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</si>
  <si>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</si>
  <si>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</si>
  <si>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</si>
  <si>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</si>
  <si>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</si>
  <si>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</si>
  <si>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</si>
  <si>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</si>
  <si>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</si>
  <si>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</si>
  <si>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</si>
  <si>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</si>
  <si>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</si>
  <si>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</si>
  <si>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</si>
  <si>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</si>
  <si>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</si>
  <si>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</si>
  <si>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</si>
  <si>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</si>
  <si>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</si>
  <si>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</si>
  <si>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</si>
  <si>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</si>
  <si>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</si>
  <si>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</si>
  <si>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</si>
  <si>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</si>
  <si>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</si>
  <si>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</si>
  <si>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</si>
  <si>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</si>
  <si>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</si>
  <si>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</si>
  <si>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</si>
  <si>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</si>
  <si>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</si>
  <si>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</si>
  <si>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</si>
  <si>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</si>
  <si>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</si>
  <si>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</si>
  <si>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</si>
  <si>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</si>
  <si>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</si>
  <si>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</si>
  <si>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</si>
  <si>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</si>
  <si>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</si>
  <si>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</si>
  <si>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</si>
  <si>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</si>
  <si>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</si>
  <si>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</si>
  <si>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</si>
  <si>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</si>
  <si>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</si>
  <si>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</si>
  <si>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</si>
  <si>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</si>
  <si>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</si>
  <si>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</si>
  <si>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</si>
  <si>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</si>
  <si>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</si>
  <si>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</si>
  <si>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</si>
  <si>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</si>
  <si>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</si>
  <si>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</si>
  <si>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</si>
  <si>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</si>
  <si>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</si>
  <si>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</si>
  <si>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</si>
  <si>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</si>
  <si>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</si>
  <si>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</si>
  <si>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</si>
  <si>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</si>
  <si>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</si>
  <si>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</si>
  <si>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</si>
  <si>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</si>
  <si>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</si>
  <si>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</si>
  <si>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</si>
  <si>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</si>
  <si>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</si>
  <si>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</si>
  <si>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</si>
  <si>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</si>
  <si>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</si>
  <si>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</si>
  <si>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</si>
  <si>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</si>
  <si>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</si>
  <si>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</si>
  <si>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</si>
  <si>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</si>
  <si>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</si>
  <si>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</si>
  <si>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</si>
  <si>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</si>
  <si>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</si>
  <si>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</si>
  <si>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</si>
  <si>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</si>
  <si>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</si>
  <si>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</si>
  <si>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</si>
  <si>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</si>
  <si>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</si>
  <si>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</si>
  <si>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</si>
  <si>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</si>
  <si>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</si>
  <si>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</si>
  <si>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</si>
  <si>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</si>
  <si>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</si>
  <si>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</si>
  <si>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</si>
  <si>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</si>
  <si>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</si>
  <si>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</si>
  <si>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</si>
  <si>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</si>
  <si>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</si>
  <si>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</si>
  <si>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</si>
  <si>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</si>
  <si>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</si>
  <si>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</si>
  <si>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</si>
  <si>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</si>
  <si>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</si>
  <si>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</si>
  <si>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</si>
  <si>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</si>
  <si>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</si>
  <si>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</si>
  <si>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</si>
  <si>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</si>
  <si>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</si>
  <si>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</si>
  <si>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</si>
  <si>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</si>
  <si>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</si>
  <si>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</si>
  <si>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</si>
  <si>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</si>
  <si>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</si>
  <si>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</si>
  <si>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</si>
  <si>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</si>
  <si>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</si>
  <si>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</si>
  <si>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</si>
  <si>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</si>
  <si>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</si>
  <si>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</si>
  <si>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</si>
  <si>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</si>
  <si>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</si>
  <si>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</si>
  <si>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</si>
  <si>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</si>
  <si>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</si>
  <si>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</si>
  <si>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</si>
  <si>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</si>
  <si>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</si>
  <si>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</si>
  <si>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</si>
  <si>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</si>
  <si>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</si>
  <si>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</si>
  <si>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</si>
  <si>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</si>
  <si>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</si>
  <si>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</si>
  <si>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</si>
  <si>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</si>
  <si>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</si>
  <si>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</si>
  <si>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</si>
  <si>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</si>
  <si>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</si>
  <si>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</si>
  <si>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</si>
  <si>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</si>
  <si>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</si>
  <si>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</si>
  <si>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</si>
  <si>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</si>
  <si>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</si>
  <si>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</si>
  <si>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</si>
  <si>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</si>
  <si>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</si>
  <si>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</si>
  <si>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</si>
  <si>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</si>
  <si>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</si>
  <si>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</si>
  <si>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</si>
  <si>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</si>
  <si>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</si>
  <si>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</si>
  <si>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</si>
  <si>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</si>
  <si>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</si>
  <si>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</si>
  <si>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</si>
  <si>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</si>
  <si>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</si>
  <si>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</si>
  <si>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</si>
  <si>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</si>
  <si>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</si>
  <si>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</si>
  <si>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</si>
  <si>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</si>
  <si>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</si>
  <si>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</si>
  <si>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</si>
  <si>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</si>
  <si>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</si>
  <si>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</si>
  <si>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</si>
  <si>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</si>
  <si>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</si>
  <si>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</si>
  <si>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</si>
  <si>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</si>
  <si>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</si>
  <si>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</si>
  <si>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</si>
  <si>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</si>
  <si>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</si>
  <si>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</si>
  <si>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</si>
  <si>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</si>
  <si>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</si>
  <si>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</si>
  <si>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</si>
  <si>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</si>
  <si>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</si>
  <si>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</si>
  <si>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</si>
  <si>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</si>
  <si>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</si>
  <si>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</si>
  <si>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</si>
  <si>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</si>
  <si>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</si>
  <si>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</si>
  <si>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</si>
  <si>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</si>
  <si>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</si>
  <si>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</si>
  <si>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</si>
  <si>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</si>
  <si>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</si>
  <si>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</si>
  <si>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</si>
  <si>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</si>
  <si>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</si>
  <si>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</si>
  <si>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</si>
  <si>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</si>
  <si>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</si>
  <si>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</si>
  <si>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</si>
  <si>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</si>
  <si>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</si>
  <si>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</si>
  <si>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</si>
  <si>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</si>
  <si>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</si>
  <si>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</si>
  <si>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</si>
  <si>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</si>
  <si>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</si>
  <si>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</si>
  <si>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</si>
  <si>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</si>
  <si>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</si>
  <si>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</si>
  <si>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</si>
  <si>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</si>
  <si>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</si>
  <si>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</si>
  <si>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</si>
  <si>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</si>
  <si>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</si>
  <si>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</si>
  <si>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</si>
  <si>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</si>
  <si>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</si>
  <si>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</si>
  <si>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</si>
  <si>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</si>
  <si>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</si>
  <si>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</si>
  <si>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</si>
  <si>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</si>
  <si>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</si>
  <si>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</si>
  <si>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</si>
  <si>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</si>
  <si>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</si>
  <si>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</si>
  <si>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</si>
  <si>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</si>
  <si>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</si>
  <si>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</si>
  <si>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</si>
  <si>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</si>
  <si>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</si>
  <si>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</si>
  <si>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</si>
  <si>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</si>
  <si>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</si>
  <si>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</si>
  <si>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</si>
  <si>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</si>
  <si>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</si>
  <si>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</si>
  <si>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</si>
  <si>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</si>
  <si>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</si>
  <si>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</si>
  <si>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</si>
  <si>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</si>
  <si>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</si>
  <si>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</si>
  <si>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</si>
  <si>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</si>
  <si>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</si>
  <si>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</si>
  <si>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</si>
  <si>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</si>
  <si>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</si>
  <si>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</si>
  <si>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</si>
  <si>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</si>
  <si>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</si>
  <si>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</si>
  <si>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</si>
  <si>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</si>
  <si>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</si>
  <si>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</si>
  <si>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</si>
  <si>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</si>
  <si>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</si>
  <si>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</si>
  <si>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</si>
  <si>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</si>
  <si>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</si>
  <si>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</si>
  <si>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</si>
  <si>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</si>
  <si>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</si>
  <si>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</si>
  <si>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</si>
  <si>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</si>
  <si>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</si>
  <si>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</si>
  <si>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</si>
  <si>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</si>
  <si>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</si>
  <si>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</si>
  <si>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</si>
  <si>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</si>
  <si>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</si>
  <si>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</si>
  <si>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</si>
  <si>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</si>
  <si>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</si>
  <si>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</si>
  <si>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</si>
  <si>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</si>
  <si>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</si>
  <si>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</si>
  <si>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</si>
  <si>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</si>
  <si>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</si>
  <si>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</si>
  <si>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</si>
  <si>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</si>
  <si>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</si>
  <si>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</si>
  <si>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</si>
  <si>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</si>
  <si>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</si>
  <si>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</si>
  <si>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</si>
  <si>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</si>
  <si>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</si>
  <si>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</si>
  <si>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</si>
  <si>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</si>
  <si>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</si>
  <si>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</si>
  <si>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</si>
  <si>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</si>
  <si>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</si>
  <si>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</si>
  <si>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</si>
  <si>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</si>
  <si>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</si>
  <si>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</si>
  <si>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</si>
  <si>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</si>
  <si>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</si>
  <si>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</si>
  <si>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</si>
  <si>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</si>
  <si>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</si>
  <si>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</si>
  <si>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</si>
  <si>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</si>
  <si>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</si>
  <si>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</si>
  <si>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</si>
  <si>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</si>
  <si>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</si>
  <si>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</si>
  <si>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</si>
  <si>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</si>
  <si>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</si>
  <si>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</si>
  <si>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</si>
  <si>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</si>
  <si>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</si>
  <si>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</si>
  <si>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</si>
  <si>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</si>
  <si>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</si>
  <si>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</si>
  <si>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</si>
  <si>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</si>
  <si>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</si>
  <si>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</si>
  <si>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</si>
  <si>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</si>
  <si>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</si>
  <si>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</si>
  <si>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</si>
  <si>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</si>
  <si>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</si>
  <si>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</si>
  <si>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</si>
  <si>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</si>
  <si>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</si>
  <si>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</si>
  <si>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</si>
  <si>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</si>
  <si>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</si>
  <si>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</si>
  <si>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</si>
  <si>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</si>
  <si>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</si>
  <si>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</si>
  <si>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</si>
  <si>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</si>
  <si>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</si>
  <si>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</si>
  <si>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</si>
  <si>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</si>
  <si>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</si>
  <si>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</si>
  <si>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</si>
  <si>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</si>
  <si>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</si>
  <si>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</si>
  <si>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</si>
  <si>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</si>
  <si>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</si>
  <si>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</si>
  <si>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</si>
  <si>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</si>
  <si>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</si>
  <si>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</si>
  <si>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</si>
  <si>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</si>
  <si>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</si>
  <si>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</si>
  <si>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</si>
  <si>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</si>
  <si>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</si>
  <si>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</si>
  <si>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</si>
  <si>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</si>
  <si>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</si>
  <si>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</si>
  <si>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</si>
  <si>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</si>
  <si>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</si>
  <si>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</si>
  <si>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</si>
  <si>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</si>
  <si>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</si>
  <si>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</si>
  <si>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</si>
  <si>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</si>
  <si>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</si>
  <si>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</si>
  <si>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</si>
  <si>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</si>
  <si>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</si>
  <si>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</si>
  <si>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</si>
  <si>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</si>
  <si>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</si>
  <si>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</si>
  <si>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</si>
  <si>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</si>
  <si>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</si>
  <si>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</si>
  <si>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</si>
  <si>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</si>
  <si>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</si>
  <si>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</si>
  <si>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</si>
  <si>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</si>
  <si>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</si>
  <si>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</si>
  <si>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</si>
  <si>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</si>
  <si>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</si>
  <si>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</si>
  <si>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</si>
  <si>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</si>
  <si>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</si>
  <si>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</si>
  <si>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</si>
  <si>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</si>
  <si>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</si>
  <si>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</si>
  <si>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</si>
  <si>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</si>
  <si>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</si>
  <si>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</si>
  <si>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</si>
  <si>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</si>
  <si>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</si>
  <si>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</si>
  <si>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</si>
  <si>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</si>
  <si>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</si>
  <si>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</si>
  <si>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</si>
  <si>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</si>
  <si>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</si>
  <si>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</si>
  <si>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</si>
  <si>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</si>
  <si>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</si>
  <si>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</si>
  <si>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</si>
  <si>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</si>
  <si>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</si>
  <si>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</si>
  <si>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</si>
  <si>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</si>
  <si>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</si>
  <si>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</si>
  <si>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</si>
  <si>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</si>
  <si>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</si>
  <si>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</si>
  <si>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</si>
  <si>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</si>
  <si>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</si>
  <si>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</si>
  <si>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</si>
  <si>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</si>
  <si>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</si>
  <si>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</si>
  <si>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</si>
  <si>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</si>
  <si>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</si>
  <si>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</si>
  <si>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</si>
  <si>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</si>
  <si>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</si>
  <si>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</si>
  <si>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</si>
  <si>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</si>
  <si>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</si>
  <si>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</si>
  <si>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</si>
  <si>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</si>
  <si>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</si>
  <si>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</si>
  <si>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</si>
  <si>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</si>
  <si>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</si>
  <si>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</si>
  <si>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</si>
  <si>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</si>
  <si>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</si>
  <si>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</si>
  <si>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</si>
  <si>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</si>
  <si>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</si>
  <si>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</si>
  <si>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</si>
  <si>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</si>
  <si>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</si>
  <si>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</si>
  <si>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</si>
  <si>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</si>
  <si>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</si>
  <si>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</si>
  <si>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</si>
  <si>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</si>
  <si>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</si>
  <si>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</si>
  <si>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</si>
  <si>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</si>
  <si>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</si>
  <si>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</si>
  <si>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</si>
  <si>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</si>
  <si>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</si>
  <si>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</si>
  <si>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</si>
  <si>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</si>
  <si>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</si>
  <si>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</si>
  <si>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</si>
  <si>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</si>
  <si>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</si>
  <si>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</si>
  <si>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</si>
  <si>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</si>
  <si>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</si>
  <si>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</si>
  <si>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</si>
  <si>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</si>
  <si>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</si>
  <si>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</si>
  <si>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</si>
  <si>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</si>
  <si>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</si>
  <si>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</si>
  <si>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</si>
  <si>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</si>
  <si>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</si>
  <si>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</si>
  <si>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</si>
  <si>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</si>
  <si>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</si>
  <si>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</si>
  <si>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</si>
  <si>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</si>
  <si>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</si>
  <si>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</si>
  <si>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</si>
  <si>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</si>
  <si>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</si>
  <si>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</si>
  <si>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</si>
  <si>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</si>
  <si>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</si>
  <si>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</si>
  <si>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</si>
  <si>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</si>
  <si>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</si>
  <si>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</si>
  <si>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</si>
  <si>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</si>
  <si>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</si>
  <si>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</si>
  <si>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</si>
  <si>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</si>
  <si>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</si>
  <si>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</si>
  <si>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</si>
  <si>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</si>
  <si>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</si>
  <si>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</si>
  <si>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</si>
  <si>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</si>
  <si>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</si>
  <si>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</si>
  <si>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</si>
  <si>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</si>
  <si>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</si>
  <si>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</si>
  <si>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</si>
  <si>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</si>
  <si>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</si>
  <si>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</si>
  <si>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</si>
  <si>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</si>
  <si>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</si>
  <si>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</si>
  <si>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</si>
  <si>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</si>
  <si>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</si>
  <si>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</si>
  <si>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</si>
  <si>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</si>
  <si>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</si>
  <si>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</si>
  <si>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</si>
  <si>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</si>
  <si>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</si>
  <si>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</si>
  <si>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</si>
  <si>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</si>
  <si>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</si>
  <si>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</si>
  <si>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</si>
  <si>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</si>
  <si>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</si>
  <si>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</si>
  <si>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</si>
  <si>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</si>
  <si>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</si>
  <si>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</si>
  <si>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</si>
  <si>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</si>
  <si>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</si>
  <si>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</si>
  <si>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</si>
  <si>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</si>
  <si>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</si>
  <si>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</si>
  <si>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</si>
  <si>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</si>
  <si>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</si>
  <si>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</si>
  <si>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</si>
  <si>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</si>
  <si>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</si>
  <si>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</si>
  <si>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</si>
  <si>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</si>
  <si>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</si>
  <si>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</si>
  <si>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</si>
  <si>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</si>
  <si>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</si>
  <si>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</si>
  <si>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</si>
  <si>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</si>
  <si>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</si>
  <si>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</si>
  <si>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</si>
  <si>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</si>
  <si>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</si>
  <si>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</si>
  <si>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</si>
  <si>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</si>
  <si>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</si>
  <si>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</si>
  <si>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</si>
  <si>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</si>
  <si>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</si>
  <si>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</si>
  <si>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</si>
  <si>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</si>
  <si>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</si>
  <si>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</si>
  <si>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</si>
  <si>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</si>
  <si>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</si>
  <si>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</si>
  <si>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</si>
  <si>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</si>
  <si>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</si>
  <si>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</si>
  <si>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</si>
  <si>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</si>
  <si>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</si>
  <si>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</si>
  <si>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</si>
  <si>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</si>
  <si>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</si>
  <si>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</si>
  <si>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</si>
  <si>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</si>
  <si>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</si>
  <si>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</si>
  <si>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</si>
  <si>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</si>
  <si>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</si>
  <si>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</si>
  <si>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</si>
  <si>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</si>
  <si>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</si>
  <si>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</si>
  <si>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</si>
  <si>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</si>
  <si>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</si>
  <si>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</si>
  <si>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</si>
  <si>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</si>
  <si>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</si>
  <si>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</si>
  <si>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</si>
  <si>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</si>
  <si>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</si>
  <si>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</si>
  <si>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</si>
  <si>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</si>
  <si>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</si>
  <si>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</si>
  <si>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</si>
  <si>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</si>
  <si>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</si>
  <si>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</si>
  <si>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</si>
  <si>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</si>
  <si>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</si>
  <si>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</si>
  <si>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</si>
  <si>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</si>
  <si>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</si>
  <si>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</si>
  <si>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</si>
  <si>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</si>
  <si>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</si>
  <si>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</si>
  <si>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</si>
  <si>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</si>
  <si>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</si>
  <si>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</si>
  <si>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</si>
  <si>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</si>
  <si>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</si>
  <si>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</si>
  <si>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</si>
  <si>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</si>
  <si>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</si>
  <si>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</si>
  <si>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</si>
  <si>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</si>
  <si>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</si>
  <si>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</si>
  <si>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</si>
  <si>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</si>
  <si>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</si>
  <si>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</si>
  <si>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</si>
  <si>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</si>
  <si>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</si>
  <si>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</si>
  <si>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</si>
  <si>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</si>
  <si>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</si>
  <si>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</si>
  <si>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</si>
  <si>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</si>
  <si>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</si>
  <si>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</si>
  <si>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</si>
  <si>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</si>
  <si>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</si>
  <si>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</si>
  <si>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</si>
  <si>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</si>
  <si>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</si>
  <si>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</si>
  <si>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</si>
  <si>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</si>
  <si>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</si>
  <si>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</si>
  <si>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</si>
  <si>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</si>
  <si>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</si>
  <si>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</si>
  <si>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</si>
  <si>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</si>
  <si>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</si>
  <si>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</si>
  <si>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</si>
  <si>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</si>
  <si>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</si>
  <si>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</si>
  <si>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</si>
  <si>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</si>
  <si>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</si>
  <si>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</si>
  <si>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</si>
  <si>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</si>
  <si>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</si>
  <si>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</si>
  <si>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</si>
  <si>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</si>
  <si>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</si>
  <si>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</si>
  <si>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</si>
  <si>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</si>
  <si>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</si>
  <si>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</si>
  <si>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</si>
  <si>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</si>
  <si>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</si>
  <si>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</si>
  <si>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</si>
  <si>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</si>
  <si>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</si>
  <si>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</si>
  <si>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</si>
  <si>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</si>
  <si>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</si>
  <si>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</si>
  <si>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</si>
  <si>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</si>
  <si>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</si>
  <si>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</si>
  <si>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</si>
  <si>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</si>
  <si>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</si>
  <si>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</si>
  <si>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</si>
  <si>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</si>
  <si>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</si>
  <si>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</si>
  <si>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</si>
  <si>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</si>
  <si>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</si>
  <si>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</si>
  <si>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</si>
  <si>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</si>
  <si>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</si>
  <si>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</si>
  <si>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</si>
  <si>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</si>
  <si>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</si>
  <si>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</si>
  <si>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</si>
  <si>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</si>
  <si>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</si>
  <si>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</si>
  <si>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</si>
  <si>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</si>
  <si>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</si>
  <si>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</si>
  <si>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</si>
  <si>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</si>
  <si>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</si>
  <si>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</si>
  <si>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</si>
  <si>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</si>
  <si>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</si>
  <si>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</si>
  <si>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</si>
  <si>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</si>
  <si>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</si>
  <si>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</si>
  <si>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</si>
  <si>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</si>
  <si>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</si>
  <si>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</si>
  <si>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</si>
  <si>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</si>
  <si>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</si>
  <si>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</si>
  <si>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</si>
  <si>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</si>
  <si>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</si>
  <si>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</si>
  <si>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</si>
  <si>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</si>
  <si>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</si>
  <si>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</si>
  <si>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</si>
  <si>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</si>
  <si>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</si>
  <si>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</si>
  <si>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</si>
  <si>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</si>
  <si>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</si>
  <si>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</si>
  <si>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</si>
  <si>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</si>
  <si>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</si>
  <si>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</si>
  <si>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</si>
  <si>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</si>
  <si>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</si>
  <si>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</si>
  <si>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</si>
  <si>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</si>
  <si>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</si>
  <si>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</si>
  <si>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</si>
  <si>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</si>
  <si>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</si>
  <si>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</si>
  <si>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</si>
  <si>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</si>
  <si>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</si>
  <si>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</si>
  <si>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</si>
  <si>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</si>
  <si>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</si>
  <si>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</si>
  <si>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</si>
  <si>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</si>
  <si>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</si>
  <si>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</si>
  <si>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</si>
  <si>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</si>
  <si>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</si>
  <si>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</si>
  <si>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</si>
  <si>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</si>
  <si>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</si>
  <si>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</si>
  <si>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</si>
  <si>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</si>
  <si>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</si>
  <si>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</si>
  <si>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</si>
  <si>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</si>
  <si>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</si>
  <si>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</si>
  <si>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</si>
  <si>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</si>
  <si>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</si>
  <si>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</si>
  <si>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</si>
  <si>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</si>
  <si>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</si>
  <si>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</si>
  <si>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</si>
  <si>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</si>
  <si>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</si>
  <si>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</si>
  <si>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</si>
  <si>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</si>
  <si>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</si>
  <si>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</si>
  <si>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</si>
  <si>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</si>
  <si>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</si>
  <si>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</si>
  <si>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</si>
  <si>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</si>
  <si>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</si>
  <si>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</si>
  <si>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</si>
  <si>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</si>
  <si>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</si>
  <si>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</si>
  <si>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</si>
  <si>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</si>
  <si>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</si>
  <si>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</si>
  <si>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</si>
  <si>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</si>
  <si>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</si>
  <si>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</si>
  <si>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</si>
  <si>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</si>
  <si>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</si>
  <si>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</si>
  <si>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</si>
  <si>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</si>
  <si>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</si>
  <si>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</si>
  <si>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</si>
  <si>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</si>
  <si>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</si>
  <si>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</si>
  <si>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</si>
  <si>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</si>
  <si>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</si>
  <si>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</si>
  <si>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</si>
  <si>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</si>
  <si>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</si>
  <si>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</si>
  <si>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</si>
  <si>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</si>
  <si>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</si>
  <si>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</si>
  <si>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</si>
  <si>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</si>
  <si>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</si>
  <si>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</si>
  <si>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</si>
  <si>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</si>
  <si>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</si>
  <si>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</si>
  <si>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</si>
  <si>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</si>
  <si>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</si>
  <si>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</si>
  <si>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</si>
  <si>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</si>
  <si>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</si>
  <si>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</si>
  <si>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</si>
  <si>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</si>
  <si>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</si>
  <si>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</si>
  <si>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</si>
  <si>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</si>
  <si>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</si>
  <si>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</si>
  <si>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</si>
  <si>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</si>
  <si>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</si>
  <si>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</si>
  <si>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</si>
  <si>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</si>
  <si>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</si>
  <si>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</si>
  <si>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</si>
  <si>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</si>
  <si>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</si>
  <si>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</si>
  <si>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</si>
  <si>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</si>
  <si>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</si>
  <si>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</si>
  <si>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</si>
  <si>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</si>
  <si>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</si>
  <si>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</si>
  <si>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</si>
  <si>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</si>
  <si>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</si>
  <si>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</si>
  <si>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</si>
  <si>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</si>
  <si>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</si>
  <si>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</si>
  <si>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</si>
  <si>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</si>
  <si>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</si>
  <si>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</si>
  <si>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</si>
  <si>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</si>
  <si>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</si>
  <si>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</si>
  <si>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</si>
  <si>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</si>
  <si>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</si>
  <si>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</si>
  <si>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</si>
  <si>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</si>
  <si>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</si>
  <si>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</si>
  <si>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</si>
  <si>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</si>
  <si>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</si>
  <si>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</si>
  <si>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</si>
  <si>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</si>
  <si>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</si>
  <si>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</si>
  <si>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</si>
  <si>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</si>
  <si>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</si>
  <si>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</si>
  <si>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</si>
  <si>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</si>
  <si>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</si>
  <si>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</si>
  <si>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</si>
  <si>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</si>
  <si>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</si>
  <si>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</si>
  <si>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</si>
  <si>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</si>
  <si>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</si>
  <si>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</si>
  <si>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</si>
  <si>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</si>
  <si>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</si>
  <si>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</si>
  <si>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</si>
  <si>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</si>
  <si>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</si>
  <si>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</si>
  <si>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</si>
  <si>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</si>
  <si>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</si>
  <si>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</si>
  <si>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</si>
  <si>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</si>
  <si>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</si>
  <si>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</si>
  <si>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</si>
  <si>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</si>
  <si>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</si>
  <si>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</si>
  <si>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</si>
  <si>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</si>
  <si>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</si>
  <si>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</si>
  <si>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</si>
  <si>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</si>
  <si>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</si>
  <si>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</si>
  <si>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</si>
  <si>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</si>
  <si>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</si>
  <si>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</si>
  <si>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</si>
  <si>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</si>
  <si>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</si>
  <si>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</si>
  <si>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</si>
  <si>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</si>
  <si>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</si>
  <si>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</si>
  <si>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</si>
  <si>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</si>
  <si>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</si>
  <si>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</si>
  <si>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</si>
  <si>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</si>
  <si>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</si>
  <si>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</si>
  <si>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</si>
  <si>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</si>
  <si>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</si>
  <si>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</si>
  <si>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</si>
  <si>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</si>
  <si>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</si>
  <si>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</si>
  <si>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</si>
  <si>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</si>
  <si>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</si>
  <si>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</si>
  <si>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</si>
  <si>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</si>
  <si>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</si>
  <si>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</si>
  <si>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</si>
  <si>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</si>
  <si>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</si>
  <si>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</si>
  <si>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</si>
  <si>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</si>
  <si>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</si>
  <si>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</si>
  <si>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</si>
  <si>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</si>
  <si>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</si>
  <si>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</si>
  <si>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</si>
  <si>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</si>
  <si>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</si>
  <si>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</si>
  <si>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</si>
  <si>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</si>
  <si>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</si>
  <si>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</si>
  <si>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</si>
  <si>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</si>
  <si>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</si>
  <si>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</si>
  <si>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</si>
  <si>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</si>
  <si>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</si>
  <si>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</si>
  <si>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</si>
  <si>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</si>
  <si>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</si>
  <si>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</si>
  <si>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</si>
  <si>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</si>
  <si>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</si>
  <si>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</si>
  <si>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</si>
  <si>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</si>
  <si>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</si>
  <si>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</si>
  <si>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</si>
  <si>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</si>
  <si>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</si>
  <si>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</si>
  <si>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</si>
  <si>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</si>
  <si>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</si>
  <si>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</si>
  <si>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</si>
  <si>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</si>
  <si>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</si>
  <si>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</si>
  <si>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</si>
  <si>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</si>
  <si>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</si>
  <si>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</si>
  <si>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</si>
  <si>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</si>
  <si>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</si>
  <si>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</si>
  <si>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</si>
  <si>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</si>
  <si>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</si>
  <si>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</si>
  <si>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</si>
  <si>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</si>
  <si>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</si>
  <si>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</si>
  <si>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</si>
  <si>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</si>
  <si>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</si>
  <si>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</si>
  <si>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</si>
  <si>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</si>
  <si>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</si>
  <si>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</si>
  <si>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</si>
  <si>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</si>
  <si>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</si>
  <si>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</si>
  <si>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</si>
  <si>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</si>
  <si>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</si>
  <si>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</si>
  <si>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</si>
  <si>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</si>
  <si>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</si>
  <si>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</si>
  <si>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</si>
  <si>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</si>
  <si>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</si>
  <si>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</si>
  <si>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</si>
  <si>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</si>
  <si>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</si>
  <si>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</si>
  <si>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</si>
  <si>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</si>
  <si>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</si>
  <si>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</si>
  <si>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</si>
  <si>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</si>
  <si>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</si>
  <si>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</si>
  <si>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</si>
  <si>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</si>
  <si>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</si>
  <si>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</si>
  <si>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</si>
  <si>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</si>
  <si>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</si>
  <si>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</si>
  <si>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</si>
  <si>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</si>
  <si>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</si>
  <si>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</si>
  <si>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</si>
  <si>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</si>
  <si>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</si>
  <si>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</si>
  <si>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</si>
  <si>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</si>
  <si>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</si>
  <si>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</si>
  <si>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</si>
  <si>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</si>
  <si>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</si>
  <si>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</si>
  <si>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</si>
  <si>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</si>
  <si>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</si>
  <si>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</si>
  <si>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</si>
  <si>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</si>
  <si>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</si>
  <si>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</si>
  <si>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</si>
  <si>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</si>
  <si>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</si>
  <si>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</si>
  <si>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</si>
  <si>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</si>
  <si>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</si>
  <si>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</si>
  <si>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</si>
  <si>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</si>
  <si>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</si>
  <si>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</si>
  <si>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</si>
  <si>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</si>
  <si>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</si>
  <si>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</si>
  <si>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</si>
  <si>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</si>
  <si>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</si>
  <si>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</si>
  <si>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</si>
  <si>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</si>
  <si>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</si>
  <si>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</si>
  <si>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</si>
  <si>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</si>
  <si>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</si>
  <si>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</si>
  <si>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</si>
  <si>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</si>
  <si>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</si>
  <si>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</si>
  <si>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</si>
  <si>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</si>
  <si>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</si>
  <si>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</si>
  <si>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</si>
  <si>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</si>
  <si>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</si>
  <si>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</si>
  <si>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</si>
  <si>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</si>
  <si>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</si>
  <si>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</si>
  <si>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</si>
  <si>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</si>
  <si>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</si>
  <si>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</si>
  <si>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</si>
  <si>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</si>
  <si>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</si>
  <si>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</si>
  <si>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</si>
  <si>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</si>
  <si>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</si>
  <si>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</si>
  <si>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</si>
  <si>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</si>
  <si>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</si>
  <si>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</si>
  <si>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</si>
  <si>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</si>
  <si>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</si>
  <si>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</si>
  <si>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</si>
  <si>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</si>
  <si>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</si>
  <si>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</si>
  <si>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</si>
  <si>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</si>
  <si>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</si>
  <si>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</si>
  <si>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</si>
  <si>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</si>
  <si>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</si>
  <si>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</si>
  <si>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</si>
  <si>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</si>
  <si>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</si>
  <si>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</si>
  <si>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</si>
  <si>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</si>
  <si>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</si>
  <si>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</si>
  <si>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</si>
  <si>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</si>
  <si>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</si>
  <si>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</si>
  <si>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</si>
  <si>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</si>
  <si>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</si>
  <si>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</si>
  <si>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</si>
  <si>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</si>
  <si>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</si>
  <si>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</si>
  <si>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</si>
  <si>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</si>
  <si>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</si>
  <si>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</si>
  <si>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</si>
  <si>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</si>
  <si>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</si>
  <si>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</si>
  <si>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</si>
  <si>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</si>
  <si>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</si>
  <si>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</si>
  <si>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</si>
  <si>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</si>
  <si>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</si>
  <si>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</si>
  <si>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</si>
  <si>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</si>
  <si>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</si>
  <si>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</si>
  <si>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</si>
  <si>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</si>
  <si>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</si>
  <si>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</si>
  <si>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</si>
  <si>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</si>
  <si>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</si>
  <si>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</si>
  <si>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</si>
  <si>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</si>
  <si>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</si>
  <si>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</si>
  <si>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</si>
  <si>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</si>
  <si>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</si>
  <si>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</si>
  <si>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</si>
  <si>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</si>
  <si>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</si>
  <si>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</si>
  <si>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</si>
  <si>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</si>
  <si>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</si>
  <si>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</si>
  <si>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</si>
  <si>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</si>
  <si>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</si>
  <si>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</si>
  <si>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</si>
  <si>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</si>
  <si>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</si>
  <si>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</si>
  <si>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</si>
  <si>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</si>
  <si>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</si>
  <si>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</si>
  <si>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</si>
  <si>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</si>
  <si>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</si>
  <si>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</si>
  <si>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</si>
  <si>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</si>
  <si>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</si>
  <si>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</si>
  <si>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</si>
  <si>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</si>
  <si>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</si>
  <si>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</si>
  <si>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</si>
  <si>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</si>
  <si>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</si>
  <si>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</si>
  <si>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</si>
  <si>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</si>
  <si>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</si>
  <si>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</si>
  <si>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</si>
  <si>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</si>
  <si>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</si>
  <si>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</si>
  <si>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</si>
  <si>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</si>
  <si>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</si>
  <si>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</si>
  <si>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</si>
  <si>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</si>
  <si>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</si>
  <si>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</si>
  <si>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</si>
  <si>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</si>
  <si>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</si>
  <si>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</si>
  <si>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</si>
  <si>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</si>
  <si>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</si>
  <si>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</si>
  <si>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</si>
  <si>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</si>
  <si>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</si>
  <si>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</si>
  <si>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</si>
  <si>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</si>
  <si>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</si>
  <si>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</si>
  <si>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</si>
  <si>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</si>
  <si>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</si>
  <si>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</si>
  <si>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</si>
  <si>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</si>
  <si>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</si>
  <si>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</si>
  <si>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</si>
  <si>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</si>
  <si>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</si>
  <si>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</si>
  <si>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</si>
  <si>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</si>
  <si>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</si>
  <si>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</si>
  <si>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</si>
  <si>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</si>
  <si>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</si>
  <si>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</si>
  <si>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</si>
  <si>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</si>
  <si>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</si>
  <si>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</si>
  <si>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</si>
  <si>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</si>
  <si>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</si>
  <si>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</si>
  <si>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</si>
  <si>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</si>
  <si>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</si>
  <si>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</si>
  <si>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</si>
  <si>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</si>
  <si>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</si>
  <si>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</si>
  <si>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</si>
  <si>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</si>
  <si>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</si>
  <si>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</si>
  <si>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</si>
  <si>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</si>
  <si>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</si>
  <si>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</si>
  <si>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</si>
  <si>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</si>
  <si>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</si>
  <si>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</si>
  <si>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</si>
  <si>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</si>
  <si>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</si>
  <si>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</si>
  <si>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</si>
  <si>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</si>
  <si>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</si>
  <si>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</si>
  <si>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</si>
  <si>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</si>
  <si>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</si>
  <si>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</si>
  <si>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</si>
  <si>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</si>
  <si>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</si>
  <si>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</si>
  <si>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</si>
  <si>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</si>
  <si>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</si>
  <si>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</si>
  <si>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</si>
  <si>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</si>
  <si>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</si>
  <si>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</si>
  <si>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</si>
  <si>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</si>
  <si>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</si>
  <si>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</si>
  <si>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</si>
  <si>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</si>
  <si>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</si>
  <si>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</si>
  <si>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</si>
  <si>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</si>
  <si>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</si>
  <si>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</si>
  <si>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</si>
  <si>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</si>
  <si>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</si>
  <si>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</si>
  <si>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</si>
  <si>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</si>
  <si>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</si>
  <si>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</si>
  <si>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</si>
  <si>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</si>
  <si>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</si>
  <si>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</si>
  <si>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</si>
  <si>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</si>
  <si>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</si>
  <si>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</si>
  <si>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</si>
  <si>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</si>
  <si>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</si>
  <si>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</si>
  <si>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</si>
  <si>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</si>
  <si>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</si>
  <si>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</si>
  <si>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</si>
  <si>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</si>
  <si>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</si>
  <si>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</si>
  <si>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</si>
  <si>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</si>
  <si>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</si>
  <si>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</si>
  <si>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</si>
  <si>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</si>
  <si>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</si>
  <si>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</si>
  <si>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</si>
  <si>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</si>
  <si>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</si>
  <si>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</si>
  <si>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</si>
  <si>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</si>
  <si>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</si>
  <si>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</si>
  <si>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</si>
  <si>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</si>
  <si>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</si>
  <si>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</si>
  <si>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</si>
  <si>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</si>
  <si>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</si>
  <si>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</si>
  <si>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</si>
  <si>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</si>
  <si>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</si>
  <si>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</si>
  <si>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</si>
  <si>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</si>
  <si>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</si>
  <si>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</si>
  <si>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</si>
  <si>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</si>
  <si>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</si>
  <si>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</si>
  <si>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</si>
  <si>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</si>
  <si>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</si>
  <si>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</si>
  <si>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</si>
  <si>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</si>
  <si>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</si>
  <si>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</si>
  <si>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</si>
  <si>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</si>
  <si>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</si>
  <si>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</si>
  <si>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</si>
  <si>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</si>
  <si>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</si>
  <si>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</si>
  <si>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</si>
  <si>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</si>
  <si>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</si>
  <si>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</si>
  <si>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</si>
  <si>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</si>
  <si>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</si>
  <si>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</si>
  <si>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</si>
  <si>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</si>
  <si>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</si>
  <si>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</si>
  <si>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</si>
  <si>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</si>
  <si>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</si>
  <si>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</si>
  <si>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</si>
  <si>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</si>
  <si>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</si>
  <si>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</si>
  <si>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</si>
  <si>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</si>
  <si>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</si>
  <si>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</si>
  <si>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</si>
  <si>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</si>
  <si>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</si>
  <si>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</si>
  <si>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</si>
  <si>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</si>
  <si>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</si>
  <si>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</si>
  <si>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</si>
  <si>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</si>
  <si>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</si>
  <si>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</si>
  <si>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</si>
  <si>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</si>
  <si>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</si>
  <si>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</si>
  <si>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</si>
  <si>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</si>
  <si>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</si>
  <si>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</si>
  <si>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</si>
  <si>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</si>
  <si>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</si>
  <si>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</si>
  <si>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</si>
  <si>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</si>
  <si>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</si>
  <si>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</si>
  <si>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</si>
  <si>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</si>
  <si>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</si>
  <si>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</si>
  <si>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</si>
  <si>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</si>
  <si>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</si>
  <si>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</si>
  <si>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</si>
  <si>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</si>
  <si>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</si>
  <si>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</si>
  <si>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</si>
  <si>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</si>
  <si>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</si>
  <si>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</si>
  <si>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</si>
  <si>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</si>
  <si>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</si>
  <si>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</si>
  <si>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</si>
  <si>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</si>
  <si>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</si>
  <si>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</si>
  <si>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</si>
  <si>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</si>
  <si>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</si>
  <si>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</si>
  <si>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</si>
  <si>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</si>
  <si>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</si>
  <si>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</si>
  <si>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</si>
  <si>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</si>
  <si>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</si>
  <si>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</si>
  <si>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</si>
  <si>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</si>
  <si>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</si>
  <si>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</si>
  <si>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</si>
  <si>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</si>
  <si>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</si>
  <si>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</si>
  <si>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</si>
  <si>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</si>
  <si>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</si>
  <si>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</si>
  <si>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</si>
  <si>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</si>
  <si>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</si>
  <si>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</si>
  <si>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</si>
  <si>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</si>
  <si>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</si>
  <si>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</si>
  <si>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</si>
  <si>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</si>
  <si>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</si>
  <si>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</si>
  <si>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</si>
  <si>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</si>
  <si>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</si>
  <si>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</si>
  <si>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</si>
  <si>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</si>
  <si>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</si>
  <si>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</si>
  <si>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</si>
  <si>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</si>
  <si>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</si>
  <si>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</si>
  <si>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</si>
  <si>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</si>
  <si>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</si>
  <si>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</si>
  <si>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</si>
  <si>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</si>
  <si>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</si>
  <si>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</si>
  <si>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</si>
  <si>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</si>
  <si>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</si>
  <si>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</si>
  <si>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</si>
  <si>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</si>
  <si>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</si>
  <si>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</si>
  <si>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</si>
  <si>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</si>
  <si>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</si>
  <si>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</si>
  <si>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</si>
  <si>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</si>
  <si>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</si>
  <si>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</si>
  <si>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</si>
  <si>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</si>
  <si>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</si>
  <si>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</si>
  <si>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</si>
  <si>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</si>
  <si>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</si>
  <si>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</si>
  <si>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</si>
  <si>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</si>
  <si>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</si>
  <si>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</si>
  <si>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</si>
  <si>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</si>
  <si>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</si>
  <si>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</si>
  <si>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</si>
  <si>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</si>
  <si>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</si>
  <si>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</si>
  <si>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</si>
  <si>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</si>
  <si>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</si>
  <si>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</si>
  <si>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</si>
  <si>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</si>
  <si>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</si>
  <si>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</si>
  <si>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</si>
  <si>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</si>
  <si>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</si>
  <si>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</si>
  <si>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</si>
  <si>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</si>
  <si>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</si>
  <si>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</si>
  <si>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</si>
  <si>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</si>
  <si>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</si>
  <si>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</si>
  <si>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</si>
  <si>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</si>
  <si>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</si>
  <si>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</si>
  <si>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</si>
  <si>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</si>
  <si>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</si>
  <si>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</si>
  <si>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</si>
  <si>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</si>
  <si>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</si>
  <si>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</si>
  <si>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</si>
  <si>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</si>
  <si>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</si>
  <si>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</si>
  <si>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</si>
  <si>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</si>
  <si>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</si>
  <si>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</si>
  <si>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</si>
  <si>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</si>
  <si>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</si>
  <si>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</si>
  <si>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</si>
  <si>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</si>
  <si>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</si>
  <si>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</si>
  <si>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</si>
  <si>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</si>
  <si>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</si>
  <si>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</si>
  <si>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</si>
  <si>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</si>
  <si>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</si>
  <si>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</si>
  <si>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</si>
  <si>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</si>
  <si>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</si>
  <si>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</si>
  <si>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</si>
  <si>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</si>
  <si>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</si>
  <si>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</si>
  <si>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</si>
  <si>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</si>
  <si>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</si>
  <si>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</si>
  <si>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</si>
  <si>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</si>
  <si>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</si>
  <si>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</si>
  <si>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</si>
  <si>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</si>
  <si>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</si>
  <si>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</si>
  <si>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</si>
  <si>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</si>
  <si>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</si>
  <si>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</si>
  <si>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</si>
  <si>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</si>
  <si>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</si>
  <si>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</si>
  <si>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</si>
  <si>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</si>
  <si>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</si>
  <si>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</si>
  <si>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</si>
  <si>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</si>
  <si>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</si>
  <si>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</si>
  <si>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</si>
  <si>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</si>
  <si>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</si>
  <si>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</si>
  <si>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</si>
  <si>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</si>
  <si>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</si>
  <si>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</si>
  <si>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</si>
  <si>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</si>
  <si>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</si>
  <si>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</si>
  <si>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</si>
  <si>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</si>
  <si>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</si>
  <si>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</si>
  <si>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</si>
  <si>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</si>
  <si>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</si>
  <si>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</si>
  <si>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</si>
  <si>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</si>
  <si>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</si>
  <si>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</si>
  <si>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</si>
  <si>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</si>
  <si>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</si>
  <si>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</si>
  <si>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</si>
  <si>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</si>
  <si>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</si>
  <si>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</si>
  <si>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</si>
  <si>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</si>
  <si>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</si>
  <si>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</si>
  <si>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</si>
  <si>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</si>
  <si>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</si>
  <si>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</si>
  <si>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</si>
  <si>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</si>
  <si>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</si>
  <si>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</si>
  <si>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</si>
  <si>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</si>
  <si>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</si>
  <si>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</si>
  <si>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</si>
  <si>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</si>
  <si>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</si>
  <si>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</si>
  <si>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</si>
  <si>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</si>
  <si>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</si>
  <si>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</si>
  <si>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</si>
  <si>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</si>
  <si>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</si>
  <si>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</si>
  <si>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</si>
  <si>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</si>
  <si>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</si>
  <si>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</si>
  <si>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</si>
  <si>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</si>
  <si>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</si>
  <si>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</si>
  <si>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</si>
  <si>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</si>
  <si>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</si>
  <si>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</si>
  <si>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</si>
  <si>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</si>
  <si>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</si>
  <si>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</si>
  <si>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</si>
  <si>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</si>
  <si>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</si>
  <si>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</si>
  <si>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</si>
  <si>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</si>
  <si>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</si>
  <si>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</si>
  <si>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</si>
  <si>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</si>
  <si>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</si>
  <si>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</si>
  <si>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</si>
  <si>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</si>
  <si>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</si>
  <si>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</si>
  <si>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</si>
  <si>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</si>
  <si>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</si>
  <si>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</si>
  <si>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</si>
  <si>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</si>
  <si>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</si>
  <si>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</si>
  <si>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</si>
  <si>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</si>
  <si>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</si>
  <si>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</si>
  <si>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</si>
  <si>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</si>
  <si>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</si>
  <si>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</si>
  <si>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</si>
  <si>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</si>
  <si>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</si>
  <si>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</si>
  <si>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</si>
  <si>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</si>
  <si>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</si>
  <si>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</si>
  <si>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</si>
  <si>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</si>
  <si>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</si>
  <si>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</si>
  <si>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</si>
  <si>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</si>
  <si>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</si>
  <si>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</si>
  <si>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</si>
  <si>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</si>
  <si>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</si>
  <si>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</si>
  <si>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</si>
  <si>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</si>
  <si>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</si>
  <si>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</si>
  <si>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</si>
  <si>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</si>
  <si>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</si>
  <si>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</si>
  <si>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</si>
  <si>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</si>
  <si>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</si>
  <si>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</si>
  <si>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</si>
  <si>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</si>
  <si>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</si>
  <si>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</si>
  <si>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</si>
  <si>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</si>
  <si>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</si>
  <si>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</si>
  <si>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</si>
  <si>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</si>
  <si>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</si>
  <si>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</si>
  <si>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</si>
  <si>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</si>
  <si>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</si>
  <si>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</si>
  <si>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</si>
  <si>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</si>
  <si>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</si>
  <si>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</si>
  <si>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</si>
  <si>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</si>
  <si>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</si>
  <si>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</si>
  <si>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</si>
  <si>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</si>
  <si>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</si>
  <si>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</si>
  <si>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</si>
  <si>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</si>
  <si>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</si>
  <si>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</si>
  <si>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</si>
  <si>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</si>
  <si>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</si>
  <si>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</si>
  <si>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</si>
  <si>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</si>
  <si>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</si>
  <si>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</si>
  <si>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</si>
  <si>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</si>
  <si>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</si>
  <si>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</si>
  <si>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</si>
  <si>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</si>
  <si>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</si>
  <si>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</si>
  <si>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</si>
  <si>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</si>
  <si>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</si>
  <si>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</si>
  <si>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</si>
  <si>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</si>
  <si>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</si>
  <si>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</si>
  <si>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</si>
  <si>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</si>
  <si>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</si>
  <si>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</si>
  <si>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</si>
  <si>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</si>
  <si>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</si>
  <si>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</si>
  <si>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</si>
  <si>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</si>
  <si>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</si>
  <si>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</si>
  <si>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</si>
  <si>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</si>
  <si>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</si>
  <si>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</si>
  <si>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</si>
  <si>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</si>
  <si>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</si>
  <si>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</si>
  <si>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</si>
  <si>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</si>
  <si>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</si>
  <si>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</si>
  <si>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</si>
  <si>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</si>
  <si>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</si>
  <si>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</si>
  <si>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</si>
  <si>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</si>
  <si>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</si>
  <si>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</si>
  <si>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</si>
  <si>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</si>
  <si>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</si>
  <si>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</si>
  <si>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</si>
  <si>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</si>
  <si>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</si>
  <si>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</si>
  <si>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</si>
  <si>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</si>
  <si>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</si>
  <si>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</si>
  <si>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</si>
  <si>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</si>
  <si>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</si>
  <si>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</si>
  <si>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</si>
  <si>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</si>
  <si>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</si>
  <si>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</si>
  <si>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</si>
  <si>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</si>
  <si>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</si>
  <si>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</si>
  <si>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</si>
  <si>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</si>
  <si>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</si>
  <si>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</si>
  <si>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</si>
  <si>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</si>
  <si>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</si>
  <si>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</si>
  <si>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</si>
  <si>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</si>
  <si>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</si>
  <si>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</si>
  <si>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</si>
  <si>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</si>
  <si>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</si>
  <si>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</si>
  <si>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</si>
  <si>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</si>
  <si>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</si>
  <si>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</si>
  <si>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</si>
  <si>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</si>
  <si>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</si>
  <si>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</si>
  <si>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</si>
  <si>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</si>
  <si>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</si>
  <si>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</si>
  <si>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</si>
  <si>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</si>
  <si>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</si>
  <si>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</si>
  <si>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</si>
  <si>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</si>
  <si>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</si>
  <si>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</si>
  <si>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</si>
  <si>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</si>
  <si>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</si>
  <si>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</si>
  <si>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</si>
  <si>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</si>
  <si>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</si>
  <si>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</si>
  <si>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</si>
  <si>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</si>
  <si>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</si>
  <si>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</si>
  <si>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</si>
  <si>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</si>
  <si>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</si>
  <si>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</si>
  <si>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</si>
  <si>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</si>
  <si>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</si>
  <si>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</si>
  <si>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</si>
  <si>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</si>
  <si>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</si>
  <si>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</si>
  <si>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</si>
  <si>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</si>
  <si>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</si>
  <si>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</si>
  <si>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</si>
  <si>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</si>
  <si>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</si>
  <si>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</si>
  <si>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</si>
  <si>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</si>
  <si>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</si>
  <si>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</si>
  <si>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</si>
  <si>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</si>
  <si>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</si>
  <si>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</si>
  <si>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</si>
  <si>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</si>
  <si>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</si>
  <si>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</si>
  <si>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</si>
  <si>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</si>
  <si>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</si>
  <si>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</si>
  <si>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</si>
  <si>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</si>
  <si>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</si>
  <si>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</si>
  <si>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</si>
  <si>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</si>
  <si>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</si>
  <si>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</si>
  <si>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</si>
  <si>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</si>
  <si>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</si>
  <si>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</si>
  <si>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</si>
  <si>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</si>
  <si>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</si>
  <si>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</si>
  <si>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</si>
  <si>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</si>
  <si>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</si>
  <si>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</si>
  <si>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</si>
  <si>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</si>
  <si>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</si>
  <si>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</si>
  <si>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</si>
  <si>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</si>
  <si>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</si>
  <si>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</si>
  <si>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</si>
  <si>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</si>
  <si>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</si>
  <si>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</si>
  <si>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</si>
  <si>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</si>
  <si>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</si>
  <si>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</si>
  <si>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</si>
  <si>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</si>
  <si>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</si>
  <si>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</si>
  <si>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</si>
  <si>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</si>
  <si>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</si>
  <si>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</si>
  <si>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</si>
  <si>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</si>
  <si>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</si>
  <si>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</si>
  <si>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</si>
  <si>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</si>
  <si>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</si>
  <si>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</si>
  <si>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</si>
  <si>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</si>
  <si>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</si>
  <si>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</si>
  <si>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</si>
  <si>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</si>
  <si>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</si>
  <si>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</si>
  <si>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</si>
  <si>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</si>
  <si>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</si>
  <si>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</si>
  <si>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</si>
  <si>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</si>
  <si>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</si>
  <si>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</si>
  <si>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</si>
  <si>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</si>
  <si>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</si>
  <si>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</si>
  <si>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</si>
  <si>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</si>
  <si>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</si>
  <si>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</si>
  <si>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</si>
  <si>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</si>
  <si>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</si>
  <si>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</si>
  <si>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</si>
  <si>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</si>
  <si>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</si>
  <si>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</si>
  <si>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</si>
  <si>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</si>
  <si>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</si>
  <si>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</si>
  <si>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</si>
  <si>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</si>
  <si>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</si>
  <si>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</si>
  <si>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</si>
  <si>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</si>
  <si>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</si>
  <si>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</si>
  <si>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</si>
  <si>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</si>
  <si>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</si>
  <si>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</si>
  <si>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</si>
  <si>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</si>
  <si>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</si>
  <si>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</si>
  <si>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</si>
  <si>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</si>
  <si>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</si>
  <si>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</si>
  <si>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</si>
  <si>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</si>
  <si>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</si>
  <si>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</si>
  <si>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</si>
  <si>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</si>
  <si>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</si>
  <si>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</si>
  <si>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</si>
  <si>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</si>
  <si>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</si>
  <si>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</si>
  <si>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</si>
  <si>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</si>
  <si>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</si>
  <si>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</si>
  <si>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</si>
  <si>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</si>
  <si>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</si>
  <si>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</si>
  <si>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</si>
  <si>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</si>
  <si>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</si>
  <si>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</si>
  <si>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</si>
  <si>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</si>
  <si>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</si>
  <si>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</si>
  <si>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</si>
  <si>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</si>
  <si>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</si>
  <si>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</si>
  <si>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</si>
  <si>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</si>
  <si>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</si>
  <si>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</si>
  <si>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</si>
  <si>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</si>
  <si>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</si>
  <si>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</si>
  <si>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</si>
  <si>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</si>
  <si>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</si>
  <si>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</si>
  <si>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</si>
  <si>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</si>
  <si>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</si>
  <si>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</si>
  <si>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</si>
  <si>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</si>
  <si>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</si>
  <si>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</si>
  <si>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</si>
  <si>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</si>
  <si>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</si>
  <si>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</si>
  <si>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</si>
  <si>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</si>
  <si>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</si>
  <si>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</si>
  <si>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</si>
  <si>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</si>
  <si>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</si>
  <si>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</si>
  <si>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</si>
  <si>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</si>
  <si>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</si>
  <si>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</si>
  <si>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</si>
  <si>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</si>
  <si>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</si>
  <si>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</si>
  <si>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</si>
  <si>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</si>
  <si>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</si>
  <si>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</si>
  <si>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</si>
  <si>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</si>
  <si>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</si>
  <si>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</si>
  <si>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</si>
  <si>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</si>
  <si>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</si>
  <si>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</si>
  <si>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</si>
  <si>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</si>
  <si>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</si>
  <si>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</si>
  <si>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</si>
  <si>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</si>
  <si>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</si>
  <si>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</si>
  <si>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</si>
  <si>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</si>
  <si>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</si>
  <si>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</si>
  <si>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</si>
  <si>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</si>
  <si>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</si>
  <si>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</si>
  <si>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</si>
  <si>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</si>
  <si>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</si>
  <si>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</si>
  <si>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</si>
  <si>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</si>
  <si>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</si>
  <si>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</si>
  <si>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</si>
  <si>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</si>
  <si>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</si>
  <si>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</si>
  <si>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</si>
  <si>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</si>
  <si>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</si>
  <si>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</si>
  <si>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</si>
  <si>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</si>
  <si>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</si>
  <si>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</si>
  <si>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</si>
  <si>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</si>
  <si>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</si>
  <si>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</si>
  <si>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</si>
  <si>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</si>
  <si>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</si>
  <si>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</si>
  <si>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</si>
  <si>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</si>
  <si>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</si>
  <si>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</si>
  <si>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</si>
  <si>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</si>
  <si>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</si>
  <si>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</si>
  <si>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</si>
  <si>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</si>
  <si>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</si>
  <si>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</si>
  <si>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</si>
  <si>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</si>
  <si>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</si>
  <si>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</si>
  <si>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</si>
  <si>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</si>
  <si>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</si>
  <si>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</si>
  <si>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</si>
  <si>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</si>
  <si>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</si>
  <si>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</si>
  <si>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</si>
  <si>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</si>
  <si>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</si>
  <si>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</si>
  <si>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</si>
  <si>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</si>
  <si>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</si>
  <si>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</si>
  <si>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</si>
  <si>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</si>
  <si>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</si>
  <si>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</si>
  <si>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</si>
  <si>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</si>
  <si>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</si>
  <si>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</si>
  <si>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</si>
  <si>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</si>
  <si>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</si>
  <si>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</si>
  <si>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</si>
  <si>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</si>
  <si>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</si>
  <si>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</si>
  <si>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</si>
  <si>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</si>
  <si>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</si>
  <si>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</si>
  <si>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</si>
  <si>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</si>
  <si>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</si>
  <si>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</si>
  <si>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</si>
  <si>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</si>
  <si>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</si>
  <si>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</si>
  <si>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</si>
  <si>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</si>
  <si>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</si>
  <si>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</si>
  <si>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</si>
  <si>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</si>
  <si>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</si>
  <si>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</si>
  <si>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</si>
  <si>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</si>
  <si>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</si>
  <si>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</si>
  <si>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</si>
  <si>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</si>
  <si>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</si>
  <si>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</si>
  <si>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</si>
  <si>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</si>
  <si>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</si>
  <si>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</si>
  <si>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</si>
  <si>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</si>
  <si>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</si>
  <si>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</si>
  <si>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</si>
  <si>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</si>
  <si>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</si>
  <si>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</si>
  <si>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</si>
  <si>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</si>
  <si>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</si>
  <si>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</si>
  <si>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</si>
  <si>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</si>
  <si>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</si>
  <si>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</si>
  <si>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</si>
  <si>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</si>
  <si>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</si>
  <si>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</si>
  <si>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</si>
  <si>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</si>
  <si>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</si>
  <si>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</si>
  <si>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</si>
  <si>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</si>
  <si>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</si>
  <si>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</si>
  <si>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</si>
  <si>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</si>
  <si>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</si>
  <si>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</si>
  <si>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</si>
  <si>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</si>
  <si>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</si>
  <si>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</si>
  <si>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</si>
  <si>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</si>
  <si>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</si>
  <si>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</si>
  <si>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</si>
  <si>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</si>
  <si>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</si>
  <si>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</si>
  <si>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</si>
  <si>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</si>
  <si>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</si>
  <si>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</si>
  <si>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</si>
  <si>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</si>
  <si>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</si>
  <si>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</si>
  <si>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</si>
  <si>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</si>
  <si>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</si>
  <si>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</si>
  <si>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</si>
  <si>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</si>
  <si>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</si>
  <si>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</si>
  <si>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</si>
  <si>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</si>
  <si>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</si>
  <si>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</si>
  <si>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</si>
  <si>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</si>
  <si>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</si>
  <si>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</si>
  <si>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</si>
  <si>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</si>
  <si>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</si>
  <si>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</si>
  <si>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</si>
  <si>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</si>
  <si>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</si>
  <si>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</si>
  <si>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</si>
  <si>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</si>
  <si>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</si>
  <si>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</si>
  <si>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</si>
  <si>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</si>
  <si>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</si>
  <si>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</si>
  <si>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</si>
  <si>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</si>
  <si>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</si>
  <si>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</si>
  <si>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</si>
  <si>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</si>
  <si>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</si>
  <si>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</si>
  <si>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</si>
  <si>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</si>
  <si>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</si>
  <si>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</si>
  <si>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</si>
  <si>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</si>
  <si>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</si>
  <si>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</si>
  <si>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</si>
  <si>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</si>
  <si>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</si>
  <si>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</si>
  <si>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</si>
  <si>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</si>
  <si>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</si>
  <si>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</si>
  <si>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</si>
  <si>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</si>
  <si>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</si>
  <si>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</si>
  <si>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</si>
  <si>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</si>
  <si>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</si>
  <si>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</si>
  <si>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</si>
  <si>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</si>
  <si>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</si>
  <si>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</si>
  <si>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</si>
  <si>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</si>
  <si>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</si>
  <si>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</si>
  <si>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</si>
  <si>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</si>
  <si>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</si>
  <si>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</si>
  <si>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</si>
  <si>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</si>
  <si>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</si>
  <si>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</si>
  <si>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</si>
  <si>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</si>
  <si>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</si>
  <si>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</si>
  <si>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</si>
  <si>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</si>
  <si>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</si>
  <si>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</si>
  <si>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</si>
  <si>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</si>
  <si>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</si>
  <si>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</si>
  <si>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</si>
  <si>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</si>
  <si>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</si>
  <si>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</si>
  <si>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</si>
  <si>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</si>
  <si>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</si>
  <si>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</si>
  <si>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</si>
  <si>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</si>
  <si>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</si>
  <si>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</si>
  <si>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</si>
  <si>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</si>
  <si>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</si>
  <si>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</si>
  <si>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</si>
  <si>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</si>
  <si>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</si>
  <si>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</si>
  <si>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</si>
  <si>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</si>
  <si>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</si>
  <si>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</si>
  <si>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</si>
  <si>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</si>
  <si>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</si>
  <si>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</si>
  <si>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</si>
  <si>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</si>
  <si>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</si>
  <si>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</si>
  <si>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</si>
  <si>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</si>
  <si>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</si>
  <si>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</si>
  <si>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</si>
  <si>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</si>
  <si>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</si>
  <si>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</si>
  <si>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</si>
  <si>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</si>
  <si>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</si>
  <si>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</si>
  <si>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</si>
  <si>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</si>
  <si>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</si>
  <si>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</si>
  <si>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</si>
  <si>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</si>
  <si>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</si>
  <si>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</si>
  <si>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</si>
  <si>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</si>
  <si>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</si>
  <si>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</si>
  <si>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</si>
  <si>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</si>
  <si>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</si>
  <si>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</si>
  <si>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</si>
  <si>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</si>
  <si>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</si>
  <si>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</si>
  <si>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</si>
  <si>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</si>
  <si>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</si>
  <si>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</si>
  <si>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</si>
  <si>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</si>
  <si>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</si>
  <si>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</si>
  <si>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</si>
  <si>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</si>
  <si>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</si>
  <si>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</si>
  <si>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</si>
  <si>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</si>
  <si>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</si>
  <si>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</si>
  <si>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</si>
  <si>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</si>
  <si>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</si>
  <si>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</si>
  <si>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</si>
  <si>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</si>
  <si>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</si>
  <si>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</si>
  <si>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</si>
  <si>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</si>
  <si>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</si>
  <si>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</si>
  <si>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</si>
  <si>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</si>
  <si>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</si>
  <si>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</si>
  <si>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</si>
  <si>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</si>
  <si>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</si>
  <si>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</si>
  <si>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</si>
  <si>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</si>
  <si>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</si>
  <si>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</si>
  <si>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</si>
  <si>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</si>
  <si>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</si>
  <si>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</si>
  <si>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</si>
  <si>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</si>
  <si>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</si>
  <si>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</si>
  <si>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</si>
  <si>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</si>
  <si>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</si>
  <si>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</si>
  <si>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</si>
  <si>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</si>
  <si>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</si>
  <si>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</si>
  <si>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</si>
  <si>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</si>
  <si>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</si>
  <si>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</si>
  <si>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</si>
  <si>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</si>
  <si>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</si>
  <si>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</si>
  <si>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</si>
  <si>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</si>
  <si>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</si>
  <si>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</si>
  <si>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</si>
  <si>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</si>
  <si>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</si>
  <si>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</si>
  <si>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</si>
  <si>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</si>
  <si>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</si>
  <si>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</si>
  <si>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</si>
  <si>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</si>
  <si>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</si>
  <si>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</si>
  <si>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</si>
  <si>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</si>
  <si>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</si>
  <si>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</si>
  <si>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</si>
  <si>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</si>
  <si>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</si>
  <si>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</si>
  <si>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</si>
  <si>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</si>
  <si>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</si>
  <si>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</si>
  <si>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</si>
  <si>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</si>
  <si>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</si>
  <si>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</si>
  <si>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</si>
  <si>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</si>
  <si>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</si>
  <si>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</si>
  <si>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</si>
  <si>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</si>
  <si>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</si>
  <si>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</si>
  <si>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</si>
  <si>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</si>
  <si>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</si>
  <si>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</si>
  <si>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</si>
  <si>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</si>
  <si>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</si>
  <si>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</si>
  <si>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</si>
  <si>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</si>
  <si>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</si>
  <si>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</si>
  <si>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</si>
  <si>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</si>
  <si>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</si>
  <si>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</si>
  <si>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</si>
  <si>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</si>
  <si>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</si>
  <si>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</si>
  <si>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</si>
  <si>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</si>
  <si>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</si>
  <si>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</si>
  <si>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</si>
  <si>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</si>
  <si>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</si>
  <si>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</si>
  <si>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</si>
  <si>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</si>
  <si>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</si>
  <si>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</si>
  <si>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</si>
  <si>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</si>
  <si>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</si>
  <si>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</si>
  <si>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</si>
  <si>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</si>
  <si>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</si>
  <si>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</si>
  <si>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</si>
  <si>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</si>
  <si>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</si>
  <si>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</si>
  <si>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</si>
  <si>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</si>
  <si>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</si>
  <si>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</si>
  <si>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</si>
  <si>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</si>
  <si>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</si>
  <si>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</si>
  <si>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</si>
  <si>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</si>
  <si>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</si>
  <si>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</si>
  <si>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</si>
  <si>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</si>
  <si>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</si>
  <si>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</si>
  <si>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</si>
  <si>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</si>
  <si>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</si>
  <si>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</si>
  <si>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</si>
  <si>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</si>
  <si>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</si>
  <si>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</si>
  <si>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</si>
  <si>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</si>
  <si>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</si>
  <si>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</si>
  <si>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</si>
  <si>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</si>
  <si>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</si>
  <si>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</si>
  <si>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</si>
  <si>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</si>
  <si>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</si>
  <si>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</si>
  <si>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</si>
  <si>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</si>
  <si>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</si>
  <si>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</si>
  <si>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</si>
  <si>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</si>
  <si>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</si>
  <si>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</si>
  <si>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</si>
  <si>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</si>
  <si>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</si>
  <si>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</si>
  <si>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</si>
  <si>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</si>
  <si>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</si>
  <si>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</si>
  <si>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</si>
  <si>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</si>
  <si>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</si>
  <si>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</si>
  <si>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</si>
  <si>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</si>
  <si>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</si>
  <si>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</si>
  <si>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</si>
  <si>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</si>
  <si>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</si>
  <si>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</si>
  <si>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</si>
  <si>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</si>
  <si>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</si>
  <si>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</si>
  <si>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</si>
  <si>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</si>
  <si>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</si>
  <si>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</si>
  <si>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</si>
  <si>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</si>
  <si>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</si>
  <si>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</si>
  <si>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</si>
  <si>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</si>
  <si>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</si>
  <si>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</si>
  <si>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</si>
  <si>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</si>
  <si>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</si>
  <si>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</si>
  <si>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</si>
  <si>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</si>
  <si>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</si>
  <si>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</si>
  <si>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</si>
  <si>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</si>
  <si>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</si>
  <si>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</si>
  <si>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</si>
  <si>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</si>
  <si>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</si>
  <si>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</si>
  <si>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</si>
  <si>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</si>
  <si>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</si>
  <si>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</si>
  <si>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</si>
  <si>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</si>
  <si>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</si>
  <si>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</si>
  <si>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</si>
  <si>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</si>
  <si>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</si>
  <si>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</si>
  <si>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</si>
  <si>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</si>
  <si>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</si>
  <si>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</si>
  <si>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</si>
  <si>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</si>
  <si>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</si>
  <si>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</si>
  <si>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</si>
  <si>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</si>
  <si>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</si>
  <si>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</si>
  <si>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</si>
  <si>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</si>
  <si>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</si>
  <si>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</si>
  <si>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</si>
  <si>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</si>
  <si>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</si>
  <si>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</si>
  <si>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</si>
  <si>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</si>
  <si>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</si>
  <si>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</si>
  <si>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</si>
  <si>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</si>
  <si>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</si>
  <si>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</si>
  <si>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</si>
  <si>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</si>
  <si>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</si>
  <si>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</si>
  <si>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</si>
  <si>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</si>
  <si>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</si>
  <si>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</si>
  <si>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</si>
  <si>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</si>
  <si>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</si>
  <si>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</si>
  <si>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</si>
  <si>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</si>
  <si>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</si>
  <si>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</si>
  <si>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</si>
  <si>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</si>
  <si>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</si>
  <si>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</si>
  <si>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</si>
  <si>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</si>
  <si>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</si>
  <si>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</si>
  <si>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</si>
  <si>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</si>
  <si>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</si>
  <si>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</si>
  <si>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</si>
  <si>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</si>
  <si>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</si>
  <si>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</si>
  <si>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</si>
  <si>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</si>
  <si>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</si>
  <si>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</si>
  <si>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</si>
  <si>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</si>
  <si>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</si>
  <si>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</si>
  <si>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</si>
  <si>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</si>
  <si>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</si>
  <si>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</si>
  <si>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</si>
  <si>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</si>
  <si>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</si>
  <si>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</si>
  <si>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</si>
  <si>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</si>
  <si>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</si>
  <si>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</si>
  <si>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</si>
  <si>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</si>
  <si>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</si>
  <si>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</si>
  <si>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</si>
  <si>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</si>
  <si>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</si>
  <si>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</si>
  <si>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</si>
  <si>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</si>
  <si>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</si>
  <si>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</si>
  <si>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</si>
  <si>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</si>
  <si>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</si>
  <si>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</si>
  <si>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</si>
  <si>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</si>
  <si>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</si>
  <si>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</si>
  <si>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</si>
  <si>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</si>
  <si>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</si>
  <si>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</si>
  <si>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</si>
  <si>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</si>
  <si>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</si>
  <si>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</si>
  <si>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</si>
  <si>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</si>
  <si>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</si>
  <si>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</si>
  <si>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</si>
  <si>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</si>
  <si>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</si>
  <si>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</si>
  <si>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</si>
  <si>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</si>
  <si>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</si>
  <si>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</si>
  <si>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</si>
  <si>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</si>
  <si>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</si>
  <si>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</si>
  <si>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</si>
  <si>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</si>
  <si>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</si>
  <si>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</si>
  <si>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</si>
  <si>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</si>
  <si>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</si>
  <si>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</si>
  <si>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</si>
  <si>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</si>
  <si>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</si>
  <si>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</si>
  <si>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</si>
  <si>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</si>
  <si>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</si>
  <si>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</si>
  <si>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</si>
  <si>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</si>
  <si>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</si>
  <si>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</si>
  <si>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</si>
  <si>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</si>
  <si>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</si>
  <si>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</si>
  <si>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</si>
  <si>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</si>
  <si>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</si>
  <si>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</si>
  <si>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</si>
  <si>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</si>
  <si>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</si>
  <si>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</si>
  <si>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</si>
  <si>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</si>
  <si>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</si>
  <si>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</si>
  <si>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</si>
  <si>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</si>
  <si>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</si>
  <si>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</si>
  <si>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</si>
  <si>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</si>
  <si>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</si>
  <si>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</si>
  <si>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</si>
  <si>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</si>
  <si>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</si>
  <si>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</si>
  <si>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</si>
  <si>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</si>
  <si>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</si>
  <si>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</si>
  <si>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</si>
  <si>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</si>
  <si>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</si>
  <si>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</si>
  <si>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</si>
  <si>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</si>
  <si>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</si>
  <si>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</si>
  <si>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</si>
  <si>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</si>
  <si>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</si>
  <si>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</si>
  <si>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</si>
  <si>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</si>
  <si>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</si>
  <si>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</si>
  <si>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</si>
  <si>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</si>
  <si>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</si>
  <si>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</si>
  <si>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</si>
  <si>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</si>
  <si>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</si>
  <si>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</si>
  <si>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</si>
  <si>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</si>
  <si>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</si>
  <si>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</si>
  <si>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</si>
  <si>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</si>
  <si>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</si>
  <si>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</si>
  <si>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</si>
  <si>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</si>
  <si>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</si>
  <si>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</si>
  <si>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</si>
  <si>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</si>
  <si>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</si>
  <si>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</si>
  <si>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</si>
  <si>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</si>
  <si>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</si>
  <si>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</si>
  <si>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</si>
  <si>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</si>
  <si>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</si>
  <si>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</si>
  <si>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</si>
  <si>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</si>
  <si>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</si>
  <si>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</si>
  <si>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</si>
  <si>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</si>
  <si>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</si>
  <si>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</si>
  <si>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</si>
  <si>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</si>
  <si>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</si>
  <si>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</si>
  <si>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</si>
  <si>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</si>
  <si>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</si>
  <si>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</si>
  <si>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</si>
  <si>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</si>
  <si>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</si>
  <si>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</si>
  <si>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</si>
  <si>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</si>
  <si>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</si>
  <si>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</si>
  <si>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</si>
  <si>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</si>
  <si>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</si>
  <si>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</si>
  <si>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</si>
  <si>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</si>
  <si>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</si>
  <si>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</si>
  <si>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</si>
  <si>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</si>
  <si>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</si>
  <si>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</si>
  <si>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</si>
  <si>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</si>
  <si>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</si>
  <si>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</si>
  <si>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</si>
  <si>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</si>
  <si>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</si>
  <si>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</si>
  <si>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</si>
  <si>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</si>
  <si>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</si>
  <si>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</si>
  <si>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</si>
  <si>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</si>
  <si>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</si>
  <si>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</si>
  <si>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</si>
  <si>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</si>
  <si>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</si>
  <si>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</si>
  <si>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</si>
  <si>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</si>
  <si>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</si>
  <si>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</si>
  <si>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</si>
  <si>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</si>
  <si>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</si>
  <si>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</si>
  <si>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</si>
  <si>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</si>
  <si>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</si>
  <si>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</si>
  <si>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</si>
  <si>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</si>
  <si>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</si>
  <si>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</si>
  <si>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</si>
  <si>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</si>
  <si>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</si>
  <si>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</si>
  <si>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</si>
  <si>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</si>
  <si>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</si>
  <si>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</si>
  <si>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</si>
  <si>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</si>
  <si>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</si>
  <si>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</si>
  <si>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</si>
  <si>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</si>
  <si>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</si>
  <si>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</si>
  <si>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</si>
  <si>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</si>
  <si>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</si>
  <si>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</si>
  <si>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</si>
  <si>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</si>
  <si>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</si>
  <si>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</si>
  <si>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</si>
  <si>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</si>
  <si>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</si>
  <si>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</si>
  <si>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</si>
  <si>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</si>
  <si>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</si>
  <si>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</si>
  <si>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</si>
  <si>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</si>
  <si>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</si>
  <si>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</si>
  <si>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</si>
  <si>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</si>
  <si>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</si>
  <si>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</si>
  <si>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</si>
  <si>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</si>
  <si>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</si>
  <si>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</si>
  <si>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</si>
  <si>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</si>
  <si>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</si>
  <si>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</si>
  <si>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</si>
  <si>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</si>
  <si>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</si>
  <si>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</si>
  <si>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</si>
  <si>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</si>
  <si>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</si>
  <si>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</si>
  <si>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</si>
  <si>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</si>
  <si>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</si>
  <si>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</si>
  <si>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</si>
  <si>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</si>
  <si>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</si>
  <si>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</si>
  <si>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</si>
  <si>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</si>
  <si>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</si>
  <si>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</si>
  <si>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</si>
  <si>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</si>
  <si>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</si>
  <si>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</si>
  <si>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</si>
  <si>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</si>
  <si>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</si>
  <si>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</si>
  <si>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</si>
  <si>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</si>
  <si>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</si>
  <si>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</si>
  <si>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</si>
  <si>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</si>
  <si>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</si>
  <si>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</si>
  <si>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</si>
  <si>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</si>
  <si>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</si>
  <si>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</si>
  <si>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</si>
  <si>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</si>
  <si>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</si>
  <si>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</si>
  <si>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</si>
  <si>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</si>
  <si>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</si>
  <si>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</si>
  <si>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</si>
  <si>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</si>
  <si>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</si>
  <si>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</si>
  <si>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</si>
  <si>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</si>
  <si>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</si>
  <si>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</si>
  <si>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</si>
  <si>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</si>
  <si>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</si>
  <si>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</si>
  <si>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</si>
  <si>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</si>
  <si>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</si>
  <si>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</si>
  <si>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</si>
  <si>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</si>
  <si>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</si>
  <si>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</si>
  <si>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</si>
  <si>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</si>
  <si>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</si>
  <si>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</si>
  <si>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</si>
  <si>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</si>
  <si>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</si>
  <si>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</si>
  <si>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</si>
  <si>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</si>
  <si>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</si>
  <si>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</si>
  <si>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</si>
  <si>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</si>
  <si>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</si>
  <si>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</si>
  <si>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</si>
  <si>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</si>
  <si>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</si>
  <si>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</si>
  <si>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</si>
  <si>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</si>
  <si>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</si>
  <si>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</si>
  <si>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</si>
  <si>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</si>
  <si>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</si>
  <si>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</si>
  <si>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</si>
  <si>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</si>
  <si>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</si>
  <si>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</si>
  <si>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</si>
  <si>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</si>
  <si>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</si>
  <si>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</si>
  <si>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</si>
  <si>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</si>
  <si>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</si>
  <si>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</si>
  <si>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</si>
  <si>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</si>
  <si>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</si>
  <si>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</si>
  <si>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</si>
  <si>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</si>
  <si>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</si>
  <si>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</si>
  <si>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</si>
  <si>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</si>
  <si>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</si>
  <si>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</si>
  <si>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</si>
  <si>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</si>
  <si>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</si>
  <si>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</si>
  <si>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</si>
  <si>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</si>
  <si>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</si>
  <si>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</si>
  <si>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</si>
  <si>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</si>
  <si>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</si>
  <si>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</si>
  <si>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</si>
  <si>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</si>
  <si>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</si>
  <si>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</si>
  <si>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</si>
  <si>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</si>
  <si>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</si>
  <si>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</si>
  <si>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</si>
  <si>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</si>
  <si>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</si>
  <si>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</si>
  <si>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</si>
  <si>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</si>
  <si>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</si>
  <si>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</si>
  <si>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</si>
  <si>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</si>
  <si>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</si>
  <si>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</si>
  <si>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</si>
  <si>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</si>
  <si>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</si>
  <si>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</si>
  <si>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</si>
  <si>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</si>
  <si>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</si>
  <si>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</si>
  <si>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</si>
  <si>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</si>
  <si>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</si>
  <si>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</si>
  <si>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</si>
  <si>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</si>
  <si>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</si>
  <si>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</si>
  <si>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</si>
  <si>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</si>
  <si>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</si>
  <si>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</si>
  <si>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</si>
  <si>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</si>
  <si>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</si>
  <si>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</si>
  <si>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</si>
  <si>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</si>
  <si>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</si>
  <si>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</si>
  <si>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</si>
  <si>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</si>
  <si>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</si>
  <si>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</si>
  <si>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</si>
  <si>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</si>
  <si>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</si>
  <si>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</si>
  <si>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</si>
  <si>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</si>
  <si>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</si>
  <si>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</si>
  <si>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</si>
  <si>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</si>
  <si>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</si>
  <si>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</si>
  <si>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</si>
  <si>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</si>
  <si>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</si>
  <si>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</si>
  <si>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</si>
  <si>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</si>
  <si>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</si>
  <si>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</si>
  <si>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</si>
  <si>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</si>
  <si>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</si>
  <si>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</si>
  <si>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</si>
  <si>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</si>
  <si>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</si>
  <si>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</si>
  <si>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</si>
  <si>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</si>
  <si>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</si>
  <si>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</si>
  <si>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</si>
  <si>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</si>
  <si>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</si>
  <si>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</si>
  <si>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</si>
  <si>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</si>
  <si>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</si>
  <si>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</si>
  <si>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</si>
  <si>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</si>
  <si>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</si>
  <si>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</si>
  <si>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</si>
  <si>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</si>
  <si>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</si>
  <si>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</si>
  <si>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</si>
  <si>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</si>
  <si>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</si>
  <si>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</si>
  <si>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</si>
  <si>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</si>
  <si>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</si>
  <si>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</si>
  <si>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</si>
  <si>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</si>
  <si>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</si>
  <si>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</si>
  <si>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</si>
  <si>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</si>
  <si>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</si>
  <si>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</si>
  <si>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</si>
  <si>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</si>
  <si>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</si>
  <si>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</si>
  <si>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</si>
  <si>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</si>
  <si>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</si>
  <si>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</si>
  <si>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</si>
  <si>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</si>
  <si>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</si>
  <si>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</si>
  <si>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</si>
  <si>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</si>
  <si>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</si>
  <si>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</si>
  <si>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</si>
  <si>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</si>
  <si>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</si>
  <si>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</si>
  <si>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</si>
  <si>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</si>
  <si>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</si>
  <si>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</si>
  <si>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</si>
  <si>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</si>
  <si>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</si>
  <si>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</si>
  <si>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</si>
  <si>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</si>
  <si>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</si>
  <si>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</si>
  <si>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</si>
  <si>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</si>
  <si>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</si>
  <si>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</si>
  <si>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</si>
  <si>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</si>
  <si>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</si>
  <si>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</si>
  <si>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</si>
  <si>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</si>
  <si>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</si>
  <si>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</si>
  <si>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</si>
  <si>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</si>
  <si>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</si>
  <si>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</si>
  <si>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</si>
  <si>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</si>
  <si>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</si>
  <si>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</si>
  <si>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</si>
  <si>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</si>
  <si>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</si>
  <si>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</si>
  <si>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</si>
  <si>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</si>
  <si>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</si>
  <si>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</si>
  <si>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</si>
  <si>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</si>
  <si>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</si>
  <si>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</si>
  <si>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</si>
  <si>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</si>
  <si>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</si>
  <si>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</si>
  <si>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</si>
  <si>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</si>
  <si>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</si>
  <si>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</si>
  <si>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</si>
  <si>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</si>
  <si>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</si>
  <si>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</si>
  <si>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</si>
  <si>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</si>
  <si>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</si>
  <si>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</si>
  <si>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</si>
  <si>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</si>
  <si>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</si>
  <si>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</si>
  <si>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</si>
  <si>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</si>
  <si>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</si>
  <si>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</si>
  <si>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</si>
  <si>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</si>
  <si>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</si>
  <si>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</si>
  <si>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</si>
  <si>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</si>
  <si>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</si>
  <si>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</si>
  <si>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</si>
  <si>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</si>
  <si>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</si>
  <si>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</si>
  <si>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</si>
  <si>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</si>
  <si>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</si>
  <si>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</si>
  <si>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</si>
  <si>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</si>
  <si>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</si>
  <si>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</si>
  <si>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</si>
  <si>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</si>
  <si>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</si>
  <si>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</si>
  <si>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</si>
  <si>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</si>
  <si>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</si>
  <si>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</si>
  <si>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</si>
  <si>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</si>
  <si>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</si>
  <si>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</si>
  <si>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</si>
  <si>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</si>
  <si>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</si>
  <si>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</si>
  <si>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</si>
  <si>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</si>
  <si>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</si>
  <si>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</si>
  <si>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</si>
  <si>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</si>
  <si>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</si>
  <si>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</si>
  <si>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</si>
  <si>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</si>
  <si>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</si>
  <si>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</si>
  <si>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</si>
  <si>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</si>
  <si>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</si>
  <si>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</si>
  <si>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</si>
  <si>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</si>
  <si>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</si>
  <si>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</si>
  <si>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</si>
  <si>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</si>
  <si>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</si>
  <si>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</si>
  <si>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</si>
  <si>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</si>
  <si>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</si>
  <si>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</si>
  <si>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</si>
  <si>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</si>
  <si>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</si>
  <si>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</si>
  <si>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</si>
  <si>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</si>
  <si>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</si>
  <si>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</si>
  <si>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</si>
  <si>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</si>
  <si>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</si>
  <si>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</si>
  <si>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</si>
  <si>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</si>
  <si>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</si>
  <si>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</si>
  <si>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</si>
  <si>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</si>
  <si>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</si>
  <si>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</si>
  <si>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</si>
  <si>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</si>
  <si>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</si>
  <si>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</si>
  <si>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</si>
  <si>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</si>
  <si>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</si>
  <si>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</si>
  <si>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</si>
  <si>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</si>
  <si>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</si>
  <si>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</si>
  <si>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</si>
  <si>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</si>
  <si>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</si>
  <si>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</si>
  <si>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</si>
  <si>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</si>
  <si>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</si>
  <si>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</si>
  <si>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</si>
  <si>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</si>
  <si>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</si>
  <si>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</si>
  <si>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</si>
  <si>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</si>
  <si>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</si>
  <si>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</si>
  <si>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</si>
  <si>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</si>
  <si>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</si>
  <si>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</si>
  <si>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</si>
  <si>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</si>
  <si>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</si>
  <si>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</si>
  <si>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</si>
  <si>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</si>
  <si>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</si>
  <si>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</si>
  <si>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</si>
  <si>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</si>
  <si>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</si>
  <si>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</si>
  <si>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</si>
  <si>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</si>
  <si>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</si>
  <si>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</si>
  <si>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</si>
  <si>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</si>
  <si>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</si>
  <si>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</si>
  <si>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</si>
  <si>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</si>
  <si>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</si>
  <si>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</si>
  <si>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</si>
  <si>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</si>
  <si>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</si>
  <si>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</si>
  <si>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</si>
  <si>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</si>
  <si>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</si>
  <si>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</si>
  <si>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</si>
  <si>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</si>
  <si>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</si>
  <si>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</si>
  <si>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</si>
  <si>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</si>
  <si>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</si>
  <si>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</si>
  <si>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</si>
  <si>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</si>
  <si>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</si>
  <si>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</si>
  <si>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</si>
  <si>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</si>
  <si>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</si>
  <si>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</si>
  <si>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</si>
  <si>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</si>
  <si>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</si>
  <si>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</si>
  <si>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</si>
  <si>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</si>
  <si>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</si>
  <si>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</si>
  <si>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</si>
  <si>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</si>
  <si>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</si>
  <si>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</si>
  <si>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</si>
  <si>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</si>
  <si>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</si>
  <si>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</si>
  <si>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</si>
  <si>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</si>
  <si>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</si>
  <si>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</si>
  <si>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</si>
  <si>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</si>
  <si>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</si>
  <si>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</si>
  <si>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</si>
  <si>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</si>
  <si>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</si>
  <si>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</si>
  <si>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</si>
  <si>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</si>
  <si>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</si>
  <si>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</si>
  <si>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</si>
  <si>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</si>
  <si>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</si>
  <si>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</si>
  <si>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</si>
  <si>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</si>
  <si>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</si>
  <si>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</si>
  <si>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</si>
  <si>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</si>
  <si>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</si>
  <si>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</si>
  <si>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</si>
  <si>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</si>
  <si>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</si>
  <si>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</si>
  <si>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</si>
  <si>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</si>
  <si>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</si>
  <si>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</si>
  <si>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</si>
  <si>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</si>
  <si>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</si>
  <si>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</si>
  <si>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</si>
  <si>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</si>
  <si>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</si>
  <si>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</si>
  <si>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</si>
  <si>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</si>
  <si>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</si>
  <si>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</si>
  <si>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</si>
  <si>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</si>
  <si>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</si>
  <si>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</si>
  <si>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</si>
  <si>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</si>
  <si>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</si>
  <si>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</si>
  <si>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</si>
  <si>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</si>
  <si>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</si>
  <si>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</si>
  <si>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</si>
  <si>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</si>
  <si>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</si>
  <si>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</si>
  <si>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</si>
  <si>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</si>
  <si>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</si>
  <si>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</si>
  <si>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</si>
  <si>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</si>
  <si>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</si>
  <si>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</si>
  <si>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</si>
  <si>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</si>
  <si>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</si>
  <si>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</si>
  <si>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</si>
  <si>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</si>
  <si>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</si>
  <si>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</si>
  <si>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</si>
  <si>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</si>
  <si>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</si>
  <si>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</si>
  <si>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</si>
  <si>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</si>
  <si>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</si>
  <si>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</si>
  <si>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</si>
  <si>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</si>
  <si>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</si>
  <si>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</si>
  <si>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</si>
  <si>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</si>
  <si>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</si>
  <si>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</si>
  <si>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</si>
  <si>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</si>
  <si>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</si>
  <si>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</si>
  <si>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</si>
  <si>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</si>
  <si>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</si>
  <si>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</si>
  <si>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</si>
  <si>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</si>
  <si>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</si>
  <si>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</si>
  <si>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</si>
  <si>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</si>
  <si>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</si>
  <si>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</si>
  <si>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</si>
  <si>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</si>
  <si>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</si>
  <si>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</si>
  <si>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</si>
  <si>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</si>
  <si>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</si>
  <si>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</si>
  <si>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</si>
  <si>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</si>
  <si>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</si>
  <si>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</si>
  <si>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</si>
  <si>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</si>
  <si>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</si>
  <si>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</si>
  <si>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</si>
  <si>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</si>
  <si>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</si>
  <si>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</si>
  <si>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</si>
  <si>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</si>
  <si>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</si>
  <si>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</si>
  <si>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</si>
  <si>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</si>
  <si>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</si>
  <si>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</si>
  <si>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</si>
  <si>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</si>
  <si>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</si>
  <si>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</si>
  <si>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</si>
  <si>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</si>
  <si>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</si>
  <si>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</si>
  <si>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</si>
  <si>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</si>
  <si>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</si>
  <si>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</si>
  <si>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</si>
  <si>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</si>
  <si>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</si>
  <si>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</si>
  <si>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</si>
  <si>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</si>
  <si>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</si>
  <si>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</si>
  <si>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</si>
  <si>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</si>
  <si>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</si>
  <si>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</si>
  <si>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</si>
  <si>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</si>
  <si>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</si>
  <si>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</si>
  <si>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</si>
  <si>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</si>
  <si>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</si>
  <si>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</si>
  <si>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</si>
  <si>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</si>
  <si>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</si>
  <si>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</si>
  <si>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</si>
  <si>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</si>
  <si>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</si>
  <si>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</si>
  <si>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</si>
  <si>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</si>
  <si>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</si>
  <si>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</si>
  <si>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</si>
  <si>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</si>
  <si>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</si>
  <si>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</si>
  <si>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</si>
  <si>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</si>
  <si>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</si>
  <si>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</si>
  <si>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</si>
  <si>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</si>
  <si>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</si>
  <si>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</si>
  <si>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</si>
  <si>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</si>
  <si>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</si>
  <si>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</si>
  <si>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</si>
  <si>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</si>
  <si>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</si>
  <si>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</si>
  <si>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</si>
  <si>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</si>
  <si>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</si>
  <si>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</si>
  <si>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</si>
  <si>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</si>
  <si>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</si>
  <si>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</si>
  <si>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</si>
  <si>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</si>
  <si>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</si>
  <si>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</si>
  <si>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</si>
  <si>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</si>
  <si>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</si>
  <si>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</si>
  <si>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</si>
  <si>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</si>
  <si>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</si>
  <si>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</si>
  <si>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</si>
  <si>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</si>
  <si>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</si>
  <si>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</si>
  <si>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</si>
  <si>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</si>
  <si>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</si>
  <si>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</si>
  <si>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</si>
  <si>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</si>
  <si>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</si>
  <si>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</si>
  <si>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</si>
  <si>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</si>
  <si>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</si>
  <si>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</si>
  <si>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</si>
  <si>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</si>
  <si>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</si>
  <si>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</si>
  <si>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</si>
  <si>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</si>
  <si>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</si>
  <si>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</si>
  <si>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</si>
  <si>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</si>
  <si>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</si>
  <si>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</si>
  <si>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</si>
  <si>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</si>
  <si>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</si>
  <si>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</si>
  <si>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</si>
  <si>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</si>
  <si>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</si>
  <si>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</si>
  <si>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</si>
  <si>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</si>
  <si>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</si>
  <si>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</si>
  <si>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</si>
  <si>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</si>
  <si>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</si>
  <si>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</si>
  <si>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</si>
  <si>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</si>
  <si>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</si>
  <si>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</si>
  <si>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</si>
  <si>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</si>
  <si>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</si>
  <si>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</si>
  <si>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</si>
  <si>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</si>
  <si>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</si>
  <si>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</si>
  <si>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</si>
  <si>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</si>
  <si>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</si>
  <si>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</si>
  <si>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</si>
  <si>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</si>
  <si>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</si>
  <si>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</si>
  <si>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</si>
  <si>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</si>
  <si>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</si>
  <si>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</si>
  <si>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</si>
  <si>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</si>
  <si>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</si>
  <si>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</si>
  <si>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</si>
  <si>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</si>
  <si>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</si>
  <si>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</si>
  <si>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</si>
  <si>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</si>
  <si>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</si>
  <si>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</si>
  <si>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</si>
  <si>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</si>
  <si>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</si>
  <si>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</si>
  <si>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</si>
  <si>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</si>
  <si>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</si>
  <si>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</si>
  <si>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</si>
  <si>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</si>
  <si>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</si>
  <si>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</si>
  <si>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</si>
  <si>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</si>
  <si>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</si>
  <si>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</si>
  <si>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</si>
  <si>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</si>
  <si>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</si>
  <si>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</si>
  <si>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</si>
  <si>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</si>
  <si>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</si>
  <si>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</si>
  <si>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</si>
  <si>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</si>
  <si>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</si>
  <si>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</si>
  <si>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</si>
  <si>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</si>
  <si>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</si>
  <si>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</si>
  <si>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</si>
  <si>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</si>
  <si>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</si>
  <si>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</si>
  <si>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</si>
  <si>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</si>
  <si>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</si>
  <si>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</si>
  <si>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</si>
  <si>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</si>
  <si>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</si>
  <si>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</si>
  <si>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</si>
  <si>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</si>
  <si>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</si>
  <si>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</si>
  <si>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</si>
  <si>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</si>
  <si>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</si>
  <si>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</si>
  <si>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</si>
  <si>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</si>
  <si>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</si>
  <si>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</si>
  <si>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</si>
  <si>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</si>
  <si>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</si>
  <si>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</si>
  <si>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</si>
  <si>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</si>
  <si>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</si>
  <si>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</si>
  <si>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</si>
  <si>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</si>
  <si>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</si>
  <si>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</si>
  <si>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</si>
  <si>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</si>
  <si>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</si>
  <si>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</si>
  <si>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</si>
  <si>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</si>
  <si>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</si>
  <si>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</si>
  <si>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</si>
  <si>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</si>
  <si>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</si>
  <si>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</si>
  <si>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</si>
  <si>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</si>
  <si>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</si>
  <si>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</si>
  <si>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</si>
  <si>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</si>
  <si>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</si>
  <si>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</si>
  <si>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</si>
  <si>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</si>
  <si>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</si>
  <si>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</si>
  <si>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</si>
  <si>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</si>
  <si>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</si>
  <si>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</si>
  <si>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</si>
  <si>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</si>
  <si>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</si>
  <si>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</si>
  <si>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</si>
  <si>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</si>
  <si>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</si>
  <si>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</si>
  <si>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</si>
  <si>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</si>
  <si>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</si>
  <si>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</si>
  <si>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</si>
  <si>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</si>
  <si>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</si>
  <si>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</si>
  <si>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</si>
  <si>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</si>
  <si>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</si>
  <si>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</si>
  <si>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</si>
  <si>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</si>
  <si>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</si>
  <si>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</si>
  <si>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</si>
  <si>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</si>
  <si>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</si>
  <si>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</si>
  <si>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</si>
  <si>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</si>
  <si>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</si>
  <si>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</si>
  <si>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</si>
  <si>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</si>
  <si>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</si>
  <si>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</si>
  <si>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</si>
  <si>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</si>
  <si>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</si>
  <si>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</si>
  <si>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</si>
  <si>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</si>
  <si>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</si>
  <si>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</si>
  <si>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</si>
  <si>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</si>
  <si>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</si>
  <si>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</si>
  <si>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</si>
  <si>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</si>
  <si>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</si>
  <si>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</si>
  <si>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</si>
  <si>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</si>
  <si>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</si>
  <si>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</si>
  <si>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</si>
  <si>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</si>
  <si>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</si>
  <si>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</si>
  <si>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</si>
  <si>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</si>
  <si>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</si>
  <si>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</si>
  <si>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</si>
  <si>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</si>
  <si>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</si>
  <si>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</si>
  <si>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</si>
  <si>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</si>
  <si>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</si>
  <si>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</si>
  <si>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</si>
  <si>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</si>
  <si>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</si>
  <si>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</si>
  <si>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</si>
  <si>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</si>
  <si>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</si>
  <si>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</si>
  <si>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</si>
  <si>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</si>
  <si>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</si>
  <si>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</si>
  <si>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</si>
  <si>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</si>
  <si>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</si>
  <si>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</si>
  <si>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</si>
  <si>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</si>
  <si>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</si>
  <si>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</si>
  <si>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</si>
  <si>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</si>
  <si>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</si>
  <si>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</si>
  <si>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</si>
  <si>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</si>
  <si>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</si>
  <si>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</si>
  <si>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</si>
  <si>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</si>
  <si>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</si>
  <si>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</si>
  <si>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</si>
  <si>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</si>
  <si>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</si>
  <si>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</si>
  <si>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</si>
  <si>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</si>
  <si>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</si>
  <si>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</si>
  <si>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</si>
  <si>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</si>
  <si>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</si>
  <si>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</si>
  <si>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</si>
  <si>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</si>
  <si>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</si>
  <si>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</si>
  <si>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</si>
  <si>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</si>
  <si>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</si>
  <si>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</si>
  <si>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</si>
  <si>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</si>
  <si>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</si>
  <si>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</si>
  <si>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</si>
  <si>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</si>
  <si>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</si>
  <si>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</si>
  <si>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</si>
  <si>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</si>
  <si>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</si>
  <si>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</si>
  <si>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</si>
  <si>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</si>
  <si>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</si>
  <si>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</si>
  <si>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</si>
  <si>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</si>
  <si>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</si>
  <si>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</si>
  <si>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</si>
  <si>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</si>
  <si>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</si>
  <si>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</si>
  <si>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</si>
  <si>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</si>
  <si>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</si>
  <si>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</si>
  <si>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</si>
  <si>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</si>
  <si>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</si>
  <si>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</si>
  <si>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</si>
  <si>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</si>
  <si>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</si>
  <si>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</si>
  <si>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</si>
  <si>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</si>
  <si>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</si>
  <si>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</si>
  <si>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</si>
  <si>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</si>
  <si>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</si>
  <si>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</si>
  <si>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</si>
  <si>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</si>
  <si>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</si>
  <si>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</si>
  <si>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</si>
  <si>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</si>
  <si>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</si>
  <si>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</si>
  <si>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</si>
  <si>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</si>
  <si>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</si>
  <si>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</si>
  <si>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</si>
  <si>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</si>
  <si>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</si>
  <si>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</si>
  <si>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</si>
  <si>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</si>
  <si>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</si>
  <si>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</si>
  <si>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</si>
  <si>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</si>
  <si>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</si>
  <si>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</si>
  <si>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</si>
  <si>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</si>
  <si>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</si>
  <si>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</si>
  <si>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</si>
  <si>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</si>
  <si>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</si>
  <si>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</si>
  <si>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</si>
  <si>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</si>
  <si>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</si>
  <si>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</si>
  <si>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</si>
  <si>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</si>
  <si>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</si>
  <si>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</si>
  <si>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</si>
  <si>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</si>
  <si>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</si>
  <si>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</si>
  <si>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</si>
  <si>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</si>
  <si>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</si>
  <si>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</si>
  <si>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</si>
  <si>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</si>
  <si>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</si>
  <si>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</si>
  <si>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</si>
  <si>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</si>
  <si>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</si>
  <si>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</si>
  <si>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</si>
  <si>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</si>
  <si>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</si>
  <si>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</si>
  <si>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</si>
  <si>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</si>
  <si>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</si>
  <si>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</si>
  <si>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</si>
  <si>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</si>
  <si>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</si>
  <si>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</si>
  <si>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</si>
  <si>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</si>
  <si>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</si>
  <si>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</si>
  <si>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</si>
  <si>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</si>
  <si>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</si>
  <si>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</si>
  <si>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</si>
  <si>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</si>
  <si>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</si>
  <si>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</si>
  <si>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</si>
  <si>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</si>
  <si>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</si>
  <si>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</si>
  <si>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</si>
  <si>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</si>
  <si>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</si>
  <si>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</si>
  <si>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</si>
  <si>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</si>
  <si>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</si>
  <si>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</si>
  <si>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</si>
  <si>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</si>
  <si>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</si>
  <si>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</si>
  <si>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</si>
  <si>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</si>
  <si>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</si>
  <si>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</si>
  <si>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</si>
  <si>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</si>
  <si>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</si>
  <si>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</si>
  <si>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</si>
  <si>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</si>
  <si>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</si>
  <si>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</si>
  <si>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</si>
  <si>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</si>
  <si>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</si>
  <si>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</si>
  <si>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</si>
  <si>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</si>
  <si>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</si>
  <si>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</si>
  <si>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</si>
  <si>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</si>
  <si>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</si>
  <si>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</si>
  <si>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</si>
  <si>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</si>
  <si>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</si>
  <si>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</si>
  <si>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</si>
  <si>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</si>
  <si>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</si>
  <si>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</si>
  <si>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</si>
  <si>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</si>
  <si>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</si>
  <si>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</si>
  <si>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</si>
  <si>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</si>
  <si>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</si>
  <si>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</si>
  <si>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</si>
  <si>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</si>
  <si>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</si>
  <si>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</si>
  <si>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</si>
  <si>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</si>
  <si>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</si>
  <si>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</si>
  <si>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</si>
  <si>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</si>
  <si>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</si>
  <si>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</si>
  <si>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</si>
  <si>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</si>
  <si>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</si>
  <si>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</si>
  <si>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</si>
  <si>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</si>
  <si>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</si>
  <si>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</si>
  <si>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</si>
  <si>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</si>
  <si>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</si>
  <si>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</si>
  <si>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</si>
  <si>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</si>
  <si>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</si>
  <si>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</si>
  <si>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</si>
  <si>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</si>
  <si>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</si>
  <si>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</si>
  <si>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</si>
  <si>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</si>
  <si>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</si>
  <si>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</si>
  <si>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</si>
  <si>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</si>
  <si>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</si>
  <si>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</si>
  <si>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</si>
  <si>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</si>
  <si>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</si>
  <si>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</si>
  <si>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</si>
  <si>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</si>
  <si>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</si>
  <si>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</si>
  <si>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</si>
  <si>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</si>
  <si>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</si>
  <si>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</si>
  <si>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</si>
  <si>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</si>
  <si>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</si>
  <si>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</si>
  <si>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</si>
  <si>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</si>
  <si>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</si>
  <si>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</si>
  <si>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</si>
  <si>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</si>
  <si>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</si>
  <si>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</si>
  <si>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</si>
  <si>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</si>
  <si>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</si>
  <si>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</si>
  <si>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</si>
  <si>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</si>
  <si>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</si>
  <si>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</si>
  <si>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</si>
  <si>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</si>
  <si>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</si>
  <si>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</si>
  <si>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</si>
  <si>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</si>
  <si>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</si>
  <si>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</si>
  <si>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</si>
  <si>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</si>
  <si>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</si>
  <si>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</si>
  <si>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</si>
  <si>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</si>
  <si>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</si>
  <si>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</si>
  <si>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</si>
  <si>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</si>
  <si>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</si>
  <si>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</si>
  <si>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</si>
  <si>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</si>
  <si>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</si>
  <si>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</si>
  <si>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</si>
  <si>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</si>
  <si>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</si>
  <si>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</si>
  <si>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</si>
  <si>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</si>
  <si>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</si>
  <si>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</si>
  <si>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</si>
  <si>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</si>
  <si>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</si>
  <si>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</si>
  <si>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</si>
  <si>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</si>
  <si>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</si>
  <si>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</si>
  <si>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</si>
  <si>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</si>
  <si>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</si>
  <si>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</si>
  <si>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</si>
  <si>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</si>
  <si>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</si>
  <si>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</si>
  <si>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</si>
  <si>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</si>
  <si>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</si>
  <si>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</si>
  <si>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</si>
  <si>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</si>
  <si>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</si>
  <si>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</si>
  <si>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</si>
  <si>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</si>
  <si>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</si>
  <si>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</si>
  <si>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</si>
  <si>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</si>
  <si>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</si>
  <si>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</si>
  <si>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</si>
  <si>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</si>
  <si>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</si>
  <si>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</si>
  <si>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</si>
  <si>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</si>
  <si>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</si>
  <si>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</si>
  <si>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</si>
  <si>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</si>
  <si>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</si>
  <si>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</si>
  <si>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</si>
  <si>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</si>
  <si>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</si>
  <si>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</si>
  <si>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</si>
  <si>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</si>
  <si>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</si>
  <si>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</si>
  <si>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</si>
  <si>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</si>
  <si>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</si>
  <si>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</si>
  <si>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</si>
  <si>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</si>
  <si>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</si>
  <si>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</si>
  <si>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</si>
  <si>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</si>
  <si>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</si>
  <si>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</si>
  <si>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</si>
  <si>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</si>
  <si>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</si>
  <si>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</si>
  <si>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</si>
  <si>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</si>
  <si>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</si>
  <si>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</si>
  <si>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</si>
  <si>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</si>
  <si>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</si>
  <si>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</si>
  <si>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</si>
  <si>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</si>
  <si>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</si>
  <si>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</si>
  <si>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</si>
  <si>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</si>
  <si>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</si>
  <si>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</si>
  <si>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</si>
  <si>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</si>
  <si>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</si>
  <si>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</si>
  <si>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</si>
  <si>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</si>
  <si>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</si>
  <si>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</si>
  <si>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</si>
  <si>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</si>
  <si>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</si>
  <si>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</si>
  <si>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</si>
  <si>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</si>
  <si>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</si>
  <si>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</si>
  <si>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</si>
  <si>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</si>
  <si>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</si>
  <si>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</si>
  <si>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</si>
  <si>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</si>
  <si>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</si>
  <si>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</si>
  <si>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</si>
  <si>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</si>
  <si>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</si>
  <si>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</si>
  <si>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</si>
  <si>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</si>
  <si>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</si>
  <si>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</si>
  <si>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</si>
  <si>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</si>
  <si>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</si>
  <si>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</si>
  <si>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</si>
  <si>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</si>
  <si>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</si>
  <si>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</si>
  <si>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</si>
  <si>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</si>
  <si>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</si>
  <si>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</si>
  <si>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</si>
  <si>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</si>
  <si>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</si>
  <si>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</si>
  <si>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</si>
  <si>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</si>
  <si>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</si>
  <si>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</si>
  <si>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</si>
  <si>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</si>
  <si>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</si>
  <si>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</si>
  <si>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</si>
  <si>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</si>
  <si>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</si>
  <si>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</si>
  <si>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</si>
  <si>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</si>
  <si>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</si>
  <si>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</si>
  <si>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</si>
  <si>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</si>
  <si>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</si>
  <si>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</si>
  <si>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</si>
  <si>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</si>
  <si>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</si>
  <si>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</si>
  <si>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</si>
  <si>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</si>
  <si>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</si>
  <si>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</si>
  <si>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</si>
  <si>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</si>
  <si>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</si>
  <si>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</si>
  <si>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</si>
  <si>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</si>
  <si>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</si>
  <si>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</si>
  <si>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</si>
  <si>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</si>
  <si>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</si>
  <si>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</si>
  <si>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</si>
  <si>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</si>
  <si>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</si>
  <si>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</si>
  <si>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</si>
  <si>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</si>
  <si>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</si>
  <si>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</si>
  <si>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</si>
  <si>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</si>
  <si>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</si>
  <si>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</si>
  <si>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</si>
  <si>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</si>
  <si>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</si>
  <si>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</si>
  <si>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</si>
  <si>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</si>
  <si>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</si>
  <si>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</si>
  <si>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</si>
  <si>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</si>
  <si>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</si>
  <si>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</si>
  <si>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</si>
  <si>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</si>
  <si>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</si>
  <si>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</si>
  <si>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</si>
  <si>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</si>
  <si>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</si>
  <si>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</si>
  <si>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</si>
  <si>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</si>
  <si>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</si>
  <si>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</si>
  <si>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</si>
  <si>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</si>
  <si>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</si>
  <si>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</si>
  <si>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</si>
  <si>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</si>
  <si>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</si>
  <si>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</si>
  <si>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</si>
  <si>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</si>
  <si>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</si>
  <si>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</si>
  <si>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</si>
  <si>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</si>
  <si>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</si>
  <si>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</si>
  <si>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</si>
  <si>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</si>
  <si>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</si>
  <si>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</si>
  <si>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</si>
  <si>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</si>
  <si>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</si>
  <si>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</si>
  <si>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</si>
  <si>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</si>
  <si>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</si>
  <si>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</si>
  <si>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</si>
  <si>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</si>
  <si>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</si>
  <si>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</si>
  <si>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</si>
  <si>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</si>
  <si>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</si>
  <si>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</si>
  <si>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</si>
  <si>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</si>
  <si>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</si>
  <si>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</si>
  <si>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</si>
  <si>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</si>
  <si>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</si>
  <si>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</si>
  <si>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</si>
  <si>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</si>
  <si>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</si>
  <si>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</si>
  <si>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</si>
  <si>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</si>
  <si>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</si>
  <si>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</si>
  <si>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</si>
  <si>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</si>
  <si>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</si>
  <si>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</si>
  <si>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</si>
  <si>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</si>
  <si>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</si>
  <si>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</si>
  <si>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</si>
  <si>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</si>
  <si>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</si>
  <si>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</si>
  <si>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</si>
  <si>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</si>
  <si>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</si>
  <si>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</si>
  <si>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</si>
  <si>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</si>
  <si>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</si>
  <si>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</si>
  <si>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</si>
  <si>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</si>
  <si>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</si>
  <si>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</si>
  <si>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</si>
  <si>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</si>
  <si>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</si>
  <si>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</si>
  <si>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</si>
  <si>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</si>
  <si>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</si>
  <si>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</si>
  <si>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</si>
  <si>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</si>
  <si>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</si>
  <si>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</si>
  <si>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</si>
  <si>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</si>
  <si>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</si>
  <si>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</si>
  <si>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</si>
  <si>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</si>
  <si>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</si>
  <si>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</si>
  <si>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</si>
  <si>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</si>
  <si>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</si>
  <si>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</si>
  <si>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</si>
  <si>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</si>
  <si>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</si>
  <si>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</si>
  <si>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</si>
  <si>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</si>
  <si>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</si>
  <si>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</si>
  <si>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</si>
  <si>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</si>
  <si>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</si>
  <si>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</si>
  <si>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</si>
  <si>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</si>
  <si>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</si>
  <si>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</si>
  <si>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</si>
  <si>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</si>
  <si>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</si>
  <si>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</si>
  <si>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</si>
  <si>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</si>
  <si>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</si>
  <si>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</si>
  <si>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</si>
  <si>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</si>
  <si>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</si>
  <si>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</si>
  <si>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</si>
  <si>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</si>
  <si>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</si>
  <si>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</si>
  <si>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</si>
  <si>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</si>
  <si>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</si>
  <si>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</si>
  <si>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</si>
  <si>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</si>
  <si>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</si>
  <si>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</si>
  <si>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</si>
  <si>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</si>
  <si>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</si>
  <si>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</si>
  <si>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</si>
  <si>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</si>
  <si>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</si>
  <si>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</si>
  <si>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</si>
  <si>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</si>
  <si>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</si>
  <si>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</si>
  <si>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</si>
  <si>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</si>
  <si>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</si>
  <si>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</si>
  <si>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</si>
  <si>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</si>
  <si>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</si>
  <si>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</si>
  <si>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</si>
  <si>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</si>
  <si>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</si>
  <si>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</si>
  <si>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</si>
  <si>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</si>
  <si>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</si>
  <si>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</si>
  <si>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</si>
  <si>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</si>
  <si>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</si>
  <si>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</si>
  <si>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</si>
  <si>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</si>
  <si>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</si>
  <si>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</si>
  <si>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</si>
  <si>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</si>
  <si>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</si>
  <si>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</si>
  <si>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</si>
  <si>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</si>
  <si>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</si>
  <si>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</si>
  <si>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</si>
  <si>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</si>
  <si>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</si>
  <si>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</si>
  <si>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</si>
  <si>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</si>
  <si>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</si>
  <si>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</si>
  <si>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</si>
  <si>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</si>
  <si>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</si>
  <si>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</si>
  <si>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</si>
  <si>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</si>
  <si>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</si>
  <si>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</si>
  <si>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</si>
  <si>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</si>
  <si>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</si>
  <si>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</si>
  <si>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</si>
  <si>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</si>
  <si>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</si>
  <si>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</si>
  <si>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</si>
  <si>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</si>
  <si>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</si>
  <si>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</si>
  <si>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</si>
  <si>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</si>
  <si>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</si>
  <si>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</si>
  <si>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</si>
  <si>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</si>
  <si>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</si>
  <si>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</si>
  <si>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</si>
  <si>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</si>
  <si>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</si>
  <si>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</si>
  <si>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</si>
  <si>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</si>
  <si>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</si>
  <si>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</si>
  <si>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</si>
  <si>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</si>
  <si>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</si>
  <si>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</si>
  <si>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</si>
  <si>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</si>
  <si>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</si>
  <si>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</si>
  <si>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</si>
  <si>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</si>
  <si>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</si>
  <si>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</si>
  <si>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</si>
  <si>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</si>
  <si>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</si>
  <si>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</si>
  <si>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</si>
  <si>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</si>
  <si>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</si>
  <si>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</si>
  <si>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</si>
  <si>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</si>
  <si>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</si>
  <si>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</si>
  <si>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</si>
  <si>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</si>
  <si>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</si>
  <si>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</si>
  <si>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</si>
  <si>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</si>
  <si>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</si>
  <si>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</si>
  <si>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</si>
  <si>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</si>
  <si>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</si>
  <si>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</si>
  <si>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</si>
  <si>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</si>
  <si>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</si>
  <si>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</si>
  <si>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</si>
  <si>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</si>
  <si>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</si>
  <si>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</si>
  <si>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</si>
  <si>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</si>
  <si>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</si>
  <si>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</si>
  <si>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</si>
  <si>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</si>
  <si>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</si>
  <si>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</si>
  <si>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</si>
  <si>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</si>
  <si>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</si>
  <si>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</si>
  <si>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</si>
  <si>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</si>
  <si>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</si>
  <si>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</si>
  <si>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</si>
  <si>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</si>
  <si>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</si>
  <si>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</si>
  <si>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</si>
  <si>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</si>
  <si>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</si>
  <si>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</si>
  <si>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</si>
  <si>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</si>
  <si>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</si>
  <si>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</si>
  <si>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</si>
  <si>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</si>
  <si>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</si>
  <si>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</si>
  <si>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</si>
  <si>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</si>
  <si>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</si>
  <si>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</si>
  <si>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</si>
  <si>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</si>
  <si>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</si>
  <si>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</si>
  <si>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</si>
  <si>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</si>
  <si>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</si>
  <si>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</si>
  <si>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</si>
  <si>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</si>
  <si>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</si>
  <si>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</si>
  <si>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</si>
  <si>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</si>
  <si>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</si>
  <si>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</si>
  <si>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</si>
  <si>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</si>
  <si>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</si>
  <si>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</si>
  <si>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</si>
  <si>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</si>
  <si>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</si>
  <si>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</si>
  <si>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</si>
  <si>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</si>
  <si>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</si>
  <si>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</si>
  <si>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</si>
  <si>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</si>
  <si>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</si>
  <si>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</si>
  <si>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</si>
  <si>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</si>
  <si>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</si>
  <si>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</si>
  <si>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</si>
  <si>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</si>
  <si>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</si>
  <si>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</si>
  <si>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</si>
  <si>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</si>
  <si>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</si>
  <si>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</si>
  <si>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</si>
  <si>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</si>
  <si>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</si>
  <si>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</si>
  <si>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</si>
  <si>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</si>
  <si>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</si>
  <si>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</si>
  <si>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</si>
  <si>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</si>
  <si>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</si>
  <si>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</si>
  <si>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</si>
  <si>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</si>
  <si>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</si>
  <si>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</si>
  <si>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</si>
  <si>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</si>
  <si>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</si>
  <si>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</si>
  <si>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</si>
  <si>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</si>
  <si>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</si>
  <si>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</si>
  <si>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</si>
  <si>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</si>
  <si>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</si>
  <si>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</si>
  <si>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</si>
  <si>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</si>
  <si>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</si>
  <si>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</si>
  <si>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</si>
  <si>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</si>
  <si>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</si>
  <si>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</si>
  <si>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</si>
  <si>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</si>
  <si>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</si>
  <si>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</si>
  <si>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</si>
  <si>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</si>
  <si>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</si>
  <si>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</si>
  <si>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</si>
  <si>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</si>
  <si>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</si>
  <si>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</si>
  <si>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</si>
  <si>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</si>
  <si>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</si>
  <si>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</si>
  <si>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</si>
  <si>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</si>
  <si>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</si>
  <si>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</si>
  <si>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</si>
  <si>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</si>
  <si>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</si>
  <si>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</si>
  <si>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</si>
  <si>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</si>
  <si>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</si>
  <si>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</si>
  <si>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</si>
  <si>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</si>
  <si>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</si>
  <si>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</si>
  <si>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</si>
  <si>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</si>
  <si>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</si>
  <si>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</si>
  <si>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</si>
  <si>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</si>
  <si>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</si>
  <si>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</si>
  <si>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</si>
  <si>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</si>
  <si>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</si>
  <si>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</si>
  <si>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</si>
  <si>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</si>
  <si>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</si>
  <si>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</si>
  <si>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</si>
  <si>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</si>
  <si>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</si>
  <si>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</si>
  <si>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</si>
  <si>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</si>
  <si>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</si>
  <si>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</si>
  <si>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</si>
  <si>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</si>
  <si>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</si>
  <si>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</si>
  <si>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</si>
  <si>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</si>
  <si>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</si>
  <si>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</si>
  <si>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</si>
  <si>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</si>
  <si>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</si>
  <si>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</si>
  <si>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</si>
  <si>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</si>
  <si>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</si>
  <si>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</si>
  <si>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</si>
  <si>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</si>
  <si>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</si>
  <si>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</si>
  <si>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</si>
  <si>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</si>
  <si>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</si>
  <si>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</si>
  <si>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</si>
  <si>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</si>
  <si>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</si>
  <si>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</si>
  <si>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</si>
  <si>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</si>
  <si>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</si>
  <si>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</si>
  <si>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</si>
  <si>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</si>
  <si>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</si>
  <si>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</si>
  <si>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</si>
  <si>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</si>
  <si>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</si>
  <si>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</si>
  <si>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</si>
  <si>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</si>
  <si>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</si>
  <si>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</si>
  <si>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</si>
  <si>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</si>
  <si>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</si>
  <si>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</si>
  <si>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</si>
  <si>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</si>
  <si>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</si>
  <si>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</si>
  <si>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</si>
  <si>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</si>
  <si>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</si>
  <si>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</si>
  <si>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</si>
  <si>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</si>
  <si>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</si>
  <si>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</si>
  <si>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</si>
  <si>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</si>
  <si>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</si>
  <si>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</si>
  <si>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</si>
  <si>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</si>
  <si>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</si>
  <si>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</si>
  <si>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</si>
  <si>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</si>
  <si>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</si>
  <si>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</si>
  <si>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</si>
  <si>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</si>
  <si>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</si>
  <si>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</si>
  <si>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</si>
  <si>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</si>
  <si>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</si>
  <si>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</si>
  <si>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</si>
  <si>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</si>
  <si>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</si>
  <si>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</si>
  <si>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</si>
  <si>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</si>
  <si>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</si>
  <si>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</si>
  <si>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</si>
  <si>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</si>
  <si>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</si>
  <si>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</si>
  <si>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</si>
  <si>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</si>
  <si>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</si>
  <si>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</si>
  <si>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</si>
  <si>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</si>
  <si>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</si>
  <si>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</si>
  <si>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</si>
  <si>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</si>
  <si>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</si>
  <si>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</si>
  <si>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</si>
  <si>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</si>
  <si>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</si>
  <si>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</si>
  <si>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</si>
  <si>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</si>
  <si>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</si>
  <si>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</si>
  <si>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</si>
  <si>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</si>
  <si>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</si>
  <si>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</si>
  <si>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</si>
  <si>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</si>
  <si>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</si>
  <si>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</si>
  <si>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</si>
  <si>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</si>
  <si>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</si>
  <si>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</si>
  <si>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</si>
  <si>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</si>
  <si>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</si>
  <si>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</si>
  <si>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</si>
  <si>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</si>
  <si>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</si>
  <si>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</si>
  <si>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</si>
  <si>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</si>
  <si>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</si>
  <si>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</si>
  <si>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</si>
  <si>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</si>
  <si>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</si>
  <si>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</si>
  <si>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</si>
  <si>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</si>
  <si>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</si>
  <si>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</si>
  <si>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</si>
  <si>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</si>
  <si>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</si>
  <si>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</si>
  <si>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</si>
  <si>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</si>
  <si>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</si>
  <si>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</si>
  <si>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</si>
  <si>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</si>
  <si>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</si>
  <si>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</si>
  <si>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</si>
  <si>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</si>
  <si>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</si>
  <si>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</si>
  <si>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</si>
  <si>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</si>
  <si>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</si>
  <si>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</si>
  <si>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</si>
  <si>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</si>
  <si>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</si>
  <si>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</si>
  <si>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</si>
  <si>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</si>
  <si>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</si>
  <si>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</si>
  <si>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</si>
  <si>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</si>
  <si>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</si>
  <si>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</si>
  <si>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</si>
  <si>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</si>
  <si>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</si>
  <si>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</si>
  <si>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</si>
  <si>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</si>
  <si>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</si>
  <si>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</si>
  <si>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</si>
  <si>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</si>
  <si>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</si>
  <si>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</si>
  <si>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</si>
  <si>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</si>
  <si>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</si>
  <si>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</si>
  <si>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</si>
  <si>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</si>
  <si>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</si>
  <si>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</si>
  <si>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</si>
  <si>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</si>
  <si>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</si>
  <si>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</si>
  <si>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</si>
  <si>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</si>
  <si>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</si>
  <si>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</si>
  <si>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</si>
  <si>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</si>
  <si>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</si>
  <si>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</si>
  <si>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</si>
  <si>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</si>
  <si>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</si>
  <si>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</si>
  <si>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</si>
  <si>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</si>
  <si>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</si>
  <si>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</si>
  <si>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</si>
  <si>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</si>
  <si>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</si>
  <si>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</si>
  <si>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</si>
  <si>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</si>
  <si>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</si>
  <si>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</si>
  <si>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</si>
  <si>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</si>
  <si>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</si>
  <si>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</si>
  <si>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</si>
  <si>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</si>
  <si>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</si>
  <si>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</si>
  <si>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</si>
  <si>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</si>
  <si>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</si>
  <si>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</si>
  <si>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</si>
  <si>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</si>
  <si>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</si>
  <si>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</si>
  <si>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</si>
  <si>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</si>
  <si>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</si>
  <si>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</si>
  <si>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</si>
  <si>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</si>
  <si>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</si>
  <si>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</si>
  <si>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</si>
  <si>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</si>
  <si>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</si>
  <si>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</si>
  <si>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</si>
  <si>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</si>
  <si>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</si>
  <si>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</si>
  <si>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</si>
  <si>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</si>
  <si>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</si>
  <si>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</si>
  <si>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</si>
  <si>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</si>
  <si>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</si>
  <si>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</si>
  <si>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</si>
  <si>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</si>
  <si>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</si>
  <si>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</si>
  <si>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</si>
  <si>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</si>
  <si>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</si>
  <si>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</si>
  <si>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</si>
  <si>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</si>
  <si>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</si>
  <si>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</si>
  <si>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</si>
  <si>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</si>
  <si>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</si>
  <si>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</si>
  <si>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</si>
  <si>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</si>
  <si>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</si>
  <si>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</si>
  <si>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</si>
  <si>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</si>
  <si>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</si>
  <si>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</si>
  <si>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</si>
  <si>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</si>
  <si>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</si>
  <si>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</si>
  <si>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</si>
  <si>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</si>
  <si>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</si>
  <si>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</si>
  <si>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</si>
  <si>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</si>
  <si>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</si>
  <si>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</si>
  <si>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</si>
  <si>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</si>
  <si>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</si>
  <si>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</si>
  <si>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</si>
  <si>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</si>
  <si>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</si>
  <si>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</si>
  <si>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</si>
  <si>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</si>
  <si>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</si>
  <si>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</si>
  <si>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</si>
  <si>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</si>
  <si>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</si>
  <si>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</si>
  <si>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</si>
  <si>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</si>
  <si>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</si>
  <si>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</si>
  <si>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</si>
  <si>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</si>
  <si>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</si>
  <si>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</si>
  <si>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</si>
  <si>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</si>
  <si>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</si>
  <si>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</si>
  <si>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</si>
  <si>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</si>
  <si>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</si>
  <si>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</si>
  <si>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</si>
  <si>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</si>
  <si>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</si>
  <si>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</si>
  <si>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</si>
  <si>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</si>
  <si>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</si>
  <si>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</si>
  <si>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</si>
  <si>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</si>
  <si>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</si>
  <si>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</si>
  <si>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</si>
  <si>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</si>
  <si>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</si>
  <si>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</si>
  <si>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</si>
  <si>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</si>
  <si>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</si>
  <si>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</si>
  <si>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</si>
  <si>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</si>
  <si>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</si>
  <si>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</si>
  <si>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</si>
  <si>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</si>
  <si>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</si>
  <si>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</si>
  <si>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</si>
  <si>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</si>
  <si>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</si>
  <si>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</si>
  <si>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</si>
  <si>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</si>
  <si>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</si>
  <si>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</si>
  <si>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</si>
  <si>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</si>
  <si>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</si>
  <si>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</si>
  <si>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</si>
  <si>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</si>
  <si>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</si>
  <si>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</si>
  <si>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</si>
  <si>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</si>
  <si>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</si>
  <si>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</si>
  <si>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</si>
  <si>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</si>
  <si>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</si>
  <si>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</si>
  <si>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</si>
  <si>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</si>
  <si>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</si>
  <si>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</si>
  <si>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</si>
  <si>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</si>
  <si>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</si>
  <si>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</si>
  <si>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</si>
  <si>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</si>
  <si>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</si>
  <si>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</si>
  <si>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</si>
  <si>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</si>
  <si>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</si>
  <si>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</si>
  <si>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</si>
  <si>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</si>
  <si>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</si>
  <si>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</si>
  <si>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</si>
  <si>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</si>
  <si>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</si>
  <si>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</si>
  <si>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</si>
  <si>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</si>
  <si>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</si>
  <si>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</si>
  <si>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</si>
  <si>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</si>
  <si>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</si>
  <si>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</si>
  <si>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</si>
  <si>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</si>
  <si>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</si>
  <si>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</si>
  <si>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</si>
  <si>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</si>
  <si>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</si>
  <si>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</si>
  <si>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</si>
  <si>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</si>
  <si>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</si>
  <si>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</si>
  <si>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</si>
  <si>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</si>
  <si>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</si>
  <si>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</si>
  <si>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</si>
  <si>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</si>
  <si>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</si>
  <si>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</si>
  <si>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</si>
  <si>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</si>
  <si>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</si>
  <si>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</si>
  <si>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</si>
  <si>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</si>
  <si>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</si>
  <si>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</si>
  <si>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</si>
  <si>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</si>
  <si>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</si>
  <si>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</si>
  <si>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</si>
  <si>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</si>
  <si>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</si>
  <si>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</si>
  <si>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</si>
  <si>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</si>
  <si>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</si>
  <si>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</si>
  <si>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</si>
  <si>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</si>
  <si>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</si>
  <si>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</si>
  <si>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</si>
  <si>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</si>
  <si>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</si>
  <si>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</si>
  <si>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</si>
  <si>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</si>
  <si>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</si>
  <si>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</si>
  <si>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</si>
  <si>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</si>
  <si>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</si>
  <si>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</si>
  <si>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</si>
  <si>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</si>
  <si>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</si>
  <si>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</si>
  <si>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</si>
  <si>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</si>
  <si>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</si>
  <si>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</si>
  <si>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</si>
  <si>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</si>
  <si>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</si>
  <si>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</si>
  <si>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</si>
  <si>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</si>
  <si>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</si>
  <si>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</si>
  <si>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</si>
  <si>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</si>
  <si>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</si>
  <si>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</si>
  <si>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</si>
  <si>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</si>
  <si>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</si>
  <si>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</si>
  <si>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</si>
  <si>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</si>
  <si>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</si>
  <si>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</si>
  <si>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</si>
  <si>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</si>
  <si>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</si>
  <si>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</si>
  <si>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</si>
  <si>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</si>
  <si>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</si>
  <si>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</si>
  <si>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</si>
  <si>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</si>
  <si>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</si>
  <si>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</si>
  <si>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</si>
  <si>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</si>
  <si>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</si>
  <si>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</si>
  <si>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</si>
  <si>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</si>
  <si>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</si>
  <si>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</si>
  <si>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</si>
  <si>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</si>
  <si>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</si>
  <si>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</si>
  <si>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</si>
  <si>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</si>
  <si>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</si>
  <si>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</si>
  <si>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</si>
  <si>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</si>
  <si>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</si>
  <si>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</si>
  <si>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</si>
  <si>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</si>
  <si>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</si>
  <si>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</si>
  <si>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</si>
  <si>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</si>
  <si>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</si>
  <si>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</si>
  <si>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</si>
  <si>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</si>
  <si>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</si>
  <si>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</si>
  <si>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</si>
  <si>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</si>
  <si>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</si>
  <si>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</si>
  <si>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</si>
  <si>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</si>
  <si>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</si>
  <si>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</si>
  <si>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</si>
  <si>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</si>
  <si>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</si>
  <si>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</si>
  <si>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</si>
  <si>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</si>
  <si>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</si>
  <si>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</si>
  <si>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</si>
  <si>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</si>
  <si>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</si>
  <si>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</si>
  <si>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</si>
  <si>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</si>
  <si>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</si>
  <si>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</si>
  <si>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</si>
  <si>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</si>
  <si>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</si>
  <si>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</si>
  <si>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</si>
  <si>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</si>
  <si>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</si>
  <si>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</si>
  <si>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</si>
  <si>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</si>
  <si>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</si>
  <si>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</si>
  <si>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</si>
  <si>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</si>
  <si>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</si>
  <si>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</si>
  <si>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</si>
  <si>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</si>
  <si>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</si>
  <si>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</si>
  <si>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</si>
  <si>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</si>
  <si>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</si>
  <si>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</si>
  <si>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</si>
  <si>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</si>
  <si>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</si>
  <si>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 flag</t>
  </si>
  <si>
    <t>Active customer flag</t>
  </si>
  <si>
    <t>Tenure group</t>
  </si>
  <si>
    <t>Revenue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</si>
</sst>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85E7FF-12A5-48AE-9BC9-12D1F0E838ED}" name="Table1" displayName="Table1" ref="A1:Y7044" totalsRowShown="0">
  <autoFilter ref="A1:Y7044" xr:uid="{5A85E7FF-12A5-48AE-9BC9-12D1F0E838ED}"/>
  <tableColumns count="25">
    <tableColumn id="1" xr3:uid="{A5D561B1-4D77-458D-B861-95C9614F08EE}" name="customerID"/>
    <tableColumn id="2" xr3:uid="{E73A8975-5347-47D6-A6CC-3A614367BA85}" name="gender"/>
    <tableColumn id="3" xr3:uid="{2A4A187B-A527-40A7-9A81-A7F8F4B8EB46}" name="SeniorCitizen"/>
    <tableColumn id="4" xr3:uid="{0EC29426-159B-4426-8F79-EBB937CA9F68}" name="Partner"/>
    <tableColumn id="5" xr3:uid="{AE1DDE1D-CED4-4CC8-A01D-BF83AB51CA81}" name="Dependents"/>
    <tableColumn id="6" xr3:uid="{A2209851-8B74-42FA-A578-2BC2A49D428F}" name="tenure"/>
    <tableColumn id="7" xr3:uid="{163BB683-4CDB-46CB-A537-53A2A54FCAC5}" name="PhoneService"/>
    <tableColumn id="8" xr3:uid="{6F77CCC5-5D05-465D-A512-ADCEB155A1F6}" name="MultipleLines"/>
    <tableColumn id="9" xr3:uid="{3D4278AD-3E91-4B04-A9ED-8B1D758331E3}" name="InternetService"/>
    <tableColumn id="10" xr3:uid="{CFC536C0-D583-472D-A6AF-30825A4D6FB4}" name="OnlineSecurity"/>
    <tableColumn id="11" xr3:uid="{5D78B329-EEDC-4752-B1B0-441BA3A199A4}" name="OnlineBackup"/>
    <tableColumn id="12" xr3:uid="{3810EFBC-BF2E-47FD-92CF-BFFB12729E2F}" name="DeviceProtection"/>
    <tableColumn id="13" xr3:uid="{C2762A44-F69A-4F89-83A6-4E79CD74E7D1}" name="TechSupport"/>
    <tableColumn id="14" xr3:uid="{F25E9B9D-82D1-486D-B446-34B7096AB0E2}" name="StreamingTV"/>
    <tableColumn id="15" xr3:uid="{054F5D61-8BF3-4928-8815-05B354A3BF92}" name="StreamingMovies"/>
    <tableColumn id="16" xr3:uid="{BA16D513-53B6-42EB-8641-69575A39688F}" name="Contract"/>
    <tableColumn id="17" xr3:uid="{01C0EA61-C172-4A52-BA54-FF9493E2360B}" name="PaperlessBilling"/>
    <tableColumn id="18" xr3:uid="{9EB7BF46-27DD-4513-9896-501DC7405133}" name="PaymentMethod"/>
    <tableColumn id="19" xr3:uid="{9B5220F3-7499-46C2-833C-AE47ED78B092}" name="MonthlyCharges"/>
    <tableColumn id="20" xr3:uid="{16486F8A-4472-40FA-BEFF-880418AAFA8B}" name="TotalCharges"/>
    <tableColumn id="21" xr3:uid="{089B4F44-0FD4-42D4-83C1-F264BD07C8EC}" name="Churn"/>
    <tableColumn id="22" xr3:uid="{D9C71797-2393-4BED-9F03-F935CFAD0EEE}" name="churn flag" dataDxfId="3">
      <calculatedColumnFormula>IF(U2="Yes",1,0)</calculatedColumnFormula>
    </tableColumn>
    <tableColumn id="23" xr3:uid="{FDB22A05-CC43-41DF-9167-6330CF15FD4F}" name="Active customer flag" dataDxfId="2">
      <calculatedColumnFormula>IF(U2="No",1,0)</calculatedColumnFormula>
    </tableColumn>
    <tableColumn id="24" xr3:uid="{C144CCE6-89AC-4F84-9BF4-2A9E927F50A6}" name="Tenure group" dataDxfId="1">
      <calculatedColumnFormula>IF(F2&lt;=12,"0-12 Months",IF(F2&lt;=24,"13-24 Months",IF(F2&lt;=48,"25-48 Months","49+ Months")))</calculatedColumnFormula>
    </tableColumn>
    <tableColumn id="25" xr3:uid="{6FA6C136-FB98-4ECA-906C-3080FC3A12F8}" name="Revenue segment" dataDxfId="0">
      <calculatedColumnFormula>IF(S2&lt;50,"Low",IF(S2&lt;80,"Medium","High"))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8B0D-C8EB-47DF-B2A9-D517C5B22426}">
  <dimension ref="A1:Y7044"/>
  <sheetViews>
    <sheetView tabSelected="1" workbookViewId="0">
      <selection activeCell="W2" sqref="W2"/>
    </sheetView>
  </sheetViews>
  <sheetFormatPr defaultRowHeight="15" x14ac:dyDescent="0.25"/>
  <cols>
    <col min="1" max="1" width="16.7109375" customWidth="1"/>
    <col min="2" max="2" width="10.5703125" customWidth="1"/>
    <col min="3" max="3" width="15" customWidth="1"/>
    <col min="4" max="4" width="10" customWidth="1"/>
    <col min="5" max="5" width="14" customWidth="1"/>
    <col min="6" max="6" width="9.140625" customWidth="1"/>
    <col min="7" max="7" width="15.28515625" customWidth="1"/>
    <col min="8" max="8" width="17" customWidth="1"/>
    <col min="9" max="9" width="16.85546875" customWidth="1"/>
    <col min="10" max="10" width="20.7109375" customWidth="1"/>
    <col min="11" max="11" width="21.140625" customWidth="1"/>
    <col min="12" max="12" width="21" customWidth="1"/>
    <col min="13" max="13" width="19" customWidth="1"/>
    <col min="14" max="14" width="22.7109375" customWidth="1"/>
    <col min="15" max="15" width="22.140625" customWidth="1"/>
    <col min="16" max="16" width="16.42578125" customWidth="1"/>
    <col min="17" max="17" width="17.28515625" customWidth="1"/>
    <col min="18" max="18" width="24.28515625" customWidth="1"/>
    <col min="19" max="19" width="17.7109375" customWidth="1"/>
    <col min="20" max="20" width="14.5703125" customWidth="1"/>
    <col min="22" max="22" width="13" customWidth="1"/>
    <col min="23" max="23" width="21.5703125" customWidth="1"/>
    <col min="24" max="24" width="18" customWidth="1"/>
    <col min="25" max="25" width="19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7079</v>
      </c>
      <c r="W1" t="s">
        <v>7080</v>
      </c>
      <c r="X1" t="s">
        <v>7081</v>
      </c>
      <c r="Y1" t="s">
        <v>7082</v>
      </c>
    </row>
    <row r="2" spans="1:25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 t="shared" ref="V2:V65" si="0">IF(U2="Yes",1,0)</f>
        <v>0</v>
      </c>
      <c r="W2">
        <f t="shared" ref="W2:W65" si="1">IF(U2="No",1,0)</f>
        <v>1</v>
      </c>
      <c r="X2" t="str">
        <f t="shared" ref="X2:X65" si="2">IF(F2&lt;=12,"0-12 Months",IF(F2&lt;=24,"13-24 Months",IF(F2&lt;=48,"25-48 Months","49+ Months")))</f>
        <v>0-12 Months</v>
      </c>
      <c r="Y2" s="1" t="str">
        <f t="shared" ref="Y2:Y65" si="3">IF(S2&lt;50,"Low",IF(S2&lt;80,"Medium","High"))</f>
        <v>Low</v>
      </c>
    </row>
    <row r="3" spans="1:25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 t="shared" si="0"/>
        <v>0</v>
      </c>
      <c r="W3">
        <f t="shared" si="1"/>
        <v>1</v>
      </c>
      <c r="X3" t="str">
        <f t="shared" si="2"/>
        <v>25-48 Months</v>
      </c>
      <c r="Y3" s="1" t="str">
        <f t="shared" si="3"/>
        <v>Medium</v>
      </c>
    </row>
    <row r="4" spans="1:25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 t="shared" si="0"/>
        <v>1</v>
      </c>
      <c r="W4">
        <f t="shared" si="1"/>
        <v>0</v>
      </c>
      <c r="X4" t="str">
        <f t="shared" si="2"/>
        <v>0-12 Months</v>
      </c>
      <c r="Y4" s="1" t="str">
        <f t="shared" si="3"/>
        <v>Medium</v>
      </c>
    </row>
    <row r="5" spans="1:25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 t="shared" si="0"/>
        <v>0</v>
      </c>
      <c r="W5">
        <f t="shared" si="1"/>
        <v>1</v>
      </c>
      <c r="X5" t="str">
        <f t="shared" si="2"/>
        <v>25-48 Months</v>
      </c>
      <c r="Y5" s="1" t="str">
        <f t="shared" si="3"/>
        <v>Low</v>
      </c>
    </row>
    <row r="6" spans="1:25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1</v>
      </c>
      <c r="W6">
        <f t="shared" si="1"/>
        <v>0</v>
      </c>
      <c r="X6" t="str">
        <f t="shared" si="2"/>
        <v>0-12 Months</v>
      </c>
      <c r="Y6" s="1" t="str">
        <f t="shared" si="3"/>
        <v>Medium</v>
      </c>
    </row>
    <row r="7" spans="1:25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1</v>
      </c>
      <c r="W7">
        <f t="shared" si="1"/>
        <v>0</v>
      </c>
      <c r="X7" t="str">
        <f t="shared" si="2"/>
        <v>0-12 Months</v>
      </c>
      <c r="Y7" s="1" t="str">
        <f t="shared" si="3"/>
        <v>High</v>
      </c>
    </row>
    <row r="8" spans="1:25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 t="shared" si="0"/>
        <v>0</v>
      </c>
      <c r="W8">
        <f t="shared" si="1"/>
        <v>1</v>
      </c>
      <c r="X8" t="str">
        <f t="shared" si="2"/>
        <v>13-24 Months</v>
      </c>
      <c r="Y8" s="1" t="str">
        <f t="shared" si="3"/>
        <v>High</v>
      </c>
    </row>
    <row r="9" spans="1:25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 t="shared" si="0"/>
        <v>0</v>
      </c>
      <c r="W9">
        <f t="shared" si="1"/>
        <v>1</v>
      </c>
      <c r="X9" t="str">
        <f t="shared" si="2"/>
        <v>0-12 Months</v>
      </c>
      <c r="Y9" s="1" t="str">
        <f t="shared" si="3"/>
        <v>Low</v>
      </c>
    </row>
    <row r="10" spans="1:25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1</v>
      </c>
      <c r="W10">
        <f t="shared" si="1"/>
        <v>0</v>
      </c>
      <c r="X10" t="str">
        <f t="shared" si="2"/>
        <v>25-48 Months</v>
      </c>
      <c r="Y10" s="1" t="str">
        <f t="shared" si="3"/>
        <v>High</v>
      </c>
    </row>
    <row r="11" spans="1:25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 t="shared" si="0"/>
        <v>0</v>
      </c>
      <c r="W11">
        <f t="shared" si="1"/>
        <v>1</v>
      </c>
      <c r="X11" t="str">
        <f t="shared" si="2"/>
        <v>49+ Months</v>
      </c>
      <c r="Y11" s="1" t="str">
        <f t="shared" si="3"/>
        <v>Medium</v>
      </c>
    </row>
    <row r="12" spans="1:25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 t="shared" si="0"/>
        <v>0</v>
      </c>
      <c r="W12">
        <f t="shared" si="1"/>
        <v>1</v>
      </c>
      <c r="X12" t="str">
        <f t="shared" si="2"/>
        <v>13-24 Months</v>
      </c>
      <c r="Y12" s="1" t="str">
        <f t="shared" si="3"/>
        <v>Low</v>
      </c>
    </row>
    <row r="13" spans="1:25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 t="shared" si="0"/>
        <v>0</v>
      </c>
      <c r="W13">
        <f t="shared" si="1"/>
        <v>1</v>
      </c>
      <c r="X13" t="str">
        <f t="shared" si="2"/>
        <v>13-24 Months</v>
      </c>
      <c r="Y13" s="1" t="str">
        <f t="shared" si="3"/>
        <v>Low</v>
      </c>
    </row>
    <row r="14" spans="1:25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 t="shared" si="0"/>
        <v>0</v>
      </c>
      <c r="W14">
        <f t="shared" si="1"/>
        <v>1</v>
      </c>
      <c r="X14" t="str">
        <f t="shared" si="2"/>
        <v>49+ Months</v>
      </c>
      <c r="Y14" s="1" t="str">
        <f t="shared" si="3"/>
        <v>High</v>
      </c>
    </row>
    <row r="15" spans="1:25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 t="shared" si="0"/>
        <v>1</v>
      </c>
      <c r="W15">
        <f t="shared" si="1"/>
        <v>0</v>
      </c>
      <c r="X15" t="str">
        <f t="shared" si="2"/>
        <v>49+ Months</v>
      </c>
      <c r="Y15" s="1" t="str">
        <f t="shared" si="3"/>
        <v>High</v>
      </c>
    </row>
    <row r="16" spans="1:25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0</v>
      </c>
      <c r="W16">
        <f t="shared" si="1"/>
        <v>1</v>
      </c>
      <c r="X16" t="str">
        <f t="shared" si="2"/>
        <v>25-48 Months</v>
      </c>
      <c r="Y16" s="1" t="str">
        <f t="shared" si="3"/>
        <v>High</v>
      </c>
    </row>
    <row r="17" spans="1:25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 t="shared" si="0"/>
        <v>0</v>
      </c>
      <c r="W17">
        <f t="shared" si="1"/>
        <v>1</v>
      </c>
      <c r="X17" t="str">
        <f t="shared" si="2"/>
        <v>49+ Months</v>
      </c>
      <c r="Y17" s="1" t="str">
        <f t="shared" si="3"/>
        <v>High</v>
      </c>
    </row>
    <row r="18" spans="1:25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 t="shared" si="0"/>
        <v>0</v>
      </c>
      <c r="W18">
        <f t="shared" si="1"/>
        <v>1</v>
      </c>
      <c r="X18" t="str">
        <f t="shared" si="2"/>
        <v>49+ Months</v>
      </c>
      <c r="Y18" s="1" t="str">
        <f t="shared" si="3"/>
        <v>Low</v>
      </c>
    </row>
    <row r="19" spans="1:25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 t="shared" si="0"/>
        <v>0</v>
      </c>
      <c r="W19">
        <f t="shared" si="1"/>
        <v>1</v>
      </c>
      <c r="X19" t="str">
        <f t="shared" si="2"/>
        <v>49+ Months</v>
      </c>
      <c r="Y19" s="1" t="str">
        <f t="shared" si="3"/>
        <v>High</v>
      </c>
    </row>
    <row r="20" spans="1:25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 t="shared" si="0"/>
        <v>1</v>
      </c>
      <c r="W20">
        <f t="shared" si="1"/>
        <v>0</v>
      </c>
      <c r="X20" t="str">
        <f t="shared" si="2"/>
        <v>0-12 Months</v>
      </c>
      <c r="Y20" s="1" t="str">
        <f t="shared" si="3"/>
        <v>Medium</v>
      </c>
    </row>
    <row r="21" spans="1:25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0</v>
      </c>
      <c r="W21">
        <f t="shared" si="1"/>
        <v>1</v>
      </c>
      <c r="X21" t="str">
        <f t="shared" si="2"/>
        <v>13-24 Months</v>
      </c>
      <c r="Y21" s="1" t="str">
        <f t="shared" si="3"/>
        <v>High</v>
      </c>
    </row>
    <row r="22" spans="1:25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1</v>
      </c>
      <c r="W22">
        <f t="shared" si="1"/>
        <v>0</v>
      </c>
      <c r="X22" t="str">
        <f t="shared" si="2"/>
        <v>0-12 Months</v>
      </c>
      <c r="Y22" s="1" t="str">
        <f t="shared" si="3"/>
        <v>Low</v>
      </c>
    </row>
    <row r="23" spans="1:25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 t="shared" si="0"/>
        <v>0</v>
      </c>
      <c r="W23">
        <f t="shared" si="1"/>
        <v>1</v>
      </c>
      <c r="X23" t="str">
        <f t="shared" si="2"/>
        <v>0-12 Months</v>
      </c>
      <c r="Y23" s="1" t="str">
        <f t="shared" si="3"/>
        <v>Low</v>
      </c>
    </row>
    <row r="24" spans="1:25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 t="shared" si="0"/>
        <v>1</v>
      </c>
      <c r="W24">
        <f t="shared" si="1"/>
        <v>0</v>
      </c>
      <c r="X24" t="str">
        <f t="shared" si="2"/>
        <v>0-12 Months</v>
      </c>
      <c r="Y24" s="1" t="str">
        <f t="shared" si="3"/>
        <v>Low</v>
      </c>
    </row>
    <row r="25" spans="1:25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 t="shared" si="0"/>
        <v>0</v>
      </c>
      <c r="W25">
        <f t="shared" si="1"/>
        <v>1</v>
      </c>
      <c r="X25" t="str">
        <f t="shared" si="2"/>
        <v>49+ Months</v>
      </c>
      <c r="Y25" s="1" t="str">
        <f t="shared" si="3"/>
        <v>Medium</v>
      </c>
    </row>
    <row r="26" spans="1:25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 t="shared" si="0"/>
        <v>0</v>
      </c>
      <c r="W26">
        <f t="shared" si="1"/>
        <v>1</v>
      </c>
      <c r="X26" t="str">
        <f t="shared" si="2"/>
        <v>49+ Months</v>
      </c>
      <c r="Y26" s="1" t="str">
        <f t="shared" si="3"/>
        <v>Medium</v>
      </c>
    </row>
    <row r="27" spans="1:25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 t="shared" si="0"/>
        <v>0</v>
      </c>
      <c r="W27">
        <f t="shared" si="1"/>
        <v>1</v>
      </c>
      <c r="X27" t="str">
        <f t="shared" si="2"/>
        <v>25-48 Months</v>
      </c>
      <c r="Y27" s="1" t="str">
        <f t="shared" si="3"/>
        <v>Medium</v>
      </c>
    </row>
    <row r="28" spans="1:25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1</v>
      </c>
      <c r="W28">
        <f t="shared" si="1"/>
        <v>0</v>
      </c>
      <c r="X28" t="str">
        <f t="shared" si="2"/>
        <v>25-48 Months</v>
      </c>
      <c r="Y28" s="1" t="str">
        <f t="shared" si="3"/>
        <v>High</v>
      </c>
    </row>
    <row r="29" spans="1:25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1</v>
      </c>
      <c r="W29">
        <f t="shared" si="1"/>
        <v>0</v>
      </c>
      <c r="X29" t="str">
        <f t="shared" si="2"/>
        <v>0-12 Months</v>
      </c>
      <c r="Y29" s="1" t="str">
        <f t="shared" si="3"/>
        <v>Low</v>
      </c>
    </row>
    <row r="30" spans="1:25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 t="shared" si="0"/>
        <v>0</v>
      </c>
      <c r="W30">
        <f t="shared" si="1"/>
        <v>1</v>
      </c>
      <c r="X30" t="str">
        <f t="shared" si="2"/>
        <v>49+ Months</v>
      </c>
      <c r="Y30" s="1" t="str">
        <f t="shared" si="3"/>
        <v>High</v>
      </c>
    </row>
    <row r="31" spans="1:25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 t="shared" si="0"/>
        <v>1</v>
      </c>
      <c r="W31">
        <f t="shared" si="1"/>
        <v>0</v>
      </c>
      <c r="X31" t="str">
        <f t="shared" si="2"/>
        <v>13-24 Months</v>
      </c>
      <c r="Y31" s="1" t="str">
        <f t="shared" si="3"/>
        <v>Medium</v>
      </c>
    </row>
    <row r="32" spans="1:25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 t="shared" si="0"/>
        <v>0</v>
      </c>
      <c r="W32">
        <f t="shared" si="1"/>
        <v>1</v>
      </c>
      <c r="X32" t="str">
        <f t="shared" si="2"/>
        <v>49+ Months</v>
      </c>
      <c r="Y32" s="1" t="str">
        <f t="shared" si="3"/>
        <v>High</v>
      </c>
    </row>
    <row r="33" spans="1:25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 t="shared" si="0"/>
        <v>0</v>
      </c>
      <c r="W33">
        <f t="shared" si="1"/>
        <v>1</v>
      </c>
      <c r="X33" t="str">
        <f t="shared" si="2"/>
        <v>0-12 Months</v>
      </c>
      <c r="Y33" s="1" t="str">
        <f t="shared" si="3"/>
        <v>High</v>
      </c>
    </row>
    <row r="34" spans="1:25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 t="shared" si="0"/>
        <v>0</v>
      </c>
      <c r="W34">
        <f t="shared" si="1"/>
        <v>1</v>
      </c>
      <c r="X34" t="str">
        <f t="shared" si="2"/>
        <v>25-48 Months</v>
      </c>
      <c r="Y34" s="1" t="str">
        <f t="shared" si="3"/>
        <v>Medium</v>
      </c>
    </row>
    <row r="35" spans="1:25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 t="shared" si="0"/>
        <v>0</v>
      </c>
      <c r="W35">
        <f t="shared" si="1"/>
        <v>1</v>
      </c>
      <c r="X35" t="str">
        <f t="shared" si="2"/>
        <v>0-12 Months</v>
      </c>
      <c r="Y35" s="1" t="str">
        <f t="shared" si="3"/>
        <v>Low</v>
      </c>
    </row>
    <row r="36" spans="1:25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 t="shared" si="0"/>
        <v>0</v>
      </c>
      <c r="W36">
        <f t="shared" si="1"/>
        <v>1</v>
      </c>
      <c r="X36" t="str">
        <f t="shared" si="2"/>
        <v>0-12 Months</v>
      </c>
      <c r="Y36" s="1" t="str">
        <f t="shared" si="3"/>
        <v>Low</v>
      </c>
    </row>
    <row r="37" spans="1:25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 t="shared" si="0"/>
        <v>0</v>
      </c>
      <c r="W37">
        <f t="shared" si="1"/>
        <v>1</v>
      </c>
      <c r="X37" t="str">
        <f t="shared" si="2"/>
        <v>49+ Months</v>
      </c>
      <c r="Y37" s="1" t="str">
        <f t="shared" si="3"/>
        <v>High</v>
      </c>
    </row>
    <row r="38" spans="1:25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1</v>
      </c>
      <c r="W38">
        <f t="shared" si="1"/>
        <v>0</v>
      </c>
      <c r="X38" t="str">
        <f t="shared" si="2"/>
        <v>0-12 Months</v>
      </c>
      <c r="Y38" s="1" t="str">
        <f t="shared" si="3"/>
        <v>Medium</v>
      </c>
    </row>
    <row r="39" spans="1:25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 t="shared" si="0"/>
        <v>0</v>
      </c>
      <c r="W39">
        <f t="shared" si="1"/>
        <v>1</v>
      </c>
      <c r="X39" t="str">
        <f t="shared" si="2"/>
        <v>25-48 Months</v>
      </c>
      <c r="Y39" s="1" t="str">
        <f t="shared" si="3"/>
        <v>Medium</v>
      </c>
    </row>
    <row r="40" spans="1:25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1</v>
      </c>
      <c r="W40">
        <f t="shared" si="1"/>
        <v>0</v>
      </c>
      <c r="X40" t="str">
        <f t="shared" si="2"/>
        <v>25-48 Months</v>
      </c>
      <c r="Y40" s="1" t="str">
        <f t="shared" si="3"/>
        <v>High</v>
      </c>
    </row>
    <row r="41" spans="1:25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 t="shared" si="0"/>
        <v>1</v>
      </c>
      <c r="W41">
        <f t="shared" si="1"/>
        <v>0</v>
      </c>
      <c r="X41" t="str">
        <f t="shared" si="2"/>
        <v>0-12 Months</v>
      </c>
      <c r="Y41" s="1" t="str">
        <f t="shared" si="3"/>
        <v>High</v>
      </c>
    </row>
    <row r="42" spans="1:25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 t="shared" si="0"/>
        <v>0</v>
      </c>
      <c r="W42">
        <f t="shared" si="1"/>
        <v>1</v>
      </c>
      <c r="X42" t="str">
        <f t="shared" si="2"/>
        <v>0-12 Months</v>
      </c>
      <c r="Y42" s="1" t="str">
        <f t="shared" si="3"/>
        <v>Low</v>
      </c>
    </row>
    <row r="43" spans="1:25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 t="shared" si="0"/>
        <v>0</v>
      </c>
      <c r="W43">
        <f t="shared" si="1"/>
        <v>1</v>
      </c>
      <c r="X43" t="str">
        <f t="shared" si="2"/>
        <v>49+ Months</v>
      </c>
      <c r="Y43" s="1" t="str">
        <f t="shared" si="3"/>
        <v>Medium</v>
      </c>
    </row>
    <row r="44" spans="1:25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 t="shared" si="0"/>
        <v>0</v>
      </c>
      <c r="W44">
        <f t="shared" si="1"/>
        <v>1</v>
      </c>
      <c r="X44" t="str">
        <f t="shared" si="2"/>
        <v>13-24 Months</v>
      </c>
      <c r="Y44" s="1" t="str">
        <f t="shared" si="3"/>
        <v>Low</v>
      </c>
    </row>
    <row r="45" spans="1:25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 t="shared" si="0"/>
        <v>0</v>
      </c>
      <c r="W45">
        <f t="shared" si="1"/>
        <v>1</v>
      </c>
      <c r="X45" t="str">
        <f t="shared" si="2"/>
        <v>49+ Months</v>
      </c>
      <c r="Y45" s="1" t="str">
        <f t="shared" si="3"/>
        <v>Medium</v>
      </c>
    </row>
    <row r="46" spans="1:25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0</v>
      </c>
      <c r="W46">
        <f t="shared" si="1"/>
        <v>1</v>
      </c>
      <c r="X46" t="str">
        <f t="shared" si="2"/>
        <v>13-24 Months</v>
      </c>
      <c r="Y46" s="1" t="str">
        <f t="shared" si="3"/>
        <v>Medium</v>
      </c>
    </row>
    <row r="47" spans="1:25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0</v>
      </c>
      <c r="W47">
        <f t="shared" si="1"/>
        <v>1</v>
      </c>
      <c r="X47" t="str">
        <f t="shared" si="2"/>
        <v>49+ Months</v>
      </c>
      <c r="Y47" s="1" t="str">
        <f t="shared" si="3"/>
        <v>High</v>
      </c>
    </row>
    <row r="48" spans="1:25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 t="shared" si="0"/>
        <v>0</v>
      </c>
      <c r="W48">
        <f t="shared" si="1"/>
        <v>1</v>
      </c>
      <c r="X48" t="str">
        <f t="shared" si="2"/>
        <v>0-12 Months</v>
      </c>
      <c r="Y48" s="1" t="str">
        <f t="shared" si="3"/>
        <v>Low</v>
      </c>
    </row>
    <row r="49" spans="1:25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1</v>
      </c>
      <c r="W49">
        <f t="shared" si="1"/>
        <v>0</v>
      </c>
      <c r="X49" t="str">
        <f t="shared" si="2"/>
        <v>0-12 Months</v>
      </c>
      <c r="Y49" s="1" t="str">
        <f t="shared" si="3"/>
        <v>High</v>
      </c>
    </row>
    <row r="50" spans="1:25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 t="shared" si="0"/>
        <v>0</v>
      </c>
      <c r="W50">
        <f t="shared" si="1"/>
        <v>1</v>
      </c>
      <c r="X50" t="str">
        <f t="shared" si="2"/>
        <v>49+ Months</v>
      </c>
      <c r="Y50" s="1" t="str">
        <f t="shared" si="3"/>
        <v>Medium</v>
      </c>
    </row>
    <row r="51" spans="1:25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 t="shared" si="0"/>
        <v>0</v>
      </c>
      <c r="W51">
        <f t="shared" si="1"/>
        <v>1</v>
      </c>
      <c r="X51" t="str">
        <f t="shared" si="2"/>
        <v>49+ Months</v>
      </c>
      <c r="Y51" s="1" t="str">
        <f t="shared" si="3"/>
        <v>Medium</v>
      </c>
    </row>
    <row r="52" spans="1:25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0</v>
      </c>
      <c r="W52">
        <f t="shared" si="1"/>
        <v>1</v>
      </c>
      <c r="X52" t="str">
        <f t="shared" si="2"/>
        <v>25-48 Months</v>
      </c>
      <c r="Y52" s="1" t="str">
        <f t="shared" si="3"/>
        <v>High</v>
      </c>
    </row>
    <row r="53" spans="1:25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 t="shared" si="0"/>
        <v>1</v>
      </c>
      <c r="W53">
        <f t="shared" si="1"/>
        <v>0</v>
      </c>
      <c r="X53" t="str">
        <f t="shared" si="2"/>
        <v>13-24 Months</v>
      </c>
      <c r="Y53" s="1" t="str">
        <f t="shared" si="3"/>
        <v>High</v>
      </c>
    </row>
    <row r="54" spans="1:25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 t="shared" si="0"/>
        <v>0</v>
      </c>
      <c r="W54">
        <f t="shared" si="1"/>
        <v>1</v>
      </c>
      <c r="X54" t="str">
        <f t="shared" si="2"/>
        <v>25-48 Months</v>
      </c>
      <c r="Y54" s="1" t="str">
        <f t="shared" si="3"/>
        <v>Medium</v>
      </c>
    </row>
    <row r="55" spans="1:25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 t="shared" si="0"/>
        <v>1</v>
      </c>
      <c r="W55">
        <f t="shared" si="1"/>
        <v>0</v>
      </c>
      <c r="X55" t="str">
        <f t="shared" si="2"/>
        <v>0-12 Months</v>
      </c>
      <c r="Y55" s="1" t="str">
        <f t="shared" si="3"/>
        <v>High</v>
      </c>
    </row>
    <row r="56" spans="1:25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 t="shared" si="0"/>
        <v>0</v>
      </c>
      <c r="W56">
        <f t="shared" si="1"/>
        <v>1</v>
      </c>
      <c r="X56" t="str">
        <f t="shared" si="2"/>
        <v>49+ Months</v>
      </c>
      <c r="Y56" s="1" t="str">
        <f t="shared" si="3"/>
        <v>Medium</v>
      </c>
    </row>
    <row r="57" spans="1:25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1</v>
      </c>
      <c r="W57">
        <f t="shared" si="1"/>
        <v>0</v>
      </c>
      <c r="X57" t="str">
        <f t="shared" si="2"/>
        <v>13-24 Months</v>
      </c>
      <c r="Y57" s="1" t="str">
        <f t="shared" si="3"/>
        <v>High</v>
      </c>
    </row>
    <row r="58" spans="1:25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 t="shared" si="0"/>
        <v>0</v>
      </c>
      <c r="W58">
        <f t="shared" si="1"/>
        <v>1</v>
      </c>
      <c r="X58" t="str">
        <f t="shared" si="2"/>
        <v>49+ Months</v>
      </c>
      <c r="Y58" s="1" t="str">
        <f t="shared" si="3"/>
        <v>High</v>
      </c>
    </row>
    <row r="59" spans="1:25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0</v>
      </c>
      <c r="W59">
        <f t="shared" si="1"/>
        <v>1</v>
      </c>
      <c r="X59" t="str">
        <f t="shared" si="2"/>
        <v>49+ Months</v>
      </c>
      <c r="Y59" s="1" t="str">
        <f t="shared" si="3"/>
        <v>High</v>
      </c>
    </row>
    <row r="60" spans="1:25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 t="shared" si="0"/>
        <v>0</v>
      </c>
      <c r="W60">
        <f t="shared" si="1"/>
        <v>1</v>
      </c>
      <c r="X60" t="str">
        <f t="shared" si="2"/>
        <v>25-48 Months</v>
      </c>
      <c r="Y60" s="1" t="str">
        <f t="shared" si="3"/>
        <v>Low</v>
      </c>
    </row>
    <row r="61" spans="1:25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 t="shared" si="0"/>
        <v>0</v>
      </c>
      <c r="W61">
        <f t="shared" si="1"/>
        <v>1</v>
      </c>
      <c r="X61" t="str">
        <f t="shared" si="2"/>
        <v>49+ Months</v>
      </c>
      <c r="Y61" s="1" t="str">
        <f t="shared" si="3"/>
        <v>High</v>
      </c>
    </row>
    <row r="62" spans="1:25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0</v>
      </c>
      <c r="W62">
        <f t="shared" si="1"/>
        <v>1</v>
      </c>
      <c r="X62" t="str">
        <f t="shared" si="2"/>
        <v>25-48 Months</v>
      </c>
      <c r="Y62" s="1" t="str">
        <f t="shared" si="3"/>
        <v>High</v>
      </c>
    </row>
    <row r="63" spans="1:25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 t="shared" si="0"/>
        <v>0</v>
      </c>
      <c r="W63">
        <f t="shared" si="1"/>
        <v>1</v>
      </c>
      <c r="X63" t="str">
        <f t="shared" si="2"/>
        <v>49+ Months</v>
      </c>
      <c r="Y63" s="1" t="str">
        <f t="shared" si="3"/>
        <v>High</v>
      </c>
    </row>
    <row r="64" spans="1:25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 t="shared" si="0"/>
        <v>0</v>
      </c>
      <c r="W64">
        <f t="shared" si="1"/>
        <v>1</v>
      </c>
      <c r="X64" t="str">
        <f t="shared" si="2"/>
        <v>49+ Months</v>
      </c>
      <c r="Y64" s="1" t="str">
        <f t="shared" si="3"/>
        <v>Low</v>
      </c>
    </row>
    <row r="65" spans="1:25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 t="shared" si="0"/>
        <v>0</v>
      </c>
      <c r="W65">
        <f t="shared" si="1"/>
        <v>1</v>
      </c>
      <c r="X65" t="str">
        <f t="shared" si="2"/>
        <v>13-24 Months</v>
      </c>
      <c r="Y65" s="1" t="str">
        <f t="shared" si="3"/>
        <v>Medium</v>
      </c>
    </row>
    <row r="66" spans="1:25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ref="V66:V129" si="4">IF(U66="Yes",1,0)</f>
        <v>1</v>
      </c>
      <c r="W66">
        <f t="shared" ref="W66:W129" si="5">IF(U66="No",1,0)</f>
        <v>0</v>
      </c>
      <c r="X66" t="str">
        <f t="shared" ref="X66:X129" si="6">IF(F66&lt;=12,"0-12 Months",IF(F66&lt;=24,"13-24 Months",IF(F66&lt;=48,"25-48 Months","49+ Months")))</f>
        <v>0-12 Months</v>
      </c>
      <c r="Y66" s="1" t="str">
        <f t="shared" ref="Y66:Y129" si="7">IF(S66&lt;50,"Low",IF(S66&lt;80,"Medium","High"))</f>
        <v>High</v>
      </c>
    </row>
    <row r="67" spans="1:25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si="4"/>
        <v>0</v>
      </c>
      <c r="W67">
        <f t="shared" si="5"/>
        <v>1</v>
      </c>
      <c r="X67" t="str">
        <f t="shared" si="6"/>
        <v>0-12 Months</v>
      </c>
      <c r="Y67" s="1" t="str">
        <f t="shared" si="7"/>
        <v>Medium</v>
      </c>
    </row>
    <row r="68" spans="1:25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4"/>
        <v>0</v>
      </c>
      <c r="W68">
        <f t="shared" si="5"/>
        <v>1</v>
      </c>
      <c r="X68" t="str">
        <f t="shared" si="6"/>
        <v>25-48 Months</v>
      </c>
      <c r="Y68" s="1" t="str">
        <f t="shared" si="7"/>
        <v>Medium</v>
      </c>
    </row>
    <row r="69" spans="1:25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 t="shared" si="4"/>
        <v>0</v>
      </c>
      <c r="W69">
        <f t="shared" si="5"/>
        <v>1</v>
      </c>
      <c r="X69" t="str">
        <f t="shared" si="6"/>
        <v>25-48 Months</v>
      </c>
      <c r="Y69" s="1" t="str">
        <f t="shared" si="7"/>
        <v>Medium</v>
      </c>
    </row>
    <row r="70" spans="1:25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 t="shared" si="4"/>
        <v>0</v>
      </c>
      <c r="W70">
        <f t="shared" si="5"/>
        <v>1</v>
      </c>
      <c r="X70" t="str">
        <f t="shared" si="6"/>
        <v>49+ Months</v>
      </c>
      <c r="Y70" s="1" t="str">
        <f t="shared" si="7"/>
        <v>Low</v>
      </c>
    </row>
    <row r="71" spans="1:25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 t="shared" si="4"/>
        <v>0</v>
      </c>
      <c r="W71">
        <f t="shared" si="5"/>
        <v>1</v>
      </c>
      <c r="X71" t="str">
        <f t="shared" si="6"/>
        <v>0-12 Months</v>
      </c>
      <c r="Y71" s="1" t="str">
        <f t="shared" si="7"/>
        <v>Medium</v>
      </c>
    </row>
    <row r="72" spans="1:25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 t="shared" si="4"/>
        <v>0</v>
      </c>
      <c r="W72">
        <f t="shared" si="5"/>
        <v>1</v>
      </c>
      <c r="X72" t="str">
        <f t="shared" si="6"/>
        <v>0-12 Months</v>
      </c>
      <c r="Y72" s="1" t="str">
        <f t="shared" si="7"/>
        <v>Low</v>
      </c>
    </row>
    <row r="73" spans="1:25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4"/>
        <v>0</v>
      </c>
      <c r="W73">
        <f t="shared" si="5"/>
        <v>1</v>
      </c>
      <c r="X73" t="str">
        <f t="shared" si="6"/>
        <v>49+ Months</v>
      </c>
      <c r="Y73" s="1" t="str">
        <f t="shared" si="7"/>
        <v>Low</v>
      </c>
    </row>
    <row r="74" spans="1:25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 t="shared" si="4"/>
        <v>0</v>
      </c>
      <c r="W74">
        <f t="shared" si="5"/>
        <v>1</v>
      </c>
      <c r="X74" t="str">
        <f t="shared" si="6"/>
        <v>49+ Months</v>
      </c>
      <c r="Y74" s="1" t="str">
        <f t="shared" si="7"/>
        <v>High</v>
      </c>
    </row>
    <row r="75" spans="1:25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 t="shared" si="4"/>
        <v>0</v>
      </c>
      <c r="W75">
        <f t="shared" si="5"/>
        <v>1</v>
      </c>
      <c r="X75" t="str">
        <f t="shared" si="6"/>
        <v>49+ Months</v>
      </c>
      <c r="Y75" s="1" t="str">
        <f t="shared" si="7"/>
        <v>Low</v>
      </c>
    </row>
    <row r="76" spans="1:25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 t="shared" si="4"/>
        <v>0</v>
      </c>
      <c r="W76">
        <f t="shared" si="5"/>
        <v>1</v>
      </c>
      <c r="X76" t="str">
        <f t="shared" si="6"/>
        <v>0-12 Months</v>
      </c>
      <c r="Y76" s="1" t="str">
        <f t="shared" si="7"/>
        <v>Medium</v>
      </c>
    </row>
    <row r="77" spans="1:25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4"/>
        <v>0</v>
      </c>
      <c r="W77">
        <f t="shared" si="5"/>
        <v>1</v>
      </c>
      <c r="X77" t="str">
        <f t="shared" si="6"/>
        <v>49+ Months</v>
      </c>
      <c r="Y77" s="1" t="str">
        <f t="shared" si="7"/>
        <v>High</v>
      </c>
    </row>
    <row r="78" spans="1:25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 t="shared" si="4"/>
        <v>0</v>
      </c>
      <c r="W78">
        <f t="shared" si="5"/>
        <v>1</v>
      </c>
      <c r="X78" t="str">
        <f t="shared" si="6"/>
        <v>25-48 Months</v>
      </c>
      <c r="Y78" s="1" t="str">
        <f t="shared" si="7"/>
        <v>Medium</v>
      </c>
    </row>
    <row r="79" spans="1:25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 t="shared" si="4"/>
        <v>0</v>
      </c>
      <c r="W79">
        <f t="shared" si="5"/>
        <v>1</v>
      </c>
      <c r="X79" t="str">
        <f t="shared" si="6"/>
        <v>0-12 Months</v>
      </c>
      <c r="Y79" s="1" t="str">
        <f t="shared" si="7"/>
        <v>Medium</v>
      </c>
    </row>
    <row r="80" spans="1:25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4"/>
        <v>0</v>
      </c>
      <c r="W80">
        <f t="shared" si="5"/>
        <v>1</v>
      </c>
      <c r="X80" t="str">
        <f t="shared" si="6"/>
        <v>25-48 Months</v>
      </c>
      <c r="Y80" s="1" t="str">
        <f t="shared" si="7"/>
        <v>Medium</v>
      </c>
    </row>
    <row r="81" spans="1:25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 t="shared" si="4"/>
        <v>0</v>
      </c>
      <c r="W81">
        <f t="shared" si="5"/>
        <v>1</v>
      </c>
      <c r="X81" t="str">
        <f t="shared" si="6"/>
        <v>25-48 Months</v>
      </c>
      <c r="Y81" s="1" t="str">
        <f t="shared" si="7"/>
        <v>Low</v>
      </c>
    </row>
    <row r="82" spans="1:25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4"/>
        <v>1</v>
      </c>
      <c r="W82">
        <f t="shared" si="5"/>
        <v>0</v>
      </c>
      <c r="X82" t="str">
        <f t="shared" si="6"/>
        <v>0-12 Months</v>
      </c>
      <c r="Y82" s="1" t="str">
        <f t="shared" si="7"/>
        <v>Medium</v>
      </c>
    </row>
    <row r="83" spans="1:25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4"/>
        <v>0</v>
      </c>
      <c r="W83">
        <f t="shared" si="5"/>
        <v>1</v>
      </c>
      <c r="X83" t="str">
        <f t="shared" si="6"/>
        <v>0-12 Months</v>
      </c>
      <c r="Y83" s="1" t="str">
        <f t="shared" si="7"/>
        <v>Medium</v>
      </c>
    </row>
    <row r="84" spans="1:25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 t="shared" si="4"/>
        <v>1</v>
      </c>
      <c r="W84">
        <f t="shared" si="5"/>
        <v>0</v>
      </c>
      <c r="X84" t="str">
        <f t="shared" si="6"/>
        <v>0-12 Months</v>
      </c>
      <c r="Y84" s="1" t="str">
        <f t="shared" si="7"/>
        <v>Medium</v>
      </c>
    </row>
    <row r="85" spans="1:25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 t="shared" si="4"/>
        <v>0</v>
      </c>
      <c r="W85">
        <f t="shared" si="5"/>
        <v>1</v>
      </c>
      <c r="X85" t="str">
        <f t="shared" si="6"/>
        <v>25-48 Months</v>
      </c>
      <c r="Y85" s="1" t="str">
        <f t="shared" si="7"/>
        <v>High</v>
      </c>
    </row>
    <row r="86" spans="1:25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 t="shared" si="4"/>
        <v>0</v>
      </c>
      <c r="W86">
        <f t="shared" si="5"/>
        <v>1</v>
      </c>
      <c r="X86" t="str">
        <f t="shared" si="6"/>
        <v>49+ Months</v>
      </c>
      <c r="Y86" s="1" t="str">
        <f t="shared" si="7"/>
        <v>Low</v>
      </c>
    </row>
    <row r="87" spans="1:25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 t="shared" si="4"/>
        <v>0</v>
      </c>
      <c r="W87">
        <f t="shared" si="5"/>
        <v>1</v>
      </c>
      <c r="X87" t="str">
        <f t="shared" si="6"/>
        <v>0-12 Months</v>
      </c>
      <c r="Y87" s="1" t="str">
        <f t="shared" si="7"/>
        <v>High</v>
      </c>
    </row>
    <row r="88" spans="1:25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 t="shared" si="4"/>
        <v>0</v>
      </c>
      <c r="W88">
        <f t="shared" si="5"/>
        <v>1</v>
      </c>
      <c r="X88" t="str">
        <f t="shared" si="6"/>
        <v>25-48 Months</v>
      </c>
      <c r="Y88" s="1" t="str">
        <f t="shared" si="7"/>
        <v>Medium</v>
      </c>
    </row>
    <row r="89" spans="1:25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 t="shared" si="4"/>
        <v>0</v>
      </c>
      <c r="W89">
        <f t="shared" si="5"/>
        <v>1</v>
      </c>
      <c r="X89" t="str">
        <f t="shared" si="6"/>
        <v>25-48 Months</v>
      </c>
      <c r="Y89" s="1" t="str">
        <f t="shared" si="7"/>
        <v>Low</v>
      </c>
    </row>
    <row r="90" spans="1:25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 t="shared" si="4"/>
        <v>0</v>
      </c>
      <c r="W90">
        <f t="shared" si="5"/>
        <v>1</v>
      </c>
      <c r="X90" t="str">
        <f t="shared" si="6"/>
        <v>25-48 Months</v>
      </c>
      <c r="Y90" s="1" t="str">
        <f t="shared" si="7"/>
        <v>Low</v>
      </c>
    </row>
    <row r="91" spans="1:25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 t="shared" si="4"/>
        <v>0</v>
      </c>
      <c r="W91">
        <f t="shared" si="5"/>
        <v>1</v>
      </c>
      <c r="X91" t="str">
        <f t="shared" si="6"/>
        <v>25-48 Months</v>
      </c>
      <c r="Y91" s="1" t="str">
        <f t="shared" si="7"/>
        <v>Low</v>
      </c>
    </row>
    <row r="92" spans="1:25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 t="shared" si="4"/>
        <v>0</v>
      </c>
      <c r="W92">
        <f t="shared" si="5"/>
        <v>1</v>
      </c>
      <c r="X92" t="str">
        <f t="shared" si="6"/>
        <v>25-48 Months</v>
      </c>
      <c r="Y92" s="1" t="str">
        <f t="shared" si="7"/>
        <v>High</v>
      </c>
    </row>
    <row r="93" spans="1:25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4"/>
        <v>0</v>
      </c>
      <c r="W93">
        <f t="shared" si="5"/>
        <v>1</v>
      </c>
      <c r="X93" t="str">
        <f t="shared" si="6"/>
        <v>0-12 Months</v>
      </c>
      <c r="Y93" s="1" t="str">
        <f t="shared" si="7"/>
        <v>Medium</v>
      </c>
    </row>
    <row r="94" spans="1:25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 t="shared" si="4"/>
        <v>0</v>
      </c>
      <c r="W94">
        <f t="shared" si="5"/>
        <v>1</v>
      </c>
      <c r="X94" t="str">
        <f t="shared" si="6"/>
        <v>49+ Months</v>
      </c>
      <c r="Y94" s="1" t="str">
        <f t="shared" si="7"/>
        <v>High</v>
      </c>
    </row>
    <row r="95" spans="1:25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 t="shared" si="4"/>
        <v>0</v>
      </c>
      <c r="W95">
        <f t="shared" si="5"/>
        <v>1</v>
      </c>
      <c r="X95" t="str">
        <f t="shared" si="6"/>
        <v>49+ Months</v>
      </c>
      <c r="Y95" s="1" t="str">
        <f t="shared" si="7"/>
        <v>High</v>
      </c>
    </row>
    <row r="96" spans="1:25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 t="shared" si="4"/>
        <v>0</v>
      </c>
      <c r="W96">
        <f t="shared" si="5"/>
        <v>1</v>
      </c>
      <c r="X96" t="str">
        <f t="shared" si="6"/>
        <v>49+ Months</v>
      </c>
      <c r="Y96" s="1" t="str">
        <f t="shared" si="7"/>
        <v>High</v>
      </c>
    </row>
    <row r="97" spans="1:25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4"/>
        <v>1</v>
      </c>
      <c r="W97">
        <f t="shared" si="5"/>
        <v>0</v>
      </c>
      <c r="X97" t="str">
        <f t="shared" si="6"/>
        <v>0-12 Months</v>
      </c>
      <c r="Y97" s="1" t="str">
        <f t="shared" si="7"/>
        <v>Medium</v>
      </c>
    </row>
    <row r="98" spans="1:25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 t="shared" si="4"/>
        <v>0</v>
      </c>
      <c r="W98">
        <f t="shared" si="5"/>
        <v>1</v>
      </c>
      <c r="X98" t="str">
        <f t="shared" si="6"/>
        <v>49+ Months</v>
      </c>
      <c r="Y98" s="1" t="str">
        <f t="shared" si="7"/>
        <v>Medium</v>
      </c>
    </row>
    <row r="99" spans="1:25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 t="shared" si="4"/>
        <v>1</v>
      </c>
      <c r="W99">
        <f t="shared" si="5"/>
        <v>0</v>
      </c>
      <c r="X99" t="str">
        <f t="shared" si="6"/>
        <v>0-12 Months</v>
      </c>
      <c r="Y99" s="1" t="str">
        <f t="shared" si="7"/>
        <v>Low</v>
      </c>
    </row>
    <row r="100" spans="1:25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 t="shared" si="4"/>
        <v>0</v>
      </c>
      <c r="W100">
        <f t="shared" si="5"/>
        <v>1</v>
      </c>
      <c r="X100" t="str">
        <f t="shared" si="6"/>
        <v>49+ Months</v>
      </c>
      <c r="Y100" s="1" t="str">
        <f t="shared" si="7"/>
        <v>Low</v>
      </c>
    </row>
    <row r="101" spans="1:25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4"/>
        <v>1</v>
      </c>
      <c r="W101">
        <f t="shared" si="5"/>
        <v>0</v>
      </c>
      <c r="X101" t="str">
        <f t="shared" si="6"/>
        <v>25-48 Months</v>
      </c>
      <c r="Y101" s="1" t="str">
        <f t="shared" si="7"/>
        <v>High</v>
      </c>
    </row>
    <row r="102" spans="1:25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 t="shared" si="4"/>
        <v>0</v>
      </c>
      <c r="W102">
        <f t="shared" si="5"/>
        <v>1</v>
      </c>
      <c r="X102" t="str">
        <f t="shared" si="6"/>
        <v>0-12 Months</v>
      </c>
      <c r="Y102" s="1" t="str">
        <f t="shared" si="7"/>
        <v>Low</v>
      </c>
    </row>
    <row r="103" spans="1:25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4"/>
        <v>0</v>
      </c>
      <c r="W103">
        <f t="shared" si="5"/>
        <v>1</v>
      </c>
      <c r="X103" t="str">
        <f t="shared" si="6"/>
        <v>0-12 Months</v>
      </c>
      <c r="Y103" s="1" t="str">
        <f t="shared" si="7"/>
        <v>Low</v>
      </c>
    </row>
    <row r="104" spans="1:25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 t="shared" si="4"/>
        <v>0</v>
      </c>
      <c r="W104">
        <f t="shared" si="5"/>
        <v>1</v>
      </c>
      <c r="X104" t="str">
        <f t="shared" si="6"/>
        <v>25-48 Months</v>
      </c>
      <c r="Y104" s="1" t="str">
        <f t="shared" si="7"/>
        <v>High</v>
      </c>
    </row>
    <row r="105" spans="1:25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 t="shared" si="4"/>
        <v>0</v>
      </c>
      <c r="W105">
        <f t="shared" si="5"/>
        <v>1</v>
      </c>
      <c r="X105" t="str">
        <f t="shared" si="6"/>
        <v>49+ Months</v>
      </c>
      <c r="Y105" s="1" t="str">
        <f t="shared" si="7"/>
        <v>Low</v>
      </c>
    </row>
    <row r="106" spans="1:25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 t="shared" si="4"/>
        <v>1</v>
      </c>
      <c r="W106">
        <f t="shared" si="5"/>
        <v>0</v>
      </c>
      <c r="X106" t="str">
        <f t="shared" si="6"/>
        <v>49+ Months</v>
      </c>
      <c r="Y106" s="1" t="str">
        <f t="shared" si="7"/>
        <v>High</v>
      </c>
    </row>
    <row r="107" spans="1:25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 t="shared" si="4"/>
        <v>0</v>
      </c>
      <c r="W107">
        <f t="shared" si="5"/>
        <v>1</v>
      </c>
      <c r="X107" t="str">
        <f t="shared" si="6"/>
        <v>0-12 Months</v>
      </c>
      <c r="Y107" s="1" t="str">
        <f t="shared" si="7"/>
        <v>Low</v>
      </c>
    </row>
    <row r="108" spans="1:25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4"/>
        <v>0</v>
      </c>
      <c r="W108">
        <f t="shared" si="5"/>
        <v>1</v>
      </c>
      <c r="X108" t="str">
        <f t="shared" si="6"/>
        <v>49+ Months</v>
      </c>
      <c r="Y108" s="1" t="str">
        <f t="shared" si="7"/>
        <v>High</v>
      </c>
    </row>
    <row r="109" spans="1:25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 t="shared" si="4"/>
        <v>0</v>
      </c>
      <c r="W109">
        <f t="shared" si="5"/>
        <v>1</v>
      </c>
      <c r="X109" t="str">
        <f t="shared" si="6"/>
        <v>25-48 Months</v>
      </c>
      <c r="Y109" s="1" t="str">
        <f t="shared" si="7"/>
        <v>Low</v>
      </c>
    </row>
    <row r="110" spans="1:25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 t="shared" si="4"/>
        <v>0</v>
      </c>
      <c r="W110">
        <f t="shared" si="5"/>
        <v>1</v>
      </c>
      <c r="X110" t="str">
        <f t="shared" si="6"/>
        <v>25-48 Months</v>
      </c>
      <c r="Y110" s="1" t="str">
        <f t="shared" si="7"/>
        <v>High</v>
      </c>
    </row>
    <row r="111" spans="1:25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 t="shared" si="4"/>
        <v>0</v>
      </c>
      <c r="W111">
        <f t="shared" si="5"/>
        <v>1</v>
      </c>
      <c r="X111" t="str">
        <f t="shared" si="6"/>
        <v>49+ Months</v>
      </c>
      <c r="Y111" s="1" t="str">
        <f t="shared" si="7"/>
        <v>Low</v>
      </c>
    </row>
    <row r="112" spans="1:25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4"/>
        <v>1</v>
      </c>
      <c r="W112">
        <f t="shared" si="5"/>
        <v>0</v>
      </c>
      <c r="X112" t="str">
        <f t="shared" si="6"/>
        <v>49+ Months</v>
      </c>
      <c r="Y112" s="1" t="str">
        <f t="shared" si="7"/>
        <v>High</v>
      </c>
    </row>
    <row r="113" spans="1:25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 t="shared" si="4"/>
        <v>0</v>
      </c>
      <c r="W113">
        <f t="shared" si="5"/>
        <v>1</v>
      </c>
      <c r="X113" t="str">
        <f t="shared" si="6"/>
        <v>49+ Months</v>
      </c>
      <c r="Y113" s="1" t="str">
        <f t="shared" si="7"/>
        <v>Medium</v>
      </c>
    </row>
    <row r="114" spans="1:25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4"/>
        <v>0</v>
      </c>
      <c r="W114">
        <f t="shared" si="5"/>
        <v>1</v>
      </c>
      <c r="X114" t="str">
        <f t="shared" si="6"/>
        <v>25-48 Months</v>
      </c>
      <c r="Y114" s="1" t="str">
        <f t="shared" si="7"/>
        <v>High</v>
      </c>
    </row>
    <row r="115" spans="1:25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4"/>
        <v>1</v>
      </c>
      <c r="W115">
        <f t="shared" si="5"/>
        <v>0</v>
      </c>
      <c r="X115" t="str">
        <f t="shared" si="6"/>
        <v>25-48 Months</v>
      </c>
      <c r="Y115" s="1" t="str">
        <f t="shared" si="7"/>
        <v>Medium</v>
      </c>
    </row>
    <row r="116" spans="1:25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4"/>
        <v>0</v>
      </c>
      <c r="W116">
        <f t="shared" si="5"/>
        <v>1</v>
      </c>
      <c r="X116" t="str">
        <f t="shared" si="6"/>
        <v>49+ Months</v>
      </c>
      <c r="Y116" s="1" t="str">
        <f t="shared" si="7"/>
        <v>Medium</v>
      </c>
    </row>
    <row r="117" spans="1:25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4"/>
        <v>0</v>
      </c>
      <c r="W117">
        <f t="shared" si="5"/>
        <v>1</v>
      </c>
      <c r="X117" t="str">
        <f t="shared" si="6"/>
        <v>0-12 Months</v>
      </c>
      <c r="Y117" s="1" t="str">
        <f t="shared" si="7"/>
        <v>High</v>
      </c>
    </row>
    <row r="118" spans="1:25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 t="shared" si="4"/>
        <v>0</v>
      </c>
      <c r="W118">
        <f t="shared" si="5"/>
        <v>1</v>
      </c>
      <c r="X118" t="str">
        <f t="shared" si="6"/>
        <v>25-48 Months</v>
      </c>
      <c r="Y118" s="1" t="str">
        <f t="shared" si="7"/>
        <v>Low</v>
      </c>
    </row>
    <row r="119" spans="1:25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4"/>
        <v>1</v>
      </c>
      <c r="W119">
        <f t="shared" si="5"/>
        <v>0</v>
      </c>
      <c r="X119" t="str">
        <f t="shared" si="6"/>
        <v>0-12 Months</v>
      </c>
      <c r="Y119" s="1" t="str">
        <f t="shared" si="7"/>
        <v>High</v>
      </c>
    </row>
    <row r="120" spans="1:25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 t="shared" si="4"/>
        <v>0</v>
      </c>
      <c r="W120">
        <f t="shared" si="5"/>
        <v>1</v>
      </c>
      <c r="X120" t="str">
        <f t="shared" si="6"/>
        <v>25-48 Months</v>
      </c>
      <c r="Y120" s="1" t="str">
        <f t="shared" si="7"/>
        <v>Low</v>
      </c>
    </row>
    <row r="121" spans="1:25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 t="shared" si="4"/>
        <v>0</v>
      </c>
      <c r="W121">
        <f t="shared" si="5"/>
        <v>1</v>
      </c>
      <c r="X121" t="str">
        <f t="shared" si="6"/>
        <v>25-48 Months</v>
      </c>
      <c r="Y121" s="1" t="str">
        <f t="shared" si="7"/>
        <v>High</v>
      </c>
    </row>
    <row r="122" spans="1:25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 t="shared" si="4"/>
        <v>0</v>
      </c>
      <c r="W122">
        <f t="shared" si="5"/>
        <v>1</v>
      </c>
      <c r="X122" t="str">
        <f t="shared" si="6"/>
        <v>49+ Months</v>
      </c>
      <c r="Y122" s="1" t="str">
        <f t="shared" si="7"/>
        <v>High</v>
      </c>
    </row>
    <row r="123" spans="1:25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 t="shared" si="4"/>
        <v>0</v>
      </c>
      <c r="W123">
        <f t="shared" si="5"/>
        <v>1</v>
      </c>
      <c r="X123" t="str">
        <f t="shared" si="6"/>
        <v>0-12 Months</v>
      </c>
      <c r="Y123" s="1" t="str">
        <f t="shared" si="7"/>
        <v>Low</v>
      </c>
    </row>
    <row r="124" spans="1:25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4"/>
        <v>1</v>
      </c>
      <c r="W124">
        <f t="shared" si="5"/>
        <v>0</v>
      </c>
      <c r="X124" t="str">
        <f t="shared" si="6"/>
        <v>0-12 Months</v>
      </c>
      <c r="Y124" s="1" t="str">
        <f t="shared" si="7"/>
        <v>Medium</v>
      </c>
    </row>
    <row r="125" spans="1:25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 t="shared" si="4"/>
        <v>0</v>
      </c>
      <c r="W125">
        <f t="shared" si="5"/>
        <v>1</v>
      </c>
      <c r="X125" t="str">
        <f t="shared" si="6"/>
        <v>0-12 Months</v>
      </c>
      <c r="Y125" s="1" t="str">
        <f t="shared" si="7"/>
        <v>Medium</v>
      </c>
    </row>
    <row r="126" spans="1:25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 t="shared" si="4"/>
        <v>0</v>
      </c>
      <c r="W126">
        <f t="shared" si="5"/>
        <v>1</v>
      </c>
      <c r="X126" t="str">
        <f t="shared" si="6"/>
        <v>0-12 Months</v>
      </c>
      <c r="Y126" s="1" t="str">
        <f t="shared" si="7"/>
        <v>Low</v>
      </c>
    </row>
    <row r="127" spans="1:25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4"/>
        <v>0</v>
      </c>
      <c r="W127">
        <f t="shared" si="5"/>
        <v>1</v>
      </c>
      <c r="X127" t="str">
        <f t="shared" si="6"/>
        <v>25-48 Months</v>
      </c>
      <c r="Y127" s="1" t="str">
        <f t="shared" si="7"/>
        <v>High</v>
      </c>
    </row>
    <row r="128" spans="1:25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4"/>
        <v>1</v>
      </c>
      <c r="W128">
        <f t="shared" si="5"/>
        <v>0</v>
      </c>
      <c r="X128" t="str">
        <f t="shared" si="6"/>
        <v>25-48 Months</v>
      </c>
      <c r="Y128" s="1" t="str">
        <f t="shared" si="7"/>
        <v>Medium</v>
      </c>
    </row>
    <row r="129" spans="1:25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 t="shared" si="4"/>
        <v>0</v>
      </c>
      <c r="W129">
        <f t="shared" si="5"/>
        <v>1</v>
      </c>
      <c r="X129" t="str">
        <f t="shared" si="6"/>
        <v>49+ Months</v>
      </c>
      <c r="Y129" s="1" t="str">
        <f t="shared" si="7"/>
        <v>Low</v>
      </c>
    </row>
    <row r="130" spans="1:25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 t="shared" ref="V130:V193" si="8">IF(U130="Yes",1,0)</f>
        <v>0</v>
      </c>
      <c r="W130">
        <f t="shared" ref="W130:W193" si="9">IF(U130="No",1,0)</f>
        <v>1</v>
      </c>
      <c r="X130" t="str">
        <f t="shared" ref="X130:X193" si="10">IF(F130&lt;=12,"0-12 Months",IF(F130&lt;=24,"13-24 Months",IF(F130&lt;=48,"25-48 Months","49+ Months")))</f>
        <v>0-12 Months</v>
      </c>
      <c r="Y130" s="1" t="str">
        <f t="shared" ref="Y130:Y193" si="11">IF(S130&lt;50,"Low",IF(S130&lt;80,"Medium","High"))</f>
        <v>Low</v>
      </c>
    </row>
    <row r="131" spans="1:25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si="8"/>
        <v>0</v>
      </c>
      <c r="W131">
        <f t="shared" si="9"/>
        <v>1</v>
      </c>
      <c r="X131" t="str">
        <f t="shared" si="10"/>
        <v>49+ Months</v>
      </c>
      <c r="Y131" s="1" t="str">
        <f t="shared" si="11"/>
        <v>Medium</v>
      </c>
    </row>
    <row r="132" spans="1:25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8"/>
        <v>0</v>
      </c>
      <c r="W132">
        <f t="shared" si="9"/>
        <v>1</v>
      </c>
      <c r="X132" t="str">
        <f t="shared" si="10"/>
        <v>13-24 Months</v>
      </c>
      <c r="Y132" s="1" t="str">
        <f t="shared" si="11"/>
        <v>High</v>
      </c>
    </row>
    <row r="133" spans="1:25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 t="shared" si="8"/>
        <v>1</v>
      </c>
      <c r="W133">
        <f t="shared" si="9"/>
        <v>0</v>
      </c>
      <c r="X133" t="str">
        <f t="shared" si="10"/>
        <v>25-48 Months</v>
      </c>
      <c r="Y133" s="1" t="str">
        <f t="shared" si="11"/>
        <v>Medium</v>
      </c>
    </row>
    <row r="134" spans="1:25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 t="shared" si="8"/>
        <v>0</v>
      </c>
      <c r="W134">
        <f t="shared" si="9"/>
        <v>1</v>
      </c>
      <c r="X134" t="str">
        <f t="shared" si="10"/>
        <v>49+ Months</v>
      </c>
      <c r="Y134" s="1" t="str">
        <f t="shared" si="11"/>
        <v>Medium</v>
      </c>
    </row>
    <row r="135" spans="1:25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8"/>
        <v>1</v>
      </c>
      <c r="W135">
        <f t="shared" si="9"/>
        <v>0</v>
      </c>
      <c r="X135" t="str">
        <f t="shared" si="10"/>
        <v>0-12 Months</v>
      </c>
      <c r="Y135" s="1" t="str">
        <f t="shared" si="11"/>
        <v>Low</v>
      </c>
    </row>
    <row r="136" spans="1:25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8"/>
        <v>1</v>
      </c>
      <c r="W136">
        <f t="shared" si="9"/>
        <v>0</v>
      </c>
      <c r="X136" t="str">
        <f t="shared" si="10"/>
        <v>0-12 Months</v>
      </c>
      <c r="Y136" s="1" t="str">
        <f t="shared" si="11"/>
        <v>Low</v>
      </c>
    </row>
    <row r="137" spans="1:25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 t="shared" si="8"/>
        <v>0</v>
      </c>
      <c r="W137">
        <f t="shared" si="9"/>
        <v>1</v>
      </c>
      <c r="X137" t="str">
        <f t="shared" si="10"/>
        <v>25-48 Months</v>
      </c>
      <c r="Y137" s="1" t="str">
        <f t="shared" si="11"/>
        <v>Low</v>
      </c>
    </row>
    <row r="138" spans="1:25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 t="shared" si="8"/>
        <v>0</v>
      </c>
      <c r="W138">
        <f t="shared" si="9"/>
        <v>1</v>
      </c>
      <c r="X138" t="str">
        <f t="shared" si="10"/>
        <v>13-24 Months</v>
      </c>
      <c r="Y138" s="1" t="str">
        <f t="shared" si="11"/>
        <v>Medium</v>
      </c>
    </row>
    <row r="139" spans="1:25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 t="shared" si="8"/>
        <v>0</v>
      </c>
      <c r="W139">
        <f t="shared" si="9"/>
        <v>1</v>
      </c>
      <c r="X139" t="str">
        <f t="shared" si="10"/>
        <v>49+ Months</v>
      </c>
      <c r="Y139" s="1" t="str">
        <f t="shared" si="11"/>
        <v>Low</v>
      </c>
    </row>
    <row r="140" spans="1:25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 t="shared" si="8"/>
        <v>0</v>
      </c>
      <c r="W140">
        <f t="shared" si="9"/>
        <v>1</v>
      </c>
      <c r="X140" t="str">
        <f t="shared" si="10"/>
        <v>49+ Months</v>
      </c>
      <c r="Y140" s="1" t="str">
        <f t="shared" si="11"/>
        <v>Low</v>
      </c>
    </row>
    <row r="141" spans="1:25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 t="shared" si="8"/>
        <v>1</v>
      </c>
      <c r="W141">
        <f t="shared" si="9"/>
        <v>0</v>
      </c>
      <c r="X141" t="str">
        <f t="shared" si="10"/>
        <v>0-12 Months</v>
      </c>
      <c r="Y141" s="1" t="str">
        <f t="shared" si="11"/>
        <v>Medium</v>
      </c>
    </row>
    <row r="142" spans="1:25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 t="shared" si="8"/>
        <v>0</v>
      </c>
      <c r="W142">
        <f t="shared" si="9"/>
        <v>1</v>
      </c>
      <c r="X142" t="str">
        <f t="shared" si="10"/>
        <v>49+ Months</v>
      </c>
      <c r="Y142" s="1" t="str">
        <f t="shared" si="11"/>
        <v>High</v>
      </c>
    </row>
    <row r="143" spans="1:25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8"/>
        <v>1</v>
      </c>
      <c r="W143">
        <f t="shared" si="9"/>
        <v>0</v>
      </c>
      <c r="X143" t="str">
        <f t="shared" si="10"/>
        <v>0-12 Months</v>
      </c>
      <c r="Y143" s="1" t="str">
        <f t="shared" si="11"/>
        <v>Medium</v>
      </c>
    </row>
    <row r="144" spans="1:25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 t="shared" si="8"/>
        <v>0</v>
      </c>
      <c r="W144">
        <f t="shared" si="9"/>
        <v>1</v>
      </c>
      <c r="X144" t="str">
        <f t="shared" si="10"/>
        <v>49+ Months</v>
      </c>
      <c r="Y144" s="1" t="str">
        <f t="shared" si="11"/>
        <v>High</v>
      </c>
    </row>
    <row r="145" spans="1:25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 t="shared" si="8"/>
        <v>0</v>
      </c>
      <c r="W145">
        <f t="shared" si="9"/>
        <v>1</v>
      </c>
      <c r="X145" t="str">
        <f t="shared" si="10"/>
        <v>49+ Months</v>
      </c>
      <c r="Y145" s="1" t="str">
        <f t="shared" si="11"/>
        <v>High</v>
      </c>
    </row>
    <row r="146" spans="1:25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 t="shared" si="8"/>
        <v>0</v>
      </c>
      <c r="W146">
        <f t="shared" si="9"/>
        <v>1</v>
      </c>
      <c r="X146" t="str">
        <f t="shared" si="10"/>
        <v>49+ Months</v>
      </c>
      <c r="Y146" s="1" t="str">
        <f t="shared" si="11"/>
        <v>Low</v>
      </c>
    </row>
    <row r="147" spans="1:25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 t="shared" si="8"/>
        <v>0</v>
      </c>
      <c r="W147">
        <f t="shared" si="9"/>
        <v>1</v>
      </c>
      <c r="X147" t="str">
        <f t="shared" si="10"/>
        <v>49+ Months</v>
      </c>
      <c r="Y147" s="1" t="str">
        <f t="shared" si="11"/>
        <v>High</v>
      </c>
    </row>
    <row r="148" spans="1:25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 t="shared" si="8"/>
        <v>0</v>
      </c>
      <c r="W148">
        <f t="shared" si="9"/>
        <v>1</v>
      </c>
      <c r="X148" t="str">
        <f t="shared" si="10"/>
        <v>0-12 Months</v>
      </c>
      <c r="Y148" s="1" t="str">
        <f t="shared" si="11"/>
        <v>Low</v>
      </c>
    </row>
    <row r="149" spans="1:25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8"/>
        <v>1</v>
      </c>
      <c r="W149">
        <f t="shared" si="9"/>
        <v>0</v>
      </c>
      <c r="X149" t="str">
        <f t="shared" si="10"/>
        <v>0-12 Months</v>
      </c>
      <c r="Y149" s="1" t="str">
        <f t="shared" si="11"/>
        <v>Low</v>
      </c>
    </row>
    <row r="150" spans="1:25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 t="shared" si="8"/>
        <v>0</v>
      </c>
      <c r="W150">
        <f t="shared" si="9"/>
        <v>1</v>
      </c>
      <c r="X150" t="str">
        <f t="shared" si="10"/>
        <v>25-48 Months</v>
      </c>
      <c r="Y150" s="1" t="str">
        <f t="shared" si="11"/>
        <v>Medium</v>
      </c>
    </row>
    <row r="151" spans="1:25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 t="shared" si="8"/>
        <v>0</v>
      </c>
      <c r="W151">
        <f t="shared" si="9"/>
        <v>1</v>
      </c>
      <c r="X151" t="str">
        <f t="shared" si="10"/>
        <v>13-24 Months</v>
      </c>
      <c r="Y151" s="1" t="str">
        <f t="shared" si="11"/>
        <v>Medium</v>
      </c>
    </row>
    <row r="152" spans="1:25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8"/>
        <v>0</v>
      </c>
      <c r="W152">
        <f t="shared" si="9"/>
        <v>1</v>
      </c>
      <c r="X152" t="str">
        <f t="shared" si="10"/>
        <v>0-12 Months</v>
      </c>
      <c r="Y152" s="1" t="str">
        <f t="shared" si="11"/>
        <v>Medium</v>
      </c>
    </row>
    <row r="153" spans="1:25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 t="shared" si="8"/>
        <v>1</v>
      </c>
      <c r="W153">
        <f t="shared" si="9"/>
        <v>0</v>
      </c>
      <c r="X153" t="str">
        <f t="shared" si="10"/>
        <v>0-12 Months</v>
      </c>
      <c r="Y153" s="1" t="str">
        <f t="shared" si="11"/>
        <v>High</v>
      </c>
    </row>
    <row r="154" spans="1:25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 t="shared" si="8"/>
        <v>0</v>
      </c>
      <c r="W154">
        <f t="shared" si="9"/>
        <v>1</v>
      </c>
      <c r="X154" t="str">
        <f t="shared" si="10"/>
        <v>49+ Months</v>
      </c>
      <c r="Y154" s="1" t="str">
        <f t="shared" si="11"/>
        <v>High</v>
      </c>
    </row>
    <row r="155" spans="1:25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8"/>
        <v>0</v>
      </c>
      <c r="W155">
        <f t="shared" si="9"/>
        <v>1</v>
      </c>
      <c r="X155" t="str">
        <f t="shared" si="10"/>
        <v>49+ Months</v>
      </c>
      <c r="Y155" s="1" t="str">
        <f t="shared" si="11"/>
        <v>High</v>
      </c>
    </row>
    <row r="156" spans="1:25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 t="shared" si="8"/>
        <v>0</v>
      </c>
      <c r="W156">
        <f t="shared" si="9"/>
        <v>1</v>
      </c>
      <c r="X156" t="str">
        <f t="shared" si="10"/>
        <v>0-12 Months</v>
      </c>
      <c r="Y156" s="1" t="str">
        <f t="shared" si="11"/>
        <v>Low</v>
      </c>
    </row>
    <row r="157" spans="1:25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 t="shared" si="8"/>
        <v>0</v>
      </c>
      <c r="W157">
        <f t="shared" si="9"/>
        <v>1</v>
      </c>
      <c r="X157" t="str">
        <f t="shared" si="10"/>
        <v>13-24 Months</v>
      </c>
      <c r="Y157" s="1" t="str">
        <f t="shared" si="11"/>
        <v>High</v>
      </c>
    </row>
    <row r="158" spans="1:25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 t="shared" si="8"/>
        <v>0</v>
      </c>
      <c r="W158">
        <f t="shared" si="9"/>
        <v>1</v>
      </c>
      <c r="X158" t="str">
        <f t="shared" si="10"/>
        <v>13-24 Months</v>
      </c>
      <c r="Y158" s="1" t="str">
        <f t="shared" si="11"/>
        <v>High</v>
      </c>
    </row>
    <row r="159" spans="1:25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 t="shared" si="8"/>
        <v>0</v>
      </c>
      <c r="W159">
        <f t="shared" si="9"/>
        <v>1</v>
      </c>
      <c r="X159" t="str">
        <f t="shared" si="10"/>
        <v>13-24 Months</v>
      </c>
      <c r="Y159" s="1" t="str">
        <f t="shared" si="11"/>
        <v>Low</v>
      </c>
    </row>
    <row r="160" spans="1:25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 t="shared" si="8"/>
        <v>0</v>
      </c>
      <c r="W160">
        <f t="shared" si="9"/>
        <v>1</v>
      </c>
      <c r="X160" t="str">
        <f t="shared" si="10"/>
        <v>13-24 Months</v>
      </c>
      <c r="Y160" s="1" t="str">
        <f t="shared" si="11"/>
        <v>Medium</v>
      </c>
    </row>
    <row r="161" spans="1:25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 t="shared" si="8"/>
        <v>0</v>
      </c>
      <c r="W161">
        <f t="shared" si="9"/>
        <v>1</v>
      </c>
      <c r="X161" t="str">
        <f t="shared" si="10"/>
        <v>0-12 Months</v>
      </c>
      <c r="Y161" s="1" t="str">
        <f t="shared" si="11"/>
        <v>Low</v>
      </c>
    </row>
    <row r="162" spans="1:25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8"/>
        <v>0</v>
      </c>
      <c r="W162">
        <f t="shared" si="9"/>
        <v>1</v>
      </c>
      <c r="X162" t="str">
        <f t="shared" si="10"/>
        <v>13-24 Months</v>
      </c>
      <c r="Y162" s="1" t="str">
        <f t="shared" si="11"/>
        <v>Medium</v>
      </c>
    </row>
    <row r="163" spans="1:25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8"/>
        <v>1</v>
      </c>
      <c r="W163">
        <f t="shared" si="9"/>
        <v>0</v>
      </c>
      <c r="X163" t="str">
        <f t="shared" si="10"/>
        <v>13-24 Months</v>
      </c>
      <c r="Y163" s="1" t="str">
        <f t="shared" si="11"/>
        <v>High</v>
      </c>
    </row>
    <row r="164" spans="1:25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8"/>
        <v>0</v>
      </c>
      <c r="W164">
        <f t="shared" si="9"/>
        <v>1</v>
      </c>
      <c r="X164" t="str">
        <f t="shared" si="10"/>
        <v>0-12 Months</v>
      </c>
      <c r="Y164" s="1" t="str">
        <f t="shared" si="11"/>
        <v>Medium</v>
      </c>
    </row>
    <row r="165" spans="1:25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 t="shared" si="8"/>
        <v>0</v>
      </c>
      <c r="W165">
        <f t="shared" si="9"/>
        <v>1</v>
      </c>
      <c r="X165" t="str">
        <f t="shared" si="10"/>
        <v>49+ Months</v>
      </c>
      <c r="Y165" s="1" t="str">
        <f t="shared" si="11"/>
        <v>Medium</v>
      </c>
    </row>
    <row r="166" spans="1:25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 t="shared" si="8"/>
        <v>0</v>
      </c>
      <c r="W166">
        <f t="shared" si="9"/>
        <v>1</v>
      </c>
      <c r="X166" t="str">
        <f t="shared" si="10"/>
        <v>0-12 Months</v>
      </c>
      <c r="Y166" s="1" t="str">
        <f t="shared" si="11"/>
        <v>Low</v>
      </c>
    </row>
    <row r="167" spans="1:25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 t="shared" si="8"/>
        <v>0</v>
      </c>
      <c r="W167">
        <f t="shared" si="9"/>
        <v>1</v>
      </c>
      <c r="X167" t="str">
        <f t="shared" si="10"/>
        <v>49+ Months</v>
      </c>
      <c r="Y167" s="1" t="str">
        <f t="shared" si="11"/>
        <v>Low</v>
      </c>
    </row>
    <row r="168" spans="1:25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 t="shared" si="8"/>
        <v>1</v>
      </c>
      <c r="W168">
        <f t="shared" si="9"/>
        <v>0</v>
      </c>
      <c r="X168" t="str">
        <f t="shared" si="10"/>
        <v>0-12 Months</v>
      </c>
      <c r="Y168" s="1" t="str">
        <f t="shared" si="11"/>
        <v>Medium</v>
      </c>
    </row>
    <row r="169" spans="1:25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 t="shared" si="8"/>
        <v>0</v>
      </c>
      <c r="W169">
        <f t="shared" si="9"/>
        <v>1</v>
      </c>
      <c r="X169" t="str">
        <f t="shared" si="10"/>
        <v>49+ Months</v>
      </c>
      <c r="Y169" s="1" t="str">
        <f t="shared" si="11"/>
        <v>High</v>
      </c>
    </row>
    <row r="170" spans="1:25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8"/>
        <v>1</v>
      </c>
      <c r="W170">
        <f t="shared" si="9"/>
        <v>0</v>
      </c>
      <c r="X170" t="str">
        <f t="shared" si="10"/>
        <v>49+ Months</v>
      </c>
      <c r="Y170" s="1" t="str">
        <f t="shared" si="11"/>
        <v>Low</v>
      </c>
    </row>
    <row r="171" spans="1:25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8"/>
        <v>0</v>
      </c>
      <c r="W171">
        <f t="shared" si="9"/>
        <v>1</v>
      </c>
      <c r="X171" t="str">
        <f t="shared" si="10"/>
        <v>13-24 Months</v>
      </c>
      <c r="Y171" s="1" t="str">
        <f t="shared" si="11"/>
        <v>Low</v>
      </c>
    </row>
    <row r="172" spans="1:25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 t="shared" si="8"/>
        <v>0</v>
      </c>
      <c r="W172">
        <f t="shared" si="9"/>
        <v>1</v>
      </c>
      <c r="X172" t="str">
        <f t="shared" si="10"/>
        <v>25-48 Months</v>
      </c>
      <c r="Y172" s="1" t="str">
        <f t="shared" si="11"/>
        <v>High</v>
      </c>
    </row>
    <row r="173" spans="1:25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8"/>
        <v>1</v>
      </c>
      <c r="W173">
        <f t="shared" si="9"/>
        <v>0</v>
      </c>
      <c r="X173" t="str">
        <f t="shared" si="10"/>
        <v>0-12 Months</v>
      </c>
      <c r="Y173" s="1" t="str">
        <f t="shared" si="11"/>
        <v>High</v>
      </c>
    </row>
    <row r="174" spans="1:25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 t="shared" si="8"/>
        <v>0</v>
      </c>
      <c r="W174">
        <f t="shared" si="9"/>
        <v>1</v>
      </c>
      <c r="X174" t="str">
        <f t="shared" si="10"/>
        <v>13-24 Months</v>
      </c>
      <c r="Y174" s="1" t="str">
        <f t="shared" si="11"/>
        <v>High</v>
      </c>
    </row>
    <row r="175" spans="1:25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 t="shared" si="8"/>
        <v>1</v>
      </c>
      <c r="W175">
        <f t="shared" si="9"/>
        <v>0</v>
      </c>
      <c r="X175" t="str">
        <f t="shared" si="10"/>
        <v>49+ Months</v>
      </c>
      <c r="Y175" s="1" t="str">
        <f t="shared" si="11"/>
        <v>High</v>
      </c>
    </row>
    <row r="176" spans="1:25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 t="shared" si="8"/>
        <v>0</v>
      </c>
      <c r="W176">
        <f t="shared" si="9"/>
        <v>1</v>
      </c>
      <c r="X176" t="str">
        <f t="shared" si="10"/>
        <v>25-48 Months</v>
      </c>
      <c r="Y176" s="1" t="str">
        <f t="shared" si="11"/>
        <v>Low</v>
      </c>
    </row>
    <row r="177" spans="1:25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8"/>
        <v>0</v>
      </c>
      <c r="W177">
        <f t="shared" si="9"/>
        <v>1</v>
      </c>
      <c r="X177" t="str">
        <f t="shared" si="10"/>
        <v>25-48 Months</v>
      </c>
      <c r="Y177" s="1" t="str">
        <f t="shared" si="11"/>
        <v>Low</v>
      </c>
    </row>
    <row r="178" spans="1:25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 t="shared" si="8"/>
        <v>1</v>
      </c>
      <c r="W178">
        <f t="shared" si="9"/>
        <v>0</v>
      </c>
      <c r="X178" t="str">
        <f t="shared" si="10"/>
        <v>13-24 Months</v>
      </c>
      <c r="Y178" s="1" t="str">
        <f t="shared" si="11"/>
        <v>Medium</v>
      </c>
    </row>
    <row r="179" spans="1:25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 t="shared" si="8"/>
        <v>1</v>
      </c>
      <c r="W179">
        <f t="shared" si="9"/>
        <v>0</v>
      </c>
      <c r="X179" t="str">
        <f t="shared" si="10"/>
        <v>0-12 Months</v>
      </c>
      <c r="Y179" s="1" t="str">
        <f t="shared" si="11"/>
        <v>Medium</v>
      </c>
    </row>
    <row r="180" spans="1:25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 t="shared" si="8"/>
        <v>0</v>
      </c>
      <c r="W180">
        <f t="shared" si="9"/>
        <v>1</v>
      </c>
      <c r="X180" t="str">
        <f t="shared" si="10"/>
        <v>13-24 Months</v>
      </c>
      <c r="Y180" s="1" t="str">
        <f t="shared" si="11"/>
        <v>High</v>
      </c>
    </row>
    <row r="181" spans="1:25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 t="shared" si="8"/>
        <v>0</v>
      </c>
      <c r="W181">
        <f t="shared" si="9"/>
        <v>1</v>
      </c>
      <c r="X181" t="str">
        <f t="shared" si="10"/>
        <v>49+ Months</v>
      </c>
      <c r="Y181" s="1" t="str">
        <f t="shared" si="11"/>
        <v>Low</v>
      </c>
    </row>
    <row r="182" spans="1:25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 t="shared" si="8"/>
        <v>1</v>
      </c>
      <c r="W182">
        <f t="shared" si="9"/>
        <v>0</v>
      </c>
      <c r="X182" t="str">
        <f t="shared" si="10"/>
        <v>0-12 Months</v>
      </c>
      <c r="Y182" s="1" t="str">
        <f t="shared" si="11"/>
        <v>Low</v>
      </c>
    </row>
    <row r="183" spans="1:25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 t="shared" si="8"/>
        <v>0</v>
      </c>
      <c r="W183">
        <f t="shared" si="9"/>
        <v>1</v>
      </c>
      <c r="X183" t="str">
        <f t="shared" si="10"/>
        <v>0-12 Months</v>
      </c>
      <c r="Y183" s="1" t="str">
        <f t="shared" si="11"/>
        <v>Low</v>
      </c>
    </row>
    <row r="184" spans="1:25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 t="shared" si="8"/>
        <v>1</v>
      </c>
      <c r="W184">
        <f t="shared" si="9"/>
        <v>0</v>
      </c>
      <c r="X184" t="str">
        <f t="shared" si="10"/>
        <v>0-12 Months</v>
      </c>
      <c r="Y184" s="1" t="str">
        <f t="shared" si="11"/>
        <v>High</v>
      </c>
    </row>
    <row r="185" spans="1:25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 t="shared" si="8"/>
        <v>0</v>
      </c>
      <c r="W185">
        <f t="shared" si="9"/>
        <v>1</v>
      </c>
      <c r="X185" t="str">
        <f t="shared" si="10"/>
        <v>25-48 Months</v>
      </c>
      <c r="Y185" s="1" t="str">
        <f t="shared" si="11"/>
        <v>Medium</v>
      </c>
    </row>
    <row r="186" spans="1:25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8"/>
        <v>1</v>
      </c>
      <c r="W186">
        <f t="shared" si="9"/>
        <v>0</v>
      </c>
      <c r="X186" t="str">
        <f t="shared" si="10"/>
        <v>13-24 Months</v>
      </c>
      <c r="Y186" s="1" t="str">
        <f t="shared" si="11"/>
        <v>Medium</v>
      </c>
    </row>
    <row r="187" spans="1:25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8"/>
        <v>1</v>
      </c>
      <c r="W187">
        <f t="shared" si="9"/>
        <v>0</v>
      </c>
      <c r="X187" t="str">
        <f t="shared" si="10"/>
        <v>0-12 Months</v>
      </c>
      <c r="Y187" s="1" t="str">
        <f t="shared" si="11"/>
        <v>Low</v>
      </c>
    </row>
    <row r="188" spans="1:25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 t="shared" si="8"/>
        <v>0</v>
      </c>
      <c r="W188">
        <f t="shared" si="9"/>
        <v>1</v>
      </c>
      <c r="X188" t="str">
        <f t="shared" si="10"/>
        <v>13-24 Months</v>
      </c>
      <c r="Y188" s="1" t="str">
        <f t="shared" si="11"/>
        <v>Medium</v>
      </c>
    </row>
    <row r="189" spans="1:25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8"/>
        <v>0</v>
      </c>
      <c r="W189">
        <f t="shared" si="9"/>
        <v>1</v>
      </c>
      <c r="X189" t="str">
        <f t="shared" si="10"/>
        <v>0-12 Months</v>
      </c>
      <c r="Y189" s="1" t="str">
        <f t="shared" si="11"/>
        <v>Low</v>
      </c>
    </row>
    <row r="190" spans="1:25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8"/>
        <v>0</v>
      </c>
      <c r="W190">
        <f t="shared" si="9"/>
        <v>1</v>
      </c>
      <c r="X190" t="str">
        <f t="shared" si="10"/>
        <v>13-24 Months</v>
      </c>
      <c r="Y190" s="1" t="str">
        <f t="shared" si="11"/>
        <v>Low</v>
      </c>
    </row>
    <row r="191" spans="1:25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 t="shared" si="8"/>
        <v>0</v>
      </c>
      <c r="W191">
        <f t="shared" si="9"/>
        <v>1</v>
      </c>
      <c r="X191" t="str">
        <f t="shared" si="10"/>
        <v>25-48 Months</v>
      </c>
      <c r="Y191" s="1" t="str">
        <f t="shared" si="11"/>
        <v>Medium</v>
      </c>
    </row>
    <row r="192" spans="1:25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 t="shared" si="8"/>
        <v>0</v>
      </c>
      <c r="W192">
        <f t="shared" si="9"/>
        <v>1</v>
      </c>
      <c r="X192" t="str">
        <f t="shared" si="10"/>
        <v>25-48 Months</v>
      </c>
      <c r="Y192" s="1" t="str">
        <f t="shared" si="11"/>
        <v>Medium</v>
      </c>
    </row>
    <row r="193" spans="1:25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8"/>
        <v>1</v>
      </c>
      <c r="W193">
        <f t="shared" si="9"/>
        <v>0</v>
      </c>
      <c r="X193" t="str">
        <f t="shared" si="10"/>
        <v>0-12 Months</v>
      </c>
      <c r="Y193" s="1" t="str">
        <f t="shared" si="11"/>
        <v>High</v>
      </c>
    </row>
    <row r="194" spans="1:25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 t="shared" ref="V194:V257" si="12">IF(U194="Yes",1,0)</f>
        <v>0</v>
      </c>
      <c r="W194">
        <f t="shared" ref="W194:W257" si="13">IF(U194="No",1,0)</f>
        <v>1</v>
      </c>
      <c r="X194" t="str">
        <f t="shared" ref="X194:X257" si="14">IF(F194&lt;=12,"0-12 Months",IF(F194&lt;=24,"13-24 Months",IF(F194&lt;=48,"25-48 Months","49+ Months")))</f>
        <v>49+ Months</v>
      </c>
      <c r="Y194" s="1" t="str">
        <f t="shared" ref="Y194:Y257" si="15">IF(S194&lt;50,"Low",IF(S194&lt;80,"Medium","High"))</f>
        <v>Low</v>
      </c>
    </row>
    <row r="195" spans="1:25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 t="shared" si="12"/>
        <v>0</v>
      </c>
      <c r="W195">
        <f t="shared" si="13"/>
        <v>1</v>
      </c>
      <c r="X195" t="str">
        <f t="shared" si="14"/>
        <v>49+ Months</v>
      </c>
      <c r="Y195" s="1" t="str">
        <f t="shared" si="15"/>
        <v>High</v>
      </c>
    </row>
    <row r="196" spans="1:25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 t="shared" si="12"/>
        <v>0</v>
      </c>
      <c r="W196">
        <f t="shared" si="13"/>
        <v>1</v>
      </c>
      <c r="X196" t="str">
        <f t="shared" si="14"/>
        <v>49+ Months</v>
      </c>
      <c r="Y196" s="1" t="str">
        <f t="shared" si="15"/>
        <v>Low</v>
      </c>
    </row>
    <row r="197" spans="1:25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12"/>
        <v>0</v>
      </c>
      <c r="W197">
        <f t="shared" si="13"/>
        <v>1</v>
      </c>
      <c r="X197" t="str">
        <f t="shared" si="14"/>
        <v>13-24 Months</v>
      </c>
      <c r="Y197" s="1" t="str">
        <f t="shared" si="15"/>
        <v>High</v>
      </c>
    </row>
    <row r="198" spans="1:25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 t="shared" si="12"/>
        <v>0</v>
      </c>
      <c r="W198">
        <f t="shared" si="13"/>
        <v>1</v>
      </c>
      <c r="X198" t="str">
        <f t="shared" si="14"/>
        <v>13-24 Months</v>
      </c>
      <c r="Y198" s="1" t="str">
        <f t="shared" si="15"/>
        <v>Low</v>
      </c>
    </row>
    <row r="199" spans="1:25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12"/>
        <v>0</v>
      </c>
      <c r="W199">
        <f t="shared" si="13"/>
        <v>1</v>
      </c>
      <c r="X199" t="str">
        <f t="shared" si="14"/>
        <v>49+ Months</v>
      </c>
      <c r="Y199" s="1" t="str">
        <f t="shared" si="15"/>
        <v>High</v>
      </c>
    </row>
    <row r="200" spans="1:25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 t="shared" si="12"/>
        <v>0</v>
      </c>
      <c r="W200">
        <f t="shared" si="13"/>
        <v>1</v>
      </c>
      <c r="X200" t="str">
        <f t="shared" si="14"/>
        <v>49+ Months</v>
      </c>
      <c r="Y200" s="1" t="str">
        <f t="shared" si="15"/>
        <v>High</v>
      </c>
    </row>
    <row r="201" spans="1:25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 t="shared" si="12"/>
        <v>0</v>
      </c>
      <c r="W201">
        <f t="shared" si="13"/>
        <v>1</v>
      </c>
      <c r="X201" t="str">
        <f t="shared" si="14"/>
        <v>0-12 Months</v>
      </c>
      <c r="Y201" s="1" t="str">
        <f t="shared" si="15"/>
        <v>Low</v>
      </c>
    </row>
    <row r="202" spans="1:25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 t="shared" si="12"/>
        <v>0</v>
      </c>
      <c r="W202">
        <f t="shared" si="13"/>
        <v>1</v>
      </c>
      <c r="X202" t="str">
        <f t="shared" si="14"/>
        <v>25-48 Months</v>
      </c>
      <c r="Y202" s="1" t="str">
        <f t="shared" si="15"/>
        <v>High</v>
      </c>
    </row>
    <row r="203" spans="1:25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 t="shared" si="12"/>
        <v>0</v>
      </c>
      <c r="W203">
        <f t="shared" si="13"/>
        <v>1</v>
      </c>
      <c r="X203" t="str">
        <f t="shared" si="14"/>
        <v>13-24 Months</v>
      </c>
      <c r="Y203" s="1" t="str">
        <f t="shared" si="15"/>
        <v>High</v>
      </c>
    </row>
    <row r="204" spans="1:25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12"/>
        <v>0</v>
      </c>
      <c r="W204">
        <f t="shared" si="13"/>
        <v>1</v>
      </c>
      <c r="X204" t="str">
        <f t="shared" si="14"/>
        <v>49+ Months</v>
      </c>
      <c r="Y204" s="1" t="str">
        <f t="shared" si="15"/>
        <v>High</v>
      </c>
    </row>
    <row r="205" spans="1:25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 t="shared" si="12"/>
        <v>0</v>
      </c>
      <c r="W205">
        <f t="shared" si="13"/>
        <v>1</v>
      </c>
      <c r="X205" t="str">
        <f t="shared" si="14"/>
        <v>13-24 Months</v>
      </c>
      <c r="Y205" s="1" t="str">
        <f t="shared" si="15"/>
        <v>Medium</v>
      </c>
    </row>
    <row r="206" spans="1:25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 t="shared" si="12"/>
        <v>0</v>
      </c>
      <c r="W206">
        <f t="shared" si="13"/>
        <v>1</v>
      </c>
      <c r="X206" t="str">
        <f t="shared" si="14"/>
        <v>25-48 Months</v>
      </c>
      <c r="Y206" s="1" t="str">
        <f t="shared" si="15"/>
        <v>Medium</v>
      </c>
    </row>
    <row r="207" spans="1:25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 t="shared" si="12"/>
        <v>0</v>
      </c>
      <c r="W207">
        <f t="shared" si="13"/>
        <v>1</v>
      </c>
      <c r="X207" t="str">
        <f t="shared" si="14"/>
        <v>25-48 Months</v>
      </c>
      <c r="Y207" s="1" t="str">
        <f t="shared" si="15"/>
        <v>Medium</v>
      </c>
    </row>
    <row r="208" spans="1:25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 t="shared" si="12"/>
        <v>0</v>
      </c>
      <c r="W208">
        <f t="shared" si="13"/>
        <v>1</v>
      </c>
      <c r="X208" t="str">
        <f t="shared" si="14"/>
        <v>49+ Months</v>
      </c>
      <c r="Y208" s="1" t="str">
        <f t="shared" si="15"/>
        <v>Medium</v>
      </c>
    </row>
    <row r="209" spans="1:25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12"/>
        <v>1</v>
      </c>
      <c r="W209">
        <f t="shared" si="13"/>
        <v>0</v>
      </c>
      <c r="X209" t="str">
        <f t="shared" si="14"/>
        <v>0-12 Months</v>
      </c>
      <c r="Y209" s="1" t="str">
        <f t="shared" si="15"/>
        <v>Medium</v>
      </c>
    </row>
    <row r="210" spans="1:25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12"/>
        <v>1</v>
      </c>
      <c r="W210">
        <f t="shared" si="13"/>
        <v>0</v>
      </c>
      <c r="X210" t="str">
        <f t="shared" si="14"/>
        <v>13-24 Months</v>
      </c>
      <c r="Y210" s="1" t="str">
        <f t="shared" si="15"/>
        <v>High</v>
      </c>
    </row>
    <row r="211" spans="1:25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 t="shared" si="12"/>
        <v>0</v>
      </c>
      <c r="W211">
        <f t="shared" si="13"/>
        <v>1</v>
      </c>
      <c r="X211" t="str">
        <f t="shared" si="14"/>
        <v>49+ Months</v>
      </c>
      <c r="Y211" s="1" t="str">
        <f t="shared" si="15"/>
        <v>High</v>
      </c>
    </row>
    <row r="212" spans="1:25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 t="shared" si="12"/>
        <v>1</v>
      </c>
      <c r="W212">
        <f t="shared" si="13"/>
        <v>0</v>
      </c>
      <c r="X212" t="str">
        <f t="shared" si="14"/>
        <v>0-12 Months</v>
      </c>
      <c r="Y212" s="1" t="str">
        <f t="shared" si="15"/>
        <v>Low</v>
      </c>
    </row>
    <row r="213" spans="1:25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12"/>
        <v>0</v>
      </c>
      <c r="W213">
        <f t="shared" si="13"/>
        <v>1</v>
      </c>
      <c r="X213" t="str">
        <f t="shared" si="14"/>
        <v>0-12 Months</v>
      </c>
      <c r="Y213" s="1" t="str">
        <f t="shared" si="15"/>
        <v>Low</v>
      </c>
    </row>
    <row r="214" spans="1:25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 t="shared" si="12"/>
        <v>0</v>
      </c>
      <c r="W214">
        <f t="shared" si="13"/>
        <v>1</v>
      </c>
      <c r="X214" t="str">
        <f t="shared" si="14"/>
        <v>49+ Months</v>
      </c>
      <c r="Y214" s="1" t="str">
        <f t="shared" si="15"/>
        <v>Low</v>
      </c>
    </row>
    <row r="215" spans="1:25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12"/>
        <v>0</v>
      </c>
      <c r="W215">
        <f t="shared" si="13"/>
        <v>1</v>
      </c>
      <c r="X215" t="str">
        <f t="shared" si="14"/>
        <v>25-48 Months</v>
      </c>
      <c r="Y215" s="1" t="str">
        <f t="shared" si="15"/>
        <v>Low</v>
      </c>
    </row>
    <row r="216" spans="1:25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12"/>
        <v>0</v>
      </c>
      <c r="W216">
        <f t="shared" si="13"/>
        <v>1</v>
      </c>
      <c r="X216" t="str">
        <f t="shared" si="14"/>
        <v>13-24 Months</v>
      </c>
      <c r="Y216" s="1" t="str">
        <f t="shared" si="15"/>
        <v>High</v>
      </c>
    </row>
    <row r="217" spans="1:25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 t="shared" si="12"/>
        <v>0</v>
      </c>
      <c r="W217">
        <f t="shared" si="13"/>
        <v>1</v>
      </c>
      <c r="X217" t="str">
        <f t="shared" si="14"/>
        <v>49+ Months</v>
      </c>
      <c r="Y217" s="1" t="str">
        <f t="shared" si="15"/>
        <v>Medium</v>
      </c>
    </row>
    <row r="218" spans="1:25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 t="shared" si="12"/>
        <v>0</v>
      </c>
      <c r="W218">
        <f t="shared" si="13"/>
        <v>1</v>
      </c>
      <c r="X218" t="str">
        <f t="shared" si="14"/>
        <v>49+ Months</v>
      </c>
      <c r="Y218" s="1" t="str">
        <f t="shared" si="15"/>
        <v>Low</v>
      </c>
    </row>
    <row r="219" spans="1:25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 t="shared" si="12"/>
        <v>0</v>
      </c>
      <c r="W219">
        <f t="shared" si="13"/>
        <v>1</v>
      </c>
      <c r="X219" t="str">
        <f t="shared" si="14"/>
        <v>49+ Months</v>
      </c>
      <c r="Y219" s="1" t="str">
        <f t="shared" si="15"/>
        <v>Medium</v>
      </c>
    </row>
    <row r="220" spans="1:25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 t="shared" si="12"/>
        <v>0</v>
      </c>
      <c r="W220">
        <f t="shared" si="13"/>
        <v>1</v>
      </c>
      <c r="X220" t="str">
        <f t="shared" si="14"/>
        <v>49+ Months</v>
      </c>
      <c r="Y220" s="1" t="str">
        <f t="shared" si="15"/>
        <v>High</v>
      </c>
    </row>
    <row r="221" spans="1:25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 t="shared" si="12"/>
        <v>0</v>
      </c>
      <c r="W221">
        <f t="shared" si="13"/>
        <v>1</v>
      </c>
      <c r="X221" t="str">
        <f t="shared" si="14"/>
        <v>0-12 Months</v>
      </c>
      <c r="Y221" s="1" t="str">
        <f t="shared" si="15"/>
        <v>High</v>
      </c>
    </row>
    <row r="222" spans="1:25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12"/>
        <v>1</v>
      </c>
      <c r="W222">
        <f t="shared" si="13"/>
        <v>0</v>
      </c>
      <c r="X222" t="str">
        <f t="shared" si="14"/>
        <v>0-12 Months</v>
      </c>
      <c r="Y222" s="1" t="str">
        <f t="shared" si="15"/>
        <v>Medium</v>
      </c>
    </row>
    <row r="223" spans="1:25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 t="shared" si="12"/>
        <v>0</v>
      </c>
      <c r="W223">
        <f t="shared" si="13"/>
        <v>1</v>
      </c>
      <c r="X223" t="str">
        <f t="shared" si="14"/>
        <v>49+ Months</v>
      </c>
      <c r="Y223" s="1" t="str">
        <f t="shared" si="15"/>
        <v>Low</v>
      </c>
    </row>
    <row r="224" spans="1:25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12"/>
        <v>0</v>
      </c>
      <c r="W224">
        <f t="shared" si="13"/>
        <v>1</v>
      </c>
      <c r="X224" t="str">
        <f t="shared" si="14"/>
        <v>0-12 Months</v>
      </c>
      <c r="Y224" s="1" t="str">
        <f t="shared" si="15"/>
        <v>Low</v>
      </c>
    </row>
    <row r="225" spans="1:25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 t="shared" si="12"/>
        <v>1</v>
      </c>
      <c r="W225">
        <f t="shared" si="13"/>
        <v>0</v>
      </c>
      <c r="X225" t="str">
        <f t="shared" si="14"/>
        <v>0-12 Months</v>
      </c>
      <c r="Y225" s="1" t="str">
        <f t="shared" si="15"/>
        <v>Medium</v>
      </c>
    </row>
    <row r="226" spans="1:25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 t="shared" si="12"/>
        <v>0</v>
      </c>
      <c r="W226">
        <f t="shared" si="13"/>
        <v>1</v>
      </c>
      <c r="X226" t="str">
        <f t="shared" si="14"/>
        <v>0-12 Months</v>
      </c>
      <c r="Y226" s="1" t="str">
        <f t="shared" si="15"/>
        <v>Low</v>
      </c>
    </row>
    <row r="227" spans="1:25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 t="shared" si="12"/>
        <v>0</v>
      </c>
      <c r="W227">
        <f t="shared" si="13"/>
        <v>1</v>
      </c>
      <c r="X227" t="str">
        <f t="shared" si="14"/>
        <v>13-24 Months</v>
      </c>
      <c r="Y227" s="1" t="str">
        <f t="shared" si="15"/>
        <v>Medium</v>
      </c>
    </row>
    <row r="228" spans="1:25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 t="shared" si="12"/>
        <v>0</v>
      </c>
      <c r="W228">
        <f t="shared" si="13"/>
        <v>1</v>
      </c>
      <c r="X228" t="str">
        <f t="shared" si="14"/>
        <v>25-48 Months</v>
      </c>
      <c r="Y228" s="1" t="str">
        <f t="shared" si="15"/>
        <v>High</v>
      </c>
    </row>
    <row r="229" spans="1:25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 t="shared" si="12"/>
        <v>1</v>
      </c>
      <c r="W229">
        <f t="shared" si="13"/>
        <v>0</v>
      </c>
      <c r="X229" t="str">
        <f t="shared" si="14"/>
        <v>0-12 Months</v>
      </c>
      <c r="Y229" s="1" t="str">
        <f t="shared" si="15"/>
        <v>Medium</v>
      </c>
    </row>
    <row r="230" spans="1:25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 t="shared" si="12"/>
        <v>0</v>
      </c>
      <c r="W230">
        <f t="shared" si="13"/>
        <v>1</v>
      </c>
      <c r="X230" t="str">
        <f t="shared" si="14"/>
        <v>25-48 Months</v>
      </c>
      <c r="Y230" s="1" t="str">
        <f t="shared" si="15"/>
        <v>High</v>
      </c>
    </row>
    <row r="231" spans="1:25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 t="shared" si="12"/>
        <v>0</v>
      </c>
      <c r="W231">
        <f t="shared" si="13"/>
        <v>1</v>
      </c>
      <c r="X231" t="str">
        <f t="shared" si="14"/>
        <v>25-48 Months</v>
      </c>
      <c r="Y231" s="1" t="str">
        <f t="shared" si="15"/>
        <v>High</v>
      </c>
    </row>
    <row r="232" spans="1:25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 t="shared" si="12"/>
        <v>0</v>
      </c>
      <c r="W232">
        <f t="shared" si="13"/>
        <v>1</v>
      </c>
      <c r="X232" t="str">
        <f t="shared" si="14"/>
        <v>49+ Months</v>
      </c>
      <c r="Y232" s="1" t="str">
        <f t="shared" si="15"/>
        <v>High</v>
      </c>
    </row>
    <row r="233" spans="1:25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 t="shared" si="12"/>
        <v>0</v>
      </c>
      <c r="W233">
        <f t="shared" si="13"/>
        <v>1</v>
      </c>
      <c r="X233" t="str">
        <f t="shared" si="14"/>
        <v>49+ Months</v>
      </c>
      <c r="Y233" s="1" t="str">
        <f t="shared" si="15"/>
        <v>High</v>
      </c>
    </row>
    <row r="234" spans="1:25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 t="shared" si="12"/>
        <v>1</v>
      </c>
      <c r="W234">
        <f t="shared" si="13"/>
        <v>0</v>
      </c>
      <c r="X234" t="str">
        <f t="shared" si="14"/>
        <v>0-12 Months</v>
      </c>
      <c r="Y234" s="1" t="str">
        <f t="shared" si="15"/>
        <v>High</v>
      </c>
    </row>
    <row r="235" spans="1:25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 t="shared" si="12"/>
        <v>0</v>
      </c>
      <c r="W235">
        <f t="shared" si="13"/>
        <v>1</v>
      </c>
      <c r="X235" t="str">
        <f t="shared" si="14"/>
        <v>49+ Months</v>
      </c>
      <c r="Y235" s="1" t="str">
        <f t="shared" si="15"/>
        <v>Low</v>
      </c>
    </row>
    <row r="236" spans="1:25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12"/>
        <v>0</v>
      </c>
      <c r="W236">
        <f t="shared" si="13"/>
        <v>1</v>
      </c>
      <c r="X236" t="str">
        <f t="shared" si="14"/>
        <v>25-48 Months</v>
      </c>
      <c r="Y236" s="1" t="str">
        <f t="shared" si="15"/>
        <v>Low</v>
      </c>
    </row>
    <row r="237" spans="1:25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 t="shared" si="12"/>
        <v>1</v>
      </c>
      <c r="W237">
        <f t="shared" si="13"/>
        <v>0</v>
      </c>
      <c r="X237" t="str">
        <f t="shared" si="14"/>
        <v>0-12 Months</v>
      </c>
      <c r="Y237" s="1" t="str">
        <f t="shared" si="15"/>
        <v>Medium</v>
      </c>
    </row>
    <row r="238" spans="1:25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 t="shared" si="12"/>
        <v>0</v>
      </c>
      <c r="W238">
        <f t="shared" si="13"/>
        <v>1</v>
      </c>
      <c r="X238" t="str">
        <f t="shared" si="14"/>
        <v>0-12 Months</v>
      </c>
      <c r="Y238" s="1" t="str">
        <f t="shared" si="15"/>
        <v>Low</v>
      </c>
    </row>
    <row r="239" spans="1:25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12"/>
        <v>0</v>
      </c>
      <c r="W239">
        <f t="shared" si="13"/>
        <v>1</v>
      </c>
      <c r="X239" t="str">
        <f t="shared" si="14"/>
        <v>13-24 Months</v>
      </c>
      <c r="Y239" s="1" t="str">
        <f t="shared" si="15"/>
        <v>Medium</v>
      </c>
    </row>
    <row r="240" spans="1:25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12"/>
        <v>1</v>
      </c>
      <c r="W240">
        <f t="shared" si="13"/>
        <v>0</v>
      </c>
      <c r="X240" t="str">
        <f t="shared" si="14"/>
        <v>0-12 Months</v>
      </c>
      <c r="Y240" s="1" t="str">
        <f t="shared" si="15"/>
        <v>High</v>
      </c>
    </row>
    <row r="241" spans="1:25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 t="shared" si="12"/>
        <v>0</v>
      </c>
      <c r="W241">
        <f t="shared" si="13"/>
        <v>1</v>
      </c>
      <c r="X241" t="str">
        <f t="shared" si="14"/>
        <v>13-24 Months</v>
      </c>
      <c r="Y241" s="1" t="str">
        <f t="shared" si="15"/>
        <v>Low</v>
      </c>
    </row>
    <row r="242" spans="1:25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 t="shared" si="12"/>
        <v>0</v>
      </c>
      <c r="W242">
        <f t="shared" si="13"/>
        <v>1</v>
      </c>
      <c r="X242" t="str">
        <f t="shared" si="14"/>
        <v>49+ Months</v>
      </c>
      <c r="Y242" s="1" t="str">
        <f t="shared" si="15"/>
        <v>High</v>
      </c>
    </row>
    <row r="243" spans="1:25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 t="shared" si="12"/>
        <v>0</v>
      </c>
      <c r="W243">
        <f t="shared" si="13"/>
        <v>1</v>
      </c>
      <c r="X243" t="str">
        <f t="shared" si="14"/>
        <v>49+ Months</v>
      </c>
      <c r="Y243" s="1" t="str">
        <f t="shared" si="15"/>
        <v>High</v>
      </c>
    </row>
    <row r="244" spans="1:25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 t="shared" si="12"/>
        <v>0</v>
      </c>
      <c r="W244">
        <f t="shared" si="13"/>
        <v>1</v>
      </c>
      <c r="X244" t="str">
        <f t="shared" si="14"/>
        <v>25-48 Months</v>
      </c>
      <c r="Y244" s="1" t="str">
        <f t="shared" si="15"/>
        <v>Medium</v>
      </c>
    </row>
    <row r="245" spans="1:25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12"/>
        <v>0</v>
      </c>
      <c r="W245">
        <f t="shared" si="13"/>
        <v>1</v>
      </c>
      <c r="X245" t="str">
        <f t="shared" si="14"/>
        <v>49+ Months</v>
      </c>
      <c r="Y245" s="1" t="str">
        <f t="shared" si="15"/>
        <v>High</v>
      </c>
    </row>
    <row r="246" spans="1:25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12"/>
        <v>0</v>
      </c>
      <c r="W246">
        <f t="shared" si="13"/>
        <v>1</v>
      </c>
      <c r="X246" t="str">
        <f t="shared" si="14"/>
        <v>13-24 Months</v>
      </c>
      <c r="Y246" s="1" t="str">
        <f t="shared" si="15"/>
        <v>Medium</v>
      </c>
    </row>
    <row r="247" spans="1:25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12"/>
        <v>0</v>
      </c>
      <c r="W247">
        <f t="shared" si="13"/>
        <v>1</v>
      </c>
      <c r="X247" t="str">
        <f t="shared" si="14"/>
        <v>0-12 Months</v>
      </c>
      <c r="Y247" s="1" t="str">
        <f t="shared" si="15"/>
        <v>Medium</v>
      </c>
    </row>
    <row r="248" spans="1:25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 t="shared" si="12"/>
        <v>0</v>
      </c>
      <c r="W248">
        <f t="shared" si="13"/>
        <v>1</v>
      </c>
      <c r="X248" t="str">
        <f t="shared" si="14"/>
        <v>25-48 Months</v>
      </c>
      <c r="Y248" s="1" t="str">
        <f t="shared" si="15"/>
        <v>Medium</v>
      </c>
    </row>
    <row r="249" spans="1:25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12"/>
        <v>1</v>
      </c>
      <c r="W249">
        <f t="shared" si="13"/>
        <v>0</v>
      </c>
      <c r="X249" t="str">
        <f t="shared" si="14"/>
        <v>13-24 Months</v>
      </c>
      <c r="Y249" s="1" t="str">
        <f t="shared" si="15"/>
        <v>Medium</v>
      </c>
    </row>
    <row r="250" spans="1:25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 t="shared" si="12"/>
        <v>1</v>
      </c>
      <c r="W250">
        <f t="shared" si="13"/>
        <v>0</v>
      </c>
      <c r="X250" t="str">
        <f t="shared" si="14"/>
        <v>0-12 Months</v>
      </c>
      <c r="Y250" s="1" t="str">
        <f t="shared" si="15"/>
        <v>Low</v>
      </c>
    </row>
    <row r="251" spans="1:25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12"/>
        <v>0</v>
      </c>
      <c r="W251">
        <f t="shared" si="13"/>
        <v>1</v>
      </c>
      <c r="X251" t="str">
        <f t="shared" si="14"/>
        <v>25-48 Months</v>
      </c>
      <c r="Y251" s="1" t="str">
        <f t="shared" si="15"/>
        <v>High</v>
      </c>
    </row>
    <row r="252" spans="1:25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12"/>
        <v>0</v>
      </c>
      <c r="W252">
        <f t="shared" si="13"/>
        <v>1</v>
      </c>
      <c r="X252" t="str">
        <f t="shared" si="14"/>
        <v>49+ Months</v>
      </c>
      <c r="Y252" s="1" t="str">
        <f t="shared" si="15"/>
        <v>High</v>
      </c>
    </row>
    <row r="253" spans="1:25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12"/>
        <v>1</v>
      </c>
      <c r="W253">
        <f t="shared" si="13"/>
        <v>0</v>
      </c>
      <c r="X253" t="str">
        <f t="shared" si="14"/>
        <v>0-12 Months</v>
      </c>
      <c r="Y253" s="1" t="str">
        <f t="shared" si="15"/>
        <v>Medium</v>
      </c>
    </row>
    <row r="254" spans="1:25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12"/>
        <v>1</v>
      </c>
      <c r="W254">
        <f t="shared" si="13"/>
        <v>0</v>
      </c>
      <c r="X254" t="str">
        <f t="shared" si="14"/>
        <v>0-12 Months</v>
      </c>
      <c r="Y254" s="1" t="str">
        <f t="shared" si="15"/>
        <v>Low</v>
      </c>
    </row>
    <row r="255" spans="1:25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 t="shared" si="12"/>
        <v>0</v>
      </c>
      <c r="W255">
        <f t="shared" si="13"/>
        <v>1</v>
      </c>
      <c r="X255" t="str">
        <f t="shared" si="14"/>
        <v>25-48 Months</v>
      </c>
      <c r="Y255" s="1" t="str">
        <f t="shared" si="15"/>
        <v>High</v>
      </c>
    </row>
    <row r="256" spans="1:25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 t="shared" si="12"/>
        <v>0</v>
      </c>
      <c r="W256">
        <f t="shared" si="13"/>
        <v>1</v>
      </c>
      <c r="X256" t="str">
        <f t="shared" si="14"/>
        <v>0-12 Months</v>
      </c>
      <c r="Y256" s="1" t="str">
        <f t="shared" si="15"/>
        <v>Low</v>
      </c>
    </row>
    <row r="257" spans="1:25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12"/>
        <v>0</v>
      </c>
      <c r="W257">
        <f t="shared" si="13"/>
        <v>1</v>
      </c>
      <c r="X257" t="str">
        <f t="shared" si="14"/>
        <v>49+ Months</v>
      </c>
      <c r="Y257" s="1" t="str">
        <f t="shared" si="15"/>
        <v>Medium</v>
      </c>
    </row>
    <row r="258" spans="1:25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 t="shared" ref="V258:V321" si="16">IF(U258="Yes",1,0)</f>
        <v>0</v>
      </c>
      <c r="W258">
        <f t="shared" ref="W258:W321" si="17">IF(U258="No",1,0)</f>
        <v>1</v>
      </c>
      <c r="X258" t="str">
        <f t="shared" ref="X258:X321" si="18">IF(F258&lt;=12,"0-12 Months",IF(F258&lt;=24,"13-24 Months",IF(F258&lt;=48,"25-48 Months","49+ Months")))</f>
        <v>49+ Months</v>
      </c>
      <c r="Y258" s="1" t="str">
        <f t="shared" ref="Y258:Y321" si="19">IF(S258&lt;50,"Low",IF(S258&lt;80,"Medium","High"))</f>
        <v>High</v>
      </c>
    </row>
    <row r="259" spans="1:25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 t="shared" si="16"/>
        <v>0</v>
      </c>
      <c r="W259">
        <f t="shared" si="17"/>
        <v>1</v>
      </c>
      <c r="X259" t="str">
        <f t="shared" si="18"/>
        <v>49+ Months</v>
      </c>
      <c r="Y259" s="1" t="str">
        <f t="shared" si="19"/>
        <v>High</v>
      </c>
    </row>
    <row r="260" spans="1:25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 t="shared" si="16"/>
        <v>1</v>
      </c>
      <c r="W260">
        <f t="shared" si="17"/>
        <v>0</v>
      </c>
      <c r="X260" t="str">
        <f t="shared" si="18"/>
        <v>0-12 Months</v>
      </c>
      <c r="Y260" s="1" t="str">
        <f t="shared" si="19"/>
        <v>Low</v>
      </c>
    </row>
    <row r="261" spans="1:25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16"/>
        <v>0</v>
      </c>
      <c r="W261">
        <f t="shared" si="17"/>
        <v>1</v>
      </c>
      <c r="X261" t="str">
        <f t="shared" si="18"/>
        <v>25-48 Months</v>
      </c>
      <c r="Y261" s="1" t="str">
        <f t="shared" si="19"/>
        <v>Low</v>
      </c>
    </row>
    <row r="262" spans="1:25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16"/>
        <v>1</v>
      </c>
      <c r="W262">
        <f t="shared" si="17"/>
        <v>0</v>
      </c>
      <c r="X262" t="str">
        <f t="shared" si="18"/>
        <v>0-12 Months</v>
      </c>
      <c r="Y262" s="1" t="str">
        <f t="shared" si="19"/>
        <v>Low</v>
      </c>
    </row>
    <row r="263" spans="1:25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16"/>
        <v>1</v>
      </c>
      <c r="W263">
        <f t="shared" si="17"/>
        <v>0</v>
      </c>
      <c r="X263" t="str">
        <f t="shared" si="18"/>
        <v>13-24 Months</v>
      </c>
      <c r="Y263" s="1" t="str">
        <f t="shared" si="19"/>
        <v>High</v>
      </c>
    </row>
    <row r="264" spans="1:25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16"/>
        <v>0</v>
      </c>
      <c r="W264">
        <f t="shared" si="17"/>
        <v>1</v>
      </c>
      <c r="X264" t="str">
        <f t="shared" si="18"/>
        <v>49+ Months</v>
      </c>
      <c r="Y264" s="1" t="str">
        <f t="shared" si="19"/>
        <v>High</v>
      </c>
    </row>
    <row r="265" spans="1:25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 t="shared" si="16"/>
        <v>0</v>
      </c>
      <c r="W265">
        <f t="shared" si="17"/>
        <v>1</v>
      </c>
      <c r="X265" t="str">
        <f t="shared" si="18"/>
        <v>25-48 Months</v>
      </c>
      <c r="Y265" s="1" t="str">
        <f t="shared" si="19"/>
        <v>Low</v>
      </c>
    </row>
    <row r="266" spans="1:25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 t="shared" si="16"/>
        <v>0</v>
      </c>
      <c r="W266">
        <f t="shared" si="17"/>
        <v>1</v>
      </c>
      <c r="X266" t="str">
        <f t="shared" si="18"/>
        <v>25-48 Months</v>
      </c>
      <c r="Y266" s="1" t="str">
        <f t="shared" si="19"/>
        <v>High</v>
      </c>
    </row>
    <row r="267" spans="1:25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 t="shared" si="16"/>
        <v>0</v>
      </c>
      <c r="W267">
        <f t="shared" si="17"/>
        <v>1</v>
      </c>
      <c r="X267" t="str">
        <f t="shared" si="18"/>
        <v>49+ Months</v>
      </c>
      <c r="Y267" s="1" t="str">
        <f t="shared" si="19"/>
        <v>High</v>
      </c>
    </row>
    <row r="268" spans="1:25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 t="shared" si="16"/>
        <v>0</v>
      </c>
      <c r="W268">
        <f t="shared" si="17"/>
        <v>1</v>
      </c>
      <c r="X268" t="str">
        <f t="shared" si="18"/>
        <v>49+ Months</v>
      </c>
      <c r="Y268" s="1" t="str">
        <f t="shared" si="19"/>
        <v>Low</v>
      </c>
    </row>
    <row r="269" spans="1:25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 t="shared" si="16"/>
        <v>0</v>
      </c>
      <c r="W269">
        <f t="shared" si="17"/>
        <v>1</v>
      </c>
      <c r="X269" t="str">
        <f t="shared" si="18"/>
        <v>13-24 Months</v>
      </c>
      <c r="Y269" s="1" t="str">
        <f t="shared" si="19"/>
        <v>High</v>
      </c>
    </row>
    <row r="270" spans="1:25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 t="shared" si="16"/>
        <v>1</v>
      </c>
      <c r="W270">
        <f t="shared" si="17"/>
        <v>0</v>
      </c>
      <c r="X270" t="str">
        <f t="shared" si="18"/>
        <v>49+ Months</v>
      </c>
      <c r="Y270" s="1" t="str">
        <f t="shared" si="19"/>
        <v>Low</v>
      </c>
    </row>
    <row r="271" spans="1:25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 t="shared" si="16"/>
        <v>0</v>
      </c>
      <c r="W271">
        <f t="shared" si="17"/>
        <v>1</v>
      </c>
      <c r="X271" t="str">
        <f t="shared" si="18"/>
        <v>49+ Months</v>
      </c>
      <c r="Y271" s="1" t="str">
        <f t="shared" si="19"/>
        <v>Low</v>
      </c>
    </row>
    <row r="272" spans="1:25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16"/>
        <v>1</v>
      </c>
      <c r="W272">
        <f t="shared" si="17"/>
        <v>0</v>
      </c>
      <c r="X272" t="str">
        <f t="shared" si="18"/>
        <v>13-24 Months</v>
      </c>
      <c r="Y272" s="1" t="str">
        <f t="shared" si="19"/>
        <v>High</v>
      </c>
    </row>
    <row r="273" spans="1:25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16"/>
        <v>0</v>
      </c>
      <c r="W273">
        <f t="shared" si="17"/>
        <v>1</v>
      </c>
      <c r="X273" t="str">
        <f t="shared" si="18"/>
        <v>49+ Months</v>
      </c>
      <c r="Y273" s="1" t="str">
        <f t="shared" si="19"/>
        <v>Medium</v>
      </c>
    </row>
    <row r="274" spans="1:25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 t="shared" si="16"/>
        <v>1</v>
      </c>
      <c r="W274">
        <f t="shared" si="17"/>
        <v>0</v>
      </c>
      <c r="X274" t="str">
        <f t="shared" si="18"/>
        <v>0-12 Months</v>
      </c>
      <c r="Y274" s="1" t="str">
        <f t="shared" si="19"/>
        <v>Low</v>
      </c>
    </row>
    <row r="275" spans="1:25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16"/>
        <v>0</v>
      </c>
      <c r="W275">
        <f t="shared" si="17"/>
        <v>1</v>
      </c>
      <c r="X275" t="str">
        <f t="shared" si="18"/>
        <v>13-24 Months</v>
      </c>
      <c r="Y275" s="1" t="str">
        <f t="shared" si="19"/>
        <v>High</v>
      </c>
    </row>
    <row r="276" spans="1:25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 t="shared" si="16"/>
        <v>1</v>
      </c>
      <c r="W276">
        <f t="shared" si="17"/>
        <v>0</v>
      </c>
      <c r="X276" t="str">
        <f t="shared" si="18"/>
        <v>0-12 Months</v>
      </c>
      <c r="Y276" s="1" t="str">
        <f t="shared" si="19"/>
        <v>Medium</v>
      </c>
    </row>
    <row r="277" spans="1:25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16"/>
        <v>1</v>
      </c>
      <c r="W277">
        <f t="shared" si="17"/>
        <v>0</v>
      </c>
      <c r="X277" t="str">
        <f t="shared" si="18"/>
        <v>0-12 Months</v>
      </c>
      <c r="Y277" s="1" t="str">
        <f t="shared" si="19"/>
        <v>High</v>
      </c>
    </row>
    <row r="278" spans="1:25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16"/>
        <v>1</v>
      </c>
      <c r="W278">
        <f t="shared" si="17"/>
        <v>0</v>
      </c>
      <c r="X278" t="str">
        <f t="shared" si="18"/>
        <v>49+ Months</v>
      </c>
      <c r="Y278" s="1" t="str">
        <f t="shared" si="19"/>
        <v>High</v>
      </c>
    </row>
    <row r="279" spans="1:25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 t="shared" si="16"/>
        <v>0</v>
      </c>
      <c r="W279">
        <f t="shared" si="17"/>
        <v>1</v>
      </c>
      <c r="X279" t="str">
        <f t="shared" si="18"/>
        <v>13-24 Months</v>
      </c>
      <c r="Y279" s="1" t="str">
        <f t="shared" si="19"/>
        <v>Medium</v>
      </c>
    </row>
    <row r="280" spans="1:25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16"/>
        <v>0</v>
      </c>
      <c r="W280">
        <f t="shared" si="17"/>
        <v>1</v>
      </c>
      <c r="X280" t="str">
        <f t="shared" si="18"/>
        <v>13-24 Months</v>
      </c>
      <c r="Y280" s="1" t="str">
        <f t="shared" si="19"/>
        <v>Medium</v>
      </c>
    </row>
    <row r="281" spans="1:25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 t="shared" si="16"/>
        <v>0</v>
      </c>
      <c r="W281">
        <f t="shared" si="17"/>
        <v>1</v>
      </c>
      <c r="X281" t="str">
        <f t="shared" si="18"/>
        <v>0-12 Months</v>
      </c>
      <c r="Y281" s="1" t="str">
        <f t="shared" si="19"/>
        <v>Medium</v>
      </c>
    </row>
    <row r="282" spans="1:25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 t="shared" si="16"/>
        <v>0</v>
      </c>
      <c r="W282">
        <f t="shared" si="17"/>
        <v>1</v>
      </c>
      <c r="X282" t="str">
        <f t="shared" si="18"/>
        <v>0-12 Months</v>
      </c>
      <c r="Y282" s="1" t="str">
        <f t="shared" si="19"/>
        <v>Medium</v>
      </c>
    </row>
    <row r="283" spans="1:25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16"/>
        <v>0</v>
      </c>
      <c r="W283">
        <f t="shared" si="17"/>
        <v>1</v>
      </c>
      <c r="X283" t="str">
        <f t="shared" si="18"/>
        <v>0-12 Months</v>
      </c>
      <c r="Y283" s="1" t="str">
        <f t="shared" si="19"/>
        <v>Medium</v>
      </c>
    </row>
    <row r="284" spans="1:25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 t="shared" si="16"/>
        <v>0</v>
      </c>
      <c r="W284">
        <f t="shared" si="17"/>
        <v>1</v>
      </c>
      <c r="X284" t="str">
        <f t="shared" si="18"/>
        <v>0-12 Months</v>
      </c>
      <c r="Y284" s="1" t="str">
        <f t="shared" si="19"/>
        <v>Low</v>
      </c>
    </row>
    <row r="285" spans="1:25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 t="shared" si="16"/>
        <v>0</v>
      </c>
      <c r="W285">
        <f t="shared" si="17"/>
        <v>1</v>
      </c>
      <c r="X285" t="str">
        <f t="shared" si="18"/>
        <v>49+ Months</v>
      </c>
      <c r="Y285" s="1" t="str">
        <f t="shared" si="19"/>
        <v>Medium</v>
      </c>
    </row>
    <row r="286" spans="1:25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 t="shared" si="16"/>
        <v>1</v>
      </c>
      <c r="W286">
        <f t="shared" si="17"/>
        <v>0</v>
      </c>
      <c r="X286" t="str">
        <f t="shared" si="18"/>
        <v>13-24 Months</v>
      </c>
      <c r="Y286" s="1" t="str">
        <f t="shared" si="19"/>
        <v>High</v>
      </c>
    </row>
    <row r="287" spans="1:25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 t="shared" si="16"/>
        <v>0</v>
      </c>
      <c r="W287">
        <f t="shared" si="17"/>
        <v>1</v>
      </c>
      <c r="X287" t="str">
        <f t="shared" si="18"/>
        <v>13-24 Months</v>
      </c>
      <c r="Y287" s="1" t="str">
        <f t="shared" si="19"/>
        <v>Medium</v>
      </c>
    </row>
    <row r="288" spans="1:25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16"/>
        <v>0</v>
      </c>
      <c r="W288">
        <f t="shared" si="17"/>
        <v>1</v>
      </c>
      <c r="X288" t="str">
        <f t="shared" si="18"/>
        <v>13-24 Months</v>
      </c>
      <c r="Y288" s="1" t="str">
        <f t="shared" si="19"/>
        <v>Low</v>
      </c>
    </row>
    <row r="289" spans="1:25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16"/>
        <v>1</v>
      </c>
      <c r="W289">
        <f t="shared" si="17"/>
        <v>0</v>
      </c>
      <c r="X289" t="str">
        <f t="shared" si="18"/>
        <v>0-12 Months</v>
      </c>
      <c r="Y289" s="1" t="str">
        <f t="shared" si="19"/>
        <v>Medium</v>
      </c>
    </row>
    <row r="290" spans="1:25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16"/>
        <v>1</v>
      </c>
      <c r="W290">
        <f t="shared" si="17"/>
        <v>0</v>
      </c>
      <c r="X290" t="str">
        <f t="shared" si="18"/>
        <v>0-12 Months</v>
      </c>
      <c r="Y290" s="1" t="str">
        <f t="shared" si="19"/>
        <v>Medium</v>
      </c>
    </row>
    <row r="291" spans="1:25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 t="shared" si="16"/>
        <v>1</v>
      </c>
      <c r="W291">
        <f t="shared" si="17"/>
        <v>0</v>
      </c>
      <c r="X291" t="str">
        <f t="shared" si="18"/>
        <v>0-12 Months</v>
      </c>
      <c r="Y291" s="1" t="str">
        <f t="shared" si="19"/>
        <v>Low</v>
      </c>
    </row>
    <row r="292" spans="1:25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16"/>
        <v>1</v>
      </c>
      <c r="W292">
        <f t="shared" si="17"/>
        <v>0</v>
      </c>
      <c r="X292" t="str">
        <f t="shared" si="18"/>
        <v>13-24 Months</v>
      </c>
      <c r="Y292" s="1" t="str">
        <f t="shared" si="19"/>
        <v>Medium</v>
      </c>
    </row>
    <row r="293" spans="1:25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 t="shared" si="16"/>
        <v>0</v>
      </c>
      <c r="W293">
        <f t="shared" si="17"/>
        <v>1</v>
      </c>
      <c r="X293" t="str">
        <f t="shared" si="18"/>
        <v>25-48 Months</v>
      </c>
      <c r="Y293" s="1" t="str">
        <f t="shared" si="19"/>
        <v>Medium</v>
      </c>
    </row>
    <row r="294" spans="1:25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 t="shared" si="16"/>
        <v>0</v>
      </c>
      <c r="W294">
        <f t="shared" si="17"/>
        <v>1</v>
      </c>
      <c r="X294" t="str">
        <f t="shared" si="18"/>
        <v>13-24 Months</v>
      </c>
      <c r="Y294" s="1" t="str">
        <f t="shared" si="19"/>
        <v>High</v>
      </c>
    </row>
    <row r="295" spans="1:25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16"/>
        <v>0</v>
      </c>
      <c r="W295">
        <f t="shared" si="17"/>
        <v>1</v>
      </c>
      <c r="X295" t="str">
        <f t="shared" si="18"/>
        <v>0-12 Months</v>
      </c>
      <c r="Y295" s="1" t="str">
        <f t="shared" si="19"/>
        <v>High</v>
      </c>
    </row>
    <row r="296" spans="1:25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 t="shared" si="16"/>
        <v>0</v>
      </c>
      <c r="W296">
        <f t="shared" si="17"/>
        <v>1</v>
      </c>
      <c r="X296" t="str">
        <f t="shared" si="18"/>
        <v>0-12 Months</v>
      </c>
      <c r="Y296" s="1" t="str">
        <f t="shared" si="19"/>
        <v>Low</v>
      </c>
    </row>
    <row r="297" spans="1:25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 t="shared" si="16"/>
        <v>0</v>
      </c>
      <c r="W297">
        <f t="shared" si="17"/>
        <v>1</v>
      </c>
      <c r="X297" t="str">
        <f t="shared" si="18"/>
        <v>0-12 Months</v>
      </c>
      <c r="Y297" s="1" t="str">
        <f t="shared" si="19"/>
        <v>Low</v>
      </c>
    </row>
    <row r="298" spans="1:25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16"/>
        <v>0</v>
      </c>
      <c r="W298">
        <f t="shared" si="17"/>
        <v>1</v>
      </c>
      <c r="X298" t="str">
        <f t="shared" si="18"/>
        <v>49+ Months</v>
      </c>
      <c r="Y298" s="1" t="str">
        <f t="shared" si="19"/>
        <v>Medium</v>
      </c>
    </row>
    <row r="299" spans="1:25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16"/>
        <v>0</v>
      </c>
      <c r="W299">
        <f t="shared" si="17"/>
        <v>1</v>
      </c>
      <c r="X299" t="str">
        <f t="shared" si="18"/>
        <v>25-48 Months</v>
      </c>
      <c r="Y299" s="1" t="str">
        <f t="shared" si="19"/>
        <v>High</v>
      </c>
    </row>
    <row r="300" spans="1:25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16"/>
        <v>0</v>
      </c>
      <c r="W300">
        <f t="shared" si="17"/>
        <v>1</v>
      </c>
      <c r="X300" t="str">
        <f t="shared" si="18"/>
        <v>25-48 Months</v>
      </c>
      <c r="Y300" s="1" t="str">
        <f t="shared" si="19"/>
        <v>Medium</v>
      </c>
    </row>
    <row r="301" spans="1:25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 t="shared" si="16"/>
        <v>1</v>
      </c>
      <c r="W301">
        <f t="shared" si="17"/>
        <v>0</v>
      </c>
      <c r="X301" t="str">
        <f t="shared" si="18"/>
        <v>0-12 Months</v>
      </c>
      <c r="Y301" s="1" t="str">
        <f t="shared" si="19"/>
        <v>Medium</v>
      </c>
    </row>
    <row r="302" spans="1:25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 t="shared" si="16"/>
        <v>0</v>
      </c>
      <c r="W302">
        <f t="shared" si="17"/>
        <v>1</v>
      </c>
      <c r="X302" t="str">
        <f t="shared" si="18"/>
        <v>13-24 Months</v>
      </c>
      <c r="Y302" s="1" t="str">
        <f t="shared" si="19"/>
        <v>Medium</v>
      </c>
    </row>
    <row r="303" spans="1:25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16"/>
        <v>1</v>
      </c>
      <c r="W303">
        <f t="shared" si="17"/>
        <v>0</v>
      </c>
      <c r="X303" t="str">
        <f t="shared" si="18"/>
        <v>0-12 Months</v>
      </c>
      <c r="Y303" s="1" t="str">
        <f t="shared" si="19"/>
        <v>High</v>
      </c>
    </row>
    <row r="304" spans="1:25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16"/>
        <v>0</v>
      </c>
      <c r="W304">
        <f t="shared" si="17"/>
        <v>1</v>
      </c>
      <c r="X304" t="str">
        <f t="shared" si="18"/>
        <v>0-12 Months</v>
      </c>
      <c r="Y304" s="1" t="str">
        <f t="shared" si="19"/>
        <v>High</v>
      </c>
    </row>
    <row r="305" spans="1:25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 t="shared" si="16"/>
        <v>0</v>
      </c>
      <c r="W305">
        <f t="shared" si="17"/>
        <v>1</v>
      </c>
      <c r="X305" t="str">
        <f t="shared" si="18"/>
        <v>49+ Months</v>
      </c>
      <c r="Y305" s="1" t="str">
        <f t="shared" si="19"/>
        <v>Medium</v>
      </c>
    </row>
    <row r="306" spans="1:25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 t="shared" si="16"/>
        <v>0</v>
      </c>
      <c r="W306">
        <f t="shared" si="17"/>
        <v>1</v>
      </c>
      <c r="X306" t="str">
        <f t="shared" si="18"/>
        <v>25-48 Months</v>
      </c>
      <c r="Y306" s="1" t="str">
        <f t="shared" si="19"/>
        <v>High</v>
      </c>
    </row>
    <row r="307" spans="1:25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 t="shared" si="16"/>
        <v>0</v>
      </c>
      <c r="W307">
        <f t="shared" si="17"/>
        <v>1</v>
      </c>
      <c r="X307" t="str">
        <f t="shared" si="18"/>
        <v>49+ Months</v>
      </c>
      <c r="Y307" s="1" t="str">
        <f t="shared" si="19"/>
        <v>Low</v>
      </c>
    </row>
    <row r="308" spans="1:25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16"/>
        <v>1</v>
      </c>
      <c r="W308">
        <f t="shared" si="17"/>
        <v>0</v>
      </c>
      <c r="X308" t="str">
        <f t="shared" si="18"/>
        <v>25-48 Months</v>
      </c>
      <c r="Y308" s="1" t="str">
        <f t="shared" si="19"/>
        <v>Medium</v>
      </c>
    </row>
    <row r="309" spans="1:25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 t="shared" si="16"/>
        <v>0</v>
      </c>
      <c r="W309">
        <f t="shared" si="17"/>
        <v>1</v>
      </c>
      <c r="X309" t="str">
        <f t="shared" si="18"/>
        <v>25-48 Months</v>
      </c>
      <c r="Y309" s="1" t="str">
        <f t="shared" si="19"/>
        <v>Medium</v>
      </c>
    </row>
    <row r="310" spans="1:25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16"/>
        <v>0</v>
      </c>
      <c r="W310">
        <f t="shared" si="17"/>
        <v>1</v>
      </c>
      <c r="X310" t="str">
        <f t="shared" si="18"/>
        <v>25-48 Months</v>
      </c>
      <c r="Y310" s="1" t="str">
        <f t="shared" si="19"/>
        <v>High</v>
      </c>
    </row>
    <row r="311" spans="1:25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 t="shared" si="16"/>
        <v>0</v>
      </c>
      <c r="W311">
        <f t="shared" si="17"/>
        <v>1</v>
      </c>
      <c r="X311" t="str">
        <f t="shared" si="18"/>
        <v>25-48 Months</v>
      </c>
      <c r="Y311" s="1" t="str">
        <f t="shared" si="19"/>
        <v>Medium</v>
      </c>
    </row>
    <row r="312" spans="1:25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 t="shared" si="16"/>
        <v>0</v>
      </c>
      <c r="W312">
        <f t="shared" si="17"/>
        <v>1</v>
      </c>
      <c r="X312" t="str">
        <f t="shared" si="18"/>
        <v>0-12 Months</v>
      </c>
      <c r="Y312" s="1" t="str">
        <f t="shared" si="19"/>
        <v>Low</v>
      </c>
    </row>
    <row r="313" spans="1:25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16"/>
        <v>0</v>
      </c>
      <c r="W313">
        <f t="shared" si="17"/>
        <v>1</v>
      </c>
      <c r="X313" t="str">
        <f t="shared" si="18"/>
        <v>13-24 Months</v>
      </c>
      <c r="Y313" s="1" t="str">
        <f t="shared" si="19"/>
        <v>High</v>
      </c>
    </row>
    <row r="314" spans="1:25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 t="shared" si="16"/>
        <v>0</v>
      </c>
      <c r="W314">
        <f t="shared" si="17"/>
        <v>1</v>
      </c>
      <c r="X314" t="str">
        <f t="shared" si="18"/>
        <v>25-48 Months</v>
      </c>
      <c r="Y314" s="1" t="str">
        <f t="shared" si="19"/>
        <v>High</v>
      </c>
    </row>
    <row r="315" spans="1:25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16"/>
        <v>0</v>
      </c>
      <c r="W315">
        <f t="shared" si="17"/>
        <v>1</v>
      </c>
      <c r="X315" t="str">
        <f t="shared" si="18"/>
        <v>0-12 Months</v>
      </c>
      <c r="Y315" s="1" t="str">
        <f t="shared" si="19"/>
        <v>Medium</v>
      </c>
    </row>
    <row r="316" spans="1:25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16"/>
        <v>1</v>
      </c>
      <c r="W316">
        <f t="shared" si="17"/>
        <v>0</v>
      </c>
      <c r="X316" t="str">
        <f t="shared" si="18"/>
        <v>0-12 Months</v>
      </c>
      <c r="Y316" s="1" t="str">
        <f t="shared" si="19"/>
        <v>High</v>
      </c>
    </row>
    <row r="317" spans="1:25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 t="shared" si="16"/>
        <v>0</v>
      </c>
      <c r="W317">
        <f t="shared" si="17"/>
        <v>1</v>
      </c>
      <c r="X317" t="str">
        <f t="shared" si="18"/>
        <v>49+ Months</v>
      </c>
      <c r="Y317" s="1" t="str">
        <f t="shared" si="19"/>
        <v>High</v>
      </c>
    </row>
    <row r="318" spans="1:25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 t="shared" si="16"/>
        <v>0</v>
      </c>
      <c r="W318">
        <f t="shared" si="17"/>
        <v>1</v>
      </c>
      <c r="X318" t="str">
        <f t="shared" si="18"/>
        <v>49+ Months</v>
      </c>
      <c r="Y318" s="1" t="str">
        <f t="shared" si="19"/>
        <v>Low</v>
      </c>
    </row>
    <row r="319" spans="1:25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 t="shared" si="16"/>
        <v>1</v>
      </c>
      <c r="W319">
        <f t="shared" si="17"/>
        <v>0</v>
      </c>
      <c r="X319" t="str">
        <f t="shared" si="18"/>
        <v>25-48 Months</v>
      </c>
      <c r="Y319" s="1" t="str">
        <f t="shared" si="19"/>
        <v>High</v>
      </c>
    </row>
    <row r="320" spans="1:25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16"/>
        <v>1</v>
      </c>
      <c r="W320">
        <f t="shared" si="17"/>
        <v>0</v>
      </c>
      <c r="X320" t="str">
        <f t="shared" si="18"/>
        <v>13-24 Months</v>
      </c>
      <c r="Y320" s="1" t="str">
        <f t="shared" si="19"/>
        <v>High</v>
      </c>
    </row>
    <row r="321" spans="1:25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 t="shared" si="16"/>
        <v>0</v>
      </c>
      <c r="W321">
        <f t="shared" si="17"/>
        <v>1</v>
      </c>
      <c r="X321" t="str">
        <f t="shared" si="18"/>
        <v>25-48 Months</v>
      </c>
      <c r="Y321" s="1" t="str">
        <f t="shared" si="19"/>
        <v>High</v>
      </c>
    </row>
    <row r="322" spans="1:25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 t="shared" ref="V322:V385" si="20">IF(U322="Yes",1,0)</f>
        <v>1</v>
      </c>
      <c r="W322">
        <f t="shared" ref="W322:W385" si="21">IF(U322="No",1,0)</f>
        <v>0</v>
      </c>
      <c r="X322" t="str">
        <f t="shared" ref="X322:X385" si="22">IF(F322&lt;=12,"0-12 Months",IF(F322&lt;=24,"13-24 Months",IF(F322&lt;=48,"25-48 Months","49+ Months")))</f>
        <v>49+ Months</v>
      </c>
      <c r="Y322" s="1" t="str">
        <f t="shared" ref="Y322:Y385" si="23">IF(S322&lt;50,"Low",IF(S322&lt;80,"Medium","High"))</f>
        <v>High</v>
      </c>
    </row>
    <row r="323" spans="1:25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si="20"/>
        <v>0</v>
      </c>
      <c r="W323">
        <f t="shared" si="21"/>
        <v>1</v>
      </c>
      <c r="X323" t="str">
        <f t="shared" si="22"/>
        <v>49+ Months</v>
      </c>
      <c r="Y323" s="1" t="str">
        <f t="shared" si="23"/>
        <v>Medium</v>
      </c>
    </row>
    <row r="324" spans="1:25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20"/>
        <v>0</v>
      </c>
      <c r="W324">
        <f t="shared" si="21"/>
        <v>1</v>
      </c>
      <c r="X324" t="str">
        <f t="shared" si="22"/>
        <v>0-12 Months</v>
      </c>
      <c r="Y324" s="1" t="str">
        <f t="shared" si="23"/>
        <v>Low</v>
      </c>
    </row>
    <row r="325" spans="1:25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 t="shared" si="20"/>
        <v>0</v>
      </c>
      <c r="W325">
        <f t="shared" si="21"/>
        <v>1</v>
      </c>
      <c r="X325" t="str">
        <f t="shared" si="22"/>
        <v>0-12 Months</v>
      </c>
      <c r="Y325" s="1" t="str">
        <f t="shared" si="23"/>
        <v>Low</v>
      </c>
    </row>
    <row r="326" spans="1:25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 t="shared" si="20"/>
        <v>0</v>
      </c>
      <c r="W326">
        <f t="shared" si="21"/>
        <v>1</v>
      </c>
      <c r="X326" t="str">
        <f t="shared" si="22"/>
        <v>49+ Months</v>
      </c>
      <c r="Y326" s="1" t="str">
        <f t="shared" si="23"/>
        <v>Medium</v>
      </c>
    </row>
    <row r="327" spans="1:25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 t="shared" si="20"/>
        <v>0</v>
      </c>
      <c r="W327">
        <f t="shared" si="21"/>
        <v>1</v>
      </c>
      <c r="X327" t="str">
        <f t="shared" si="22"/>
        <v>49+ Months</v>
      </c>
      <c r="Y327" s="1" t="str">
        <f t="shared" si="23"/>
        <v>High</v>
      </c>
    </row>
    <row r="328" spans="1:25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20"/>
        <v>0</v>
      </c>
      <c r="W328">
        <f t="shared" si="21"/>
        <v>1</v>
      </c>
      <c r="X328" t="str">
        <f t="shared" si="22"/>
        <v>0-12 Months</v>
      </c>
      <c r="Y328" s="1" t="str">
        <f t="shared" si="23"/>
        <v>High</v>
      </c>
    </row>
    <row r="329" spans="1:25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20"/>
        <v>1</v>
      </c>
      <c r="W329">
        <f t="shared" si="21"/>
        <v>0</v>
      </c>
      <c r="X329" t="str">
        <f t="shared" si="22"/>
        <v>0-12 Months</v>
      </c>
      <c r="Y329" s="1" t="str">
        <f t="shared" si="23"/>
        <v>Medium</v>
      </c>
    </row>
    <row r="330" spans="1:25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20"/>
        <v>0</v>
      </c>
      <c r="W330">
        <f t="shared" si="21"/>
        <v>1</v>
      </c>
      <c r="X330" t="str">
        <f t="shared" si="22"/>
        <v>25-48 Months</v>
      </c>
      <c r="Y330" s="1" t="str">
        <f t="shared" si="23"/>
        <v>Low</v>
      </c>
    </row>
    <row r="331" spans="1:25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 t="shared" si="20"/>
        <v>0</v>
      </c>
      <c r="W331">
        <f t="shared" si="21"/>
        <v>1</v>
      </c>
      <c r="X331" t="str">
        <f t="shared" si="22"/>
        <v>13-24 Months</v>
      </c>
      <c r="Y331" s="1" t="str">
        <f t="shared" si="23"/>
        <v>High</v>
      </c>
    </row>
    <row r="332" spans="1:25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 t="shared" si="20"/>
        <v>0</v>
      </c>
      <c r="W332">
        <f t="shared" si="21"/>
        <v>1</v>
      </c>
      <c r="X332" t="str">
        <f t="shared" si="22"/>
        <v>25-48 Months</v>
      </c>
      <c r="Y332" s="1" t="str">
        <f t="shared" si="23"/>
        <v>Low</v>
      </c>
    </row>
    <row r="333" spans="1:25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 t="shared" si="20"/>
        <v>0</v>
      </c>
      <c r="W333">
        <f t="shared" si="21"/>
        <v>1</v>
      </c>
      <c r="X333" t="str">
        <f t="shared" si="22"/>
        <v>0-12 Months</v>
      </c>
      <c r="Y333" s="1" t="str">
        <f t="shared" si="23"/>
        <v>Low</v>
      </c>
    </row>
    <row r="334" spans="1:25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 t="shared" si="20"/>
        <v>0</v>
      </c>
      <c r="W334">
        <f t="shared" si="21"/>
        <v>1</v>
      </c>
      <c r="X334" t="str">
        <f t="shared" si="22"/>
        <v>25-48 Months</v>
      </c>
      <c r="Y334" s="1" t="str">
        <f t="shared" si="23"/>
        <v>High</v>
      </c>
    </row>
    <row r="335" spans="1:25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20"/>
        <v>1</v>
      </c>
      <c r="W335">
        <f t="shared" si="21"/>
        <v>0</v>
      </c>
      <c r="X335" t="str">
        <f t="shared" si="22"/>
        <v>0-12 Months</v>
      </c>
      <c r="Y335" s="1" t="str">
        <f t="shared" si="23"/>
        <v>Medium</v>
      </c>
    </row>
    <row r="336" spans="1:25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 t="shared" si="20"/>
        <v>1</v>
      </c>
      <c r="W336">
        <f t="shared" si="21"/>
        <v>0</v>
      </c>
      <c r="X336" t="str">
        <f t="shared" si="22"/>
        <v>0-12 Months</v>
      </c>
      <c r="Y336" s="1" t="str">
        <f t="shared" si="23"/>
        <v>High</v>
      </c>
    </row>
    <row r="337" spans="1:25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 t="shared" si="20"/>
        <v>1</v>
      </c>
      <c r="W337">
        <f t="shared" si="21"/>
        <v>0</v>
      </c>
      <c r="X337" t="str">
        <f t="shared" si="22"/>
        <v>49+ Months</v>
      </c>
      <c r="Y337" s="1" t="str">
        <f t="shared" si="23"/>
        <v>Medium</v>
      </c>
    </row>
    <row r="338" spans="1:25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20"/>
        <v>1</v>
      </c>
      <c r="W338">
        <f t="shared" si="21"/>
        <v>0</v>
      </c>
      <c r="X338" t="str">
        <f t="shared" si="22"/>
        <v>25-48 Months</v>
      </c>
      <c r="Y338" s="1" t="str">
        <f t="shared" si="23"/>
        <v>High</v>
      </c>
    </row>
    <row r="339" spans="1:25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20"/>
        <v>0</v>
      </c>
      <c r="W339">
        <f t="shared" si="21"/>
        <v>1</v>
      </c>
      <c r="X339" t="str">
        <f t="shared" si="22"/>
        <v>49+ Months</v>
      </c>
      <c r="Y339" s="1" t="str">
        <f t="shared" si="23"/>
        <v>High</v>
      </c>
    </row>
    <row r="340" spans="1:25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 t="shared" si="20"/>
        <v>0</v>
      </c>
      <c r="W340">
        <f t="shared" si="21"/>
        <v>1</v>
      </c>
      <c r="X340" t="str">
        <f t="shared" si="22"/>
        <v>25-48 Months</v>
      </c>
      <c r="Y340" s="1" t="str">
        <f t="shared" si="23"/>
        <v>High</v>
      </c>
    </row>
    <row r="341" spans="1:25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20"/>
        <v>1</v>
      </c>
      <c r="W341">
        <f t="shared" si="21"/>
        <v>0</v>
      </c>
      <c r="X341" t="str">
        <f t="shared" si="22"/>
        <v>49+ Months</v>
      </c>
      <c r="Y341" s="1" t="str">
        <f t="shared" si="23"/>
        <v>High</v>
      </c>
    </row>
    <row r="342" spans="1:25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 t="shared" si="20"/>
        <v>0</v>
      </c>
      <c r="W342">
        <f t="shared" si="21"/>
        <v>1</v>
      </c>
      <c r="X342" t="str">
        <f t="shared" si="22"/>
        <v>25-48 Months</v>
      </c>
      <c r="Y342" s="1" t="str">
        <f t="shared" si="23"/>
        <v>Medium</v>
      </c>
    </row>
    <row r="343" spans="1:25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 t="shared" si="20"/>
        <v>0</v>
      </c>
      <c r="W343">
        <f t="shared" si="21"/>
        <v>1</v>
      </c>
      <c r="X343" t="str">
        <f t="shared" si="22"/>
        <v>49+ Months</v>
      </c>
      <c r="Y343" s="1" t="str">
        <f t="shared" si="23"/>
        <v>High</v>
      </c>
    </row>
    <row r="344" spans="1:25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 t="shared" si="20"/>
        <v>0</v>
      </c>
      <c r="W344">
        <f t="shared" si="21"/>
        <v>1</v>
      </c>
      <c r="X344" t="str">
        <f t="shared" si="22"/>
        <v>49+ Months</v>
      </c>
      <c r="Y344" s="1" t="str">
        <f t="shared" si="23"/>
        <v>Medium</v>
      </c>
    </row>
    <row r="345" spans="1:25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 t="shared" si="20"/>
        <v>0</v>
      </c>
      <c r="W345">
        <f t="shared" si="21"/>
        <v>1</v>
      </c>
      <c r="X345" t="str">
        <f t="shared" si="22"/>
        <v>49+ Months</v>
      </c>
      <c r="Y345" s="1" t="str">
        <f t="shared" si="23"/>
        <v>Low</v>
      </c>
    </row>
    <row r="346" spans="1:25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 t="shared" si="20"/>
        <v>0</v>
      </c>
      <c r="W346">
        <f t="shared" si="21"/>
        <v>1</v>
      </c>
      <c r="X346" t="str">
        <f t="shared" si="22"/>
        <v>25-48 Months</v>
      </c>
      <c r="Y346" s="1" t="str">
        <f t="shared" si="23"/>
        <v>Low</v>
      </c>
    </row>
    <row r="347" spans="1:25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20"/>
        <v>0</v>
      </c>
      <c r="W347">
        <f t="shared" si="21"/>
        <v>1</v>
      </c>
      <c r="X347" t="str">
        <f t="shared" si="22"/>
        <v>0-12 Months</v>
      </c>
      <c r="Y347" s="1" t="str">
        <f t="shared" si="23"/>
        <v>Medium</v>
      </c>
    </row>
    <row r="348" spans="1:25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20"/>
        <v>1</v>
      </c>
      <c r="W348">
        <f t="shared" si="21"/>
        <v>0</v>
      </c>
      <c r="X348" t="str">
        <f t="shared" si="22"/>
        <v>0-12 Months</v>
      </c>
      <c r="Y348" s="1" t="str">
        <f t="shared" si="23"/>
        <v>High</v>
      </c>
    </row>
    <row r="349" spans="1:25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 t="shared" si="20"/>
        <v>0</v>
      </c>
      <c r="W349">
        <f t="shared" si="21"/>
        <v>1</v>
      </c>
      <c r="X349" t="str">
        <f t="shared" si="22"/>
        <v>49+ Months</v>
      </c>
      <c r="Y349" s="1" t="str">
        <f t="shared" si="23"/>
        <v>Low</v>
      </c>
    </row>
    <row r="350" spans="1:25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20"/>
        <v>0</v>
      </c>
      <c r="W350">
        <f t="shared" si="21"/>
        <v>1</v>
      </c>
      <c r="X350" t="str">
        <f t="shared" si="22"/>
        <v>13-24 Months</v>
      </c>
      <c r="Y350" s="1" t="str">
        <f t="shared" si="23"/>
        <v>Low</v>
      </c>
    </row>
    <row r="351" spans="1:25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 t="shared" si="20"/>
        <v>0</v>
      </c>
      <c r="W351">
        <f t="shared" si="21"/>
        <v>1</v>
      </c>
      <c r="X351" t="str">
        <f t="shared" si="22"/>
        <v>49+ Months</v>
      </c>
      <c r="Y351" s="1" t="str">
        <f t="shared" si="23"/>
        <v>High</v>
      </c>
    </row>
    <row r="352" spans="1:25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 t="shared" si="20"/>
        <v>0</v>
      </c>
      <c r="W352">
        <f t="shared" si="21"/>
        <v>1</v>
      </c>
      <c r="X352" t="str">
        <f t="shared" si="22"/>
        <v>25-48 Months</v>
      </c>
      <c r="Y352" s="1" t="str">
        <f t="shared" si="23"/>
        <v>Medium</v>
      </c>
    </row>
    <row r="353" spans="1:25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 t="shared" si="20"/>
        <v>0</v>
      </c>
      <c r="W353">
        <f t="shared" si="21"/>
        <v>1</v>
      </c>
      <c r="X353" t="str">
        <f t="shared" si="22"/>
        <v>13-24 Months</v>
      </c>
      <c r="Y353" s="1" t="str">
        <f t="shared" si="23"/>
        <v>Low</v>
      </c>
    </row>
    <row r="354" spans="1:25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20"/>
        <v>0</v>
      </c>
      <c r="W354">
        <f t="shared" si="21"/>
        <v>1</v>
      </c>
      <c r="X354" t="str">
        <f t="shared" si="22"/>
        <v>0-12 Months</v>
      </c>
      <c r="Y354" s="1" t="str">
        <f t="shared" si="23"/>
        <v>High</v>
      </c>
    </row>
    <row r="355" spans="1:25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 t="shared" si="20"/>
        <v>1</v>
      </c>
      <c r="W355">
        <f t="shared" si="21"/>
        <v>0</v>
      </c>
      <c r="X355" t="str">
        <f t="shared" si="22"/>
        <v>0-12 Months</v>
      </c>
      <c r="Y355" s="1" t="str">
        <f t="shared" si="23"/>
        <v>High</v>
      </c>
    </row>
    <row r="356" spans="1:25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20"/>
        <v>1</v>
      </c>
      <c r="W356">
        <f t="shared" si="21"/>
        <v>0</v>
      </c>
      <c r="X356" t="str">
        <f t="shared" si="22"/>
        <v>13-24 Months</v>
      </c>
      <c r="Y356" s="1" t="str">
        <f t="shared" si="23"/>
        <v>Low</v>
      </c>
    </row>
    <row r="357" spans="1:25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 t="shared" si="20"/>
        <v>1</v>
      </c>
      <c r="W357">
        <f t="shared" si="21"/>
        <v>0</v>
      </c>
      <c r="X357" t="str">
        <f t="shared" si="22"/>
        <v>0-12 Months</v>
      </c>
      <c r="Y357" s="1" t="str">
        <f t="shared" si="23"/>
        <v>High</v>
      </c>
    </row>
    <row r="358" spans="1:25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20"/>
        <v>0</v>
      </c>
      <c r="W358">
        <f t="shared" si="21"/>
        <v>1</v>
      </c>
      <c r="X358" t="str">
        <f t="shared" si="22"/>
        <v>13-24 Months</v>
      </c>
      <c r="Y358" s="1" t="str">
        <f t="shared" si="23"/>
        <v>Medium</v>
      </c>
    </row>
    <row r="359" spans="1:25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20"/>
        <v>0</v>
      </c>
      <c r="W359">
        <f t="shared" si="21"/>
        <v>1</v>
      </c>
      <c r="X359" t="str">
        <f t="shared" si="22"/>
        <v>49+ Months</v>
      </c>
      <c r="Y359" s="1" t="str">
        <f t="shared" si="23"/>
        <v>High</v>
      </c>
    </row>
    <row r="360" spans="1:25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 t="shared" si="20"/>
        <v>1</v>
      </c>
      <c r="W360">
        <f t="shared" si="21"/>
        <v>0</v>
      </c>
      <c r="X360" t="str">
        <f t="shared" si="22"/>
        <v>25-48 Months</v>
      </c>
      <c r="Y360" s="1" t="str">
        <f t="shared" si="23"/>
        <v>Low</v>
      </c>
    </row>
    <row r="361" spans="1:25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20"/>
        <v>0</v>
      </c>
      <c r="W361">
        <f t="shared" si="21"/>
        <v>1</v>
      </c>
      <c r="X361" t="str">
        <f t="shared" si="22"/>
        <v>25-48 Months</v>
      </c>
      <c r="Y361" s="1" t="str">
        <f t="shared" si="23"/>
        <v>High</v>
      </c>
    </row>
    <row r="362" spans="1:25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 t="shared" si="20"/>
        <v>0</v>
      </c>
      <c r="W362">
        <f t="shared" si="21"/>
        <v>1</v>
      </c>
      <c r="X362" t="str">
        <f t="shared" si="22"/>
        <v>0-12 Months</v>
      </c>
      <c r="Y362" s="1" t="str">
        <f t="shared" si="23"/>
        <v>Low</v>
      </c>
    </row>
    <row r="363" spans="1:25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 t="shared" si="20"/>
        <v>0</v>
      </c>
      <c r="W363">
        <f t="shared" si="21"/>
        <v>1</v>
      </c>
      <c r="X363" t="str">
        <f t="shared" si="22"/>
        <v>25-48 Months</v>
      </c>
      <c r="Y363" s="1" t="str">
        <f t="shared" si="23"/>
        <v>High</v>
      </c>
    </row>
    <row r="364" spans="1:25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 t="shared" si="20"/>
        <v>0</v>
      </c>
      <c r="W364">
        <f t="shared" si="21"/>
        <v>1</v>
      </c>
      <c r="X364" t="str">
        <f t="shared" si="22"/>
        <v>49+ Months</v>
      </c>
      <c r="Y364" s="1" t="str">
        <f t="shared" si="23"/>
        <v>Medium</v>
      </c>
    </row>
    <row r="365" spans="1:25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 t="shared" si="20"/>
        <v>0</v>
      </c>
      <c r="W365">
        <f t="shared" si="21"/>
        <v>1</v>
      </c>
      <c r="X365" t="str">
        <f t="shared" si="22"/>
        <v>25-48 Months</v>
      </c>
      <c r="Y365" s="1" t="str">
        <f t="shared" si="23"/>
        <v>Low</v>
      </c>
    </row>
    <row r="366" spans="1:25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 t="shared" si="20"/>
        <v>0</v>
      </c>
      <c r="W366">
        <f t="shared" si="21"/>
        <v>1</v>
      </c>
      <c r="X366" t="str">
        <f t="shared" si="22"/>
        <v>13-24 Months</v>
      </c>
      <c r="Y366" s="1" t="str">
        <f t="shared" si="23"/>
        <v>Medium</v>
      </c>
    </row>
    <row r="367" spans="1:25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 t="shared" si="20"/>
        <v>1</v>
      </c>
      <c r="W367">
        <f t="shared" si="21"/>
        <v>0</v>
      </c>
      <c r="X367" t="str">
        <f t="shared" si="22"/>
        <v>0-12 Months</v>
      </c>
      <c r="Y367" s="1" t="str">
        <f t="shared" si="23"/>
        <v>High</v>
      </c>
    </row>
    <row r="368" spans="1:25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 t="shared" si="20"/>
        <v>0</v>
      </c>
      <c r="W368">
        <f t="shared" si="21"/>
        <v>1</v>
      </c>
      <c r="X368" t="str">
        <f t="shared" si="22"/>
        <v>13-24 Months</v>
      </c>
      <c r="Y368" s="1" t="str">
        <f t="shared" si="23"/>
        <v>Medium</v>
      </c>
    </row>
    <row r="369" spans="1:25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 t="shared" si="20"/>
        <v>0</v>
      </c>
      <c r="W369">
        <f t="shared" si="21"/>
        <v>1</v>
      </c>
      <c r="X369" t="str">
        <f t="shared" si="22"/>
        <v>0-12 Months</v>
      </c>
      <c r="Y369" s="1" t="str">
        <f t="shared" si="23"/>
        <v>Low</v>
      </c>
    </row>
    <row r="370" spans="1:25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 t="shared" si="20"/>
        <v>0</v>
      </c>
      <c r="W370">
        <f t="shared" si="21"/>
        <v>1</v>
      </c>
      <c r="X370" t="str">
        <f t="shared" si="22"/>
        <v>49+ Months</v>
      </c>
      <c r="Y370" s="1" t="str">
        <f t="shared" si="23"/>
        <v>High</v>
      </c>
    </row>
    <row r="371" spans="1:25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 t="shared" si="20"/>
        <v>0</v>
      </c>
      <c r="W371">
        <f t="shared" si="21"/>
        <v>1</v>
      </c>
      <c r="X371" t="str">
        <f t="shared" si="22"/>
        <v>49+ Months</v>
      </c>
      <c r="Y371" s="1" t="str">
        <f t="shared" si="23"/>
        <v>High</v>
      </c>
    </row>
    <row r="372" spans="1:25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 t="shared" si="20"/>
        <v>0</v>
      </c>
      <c r="W372">
        <f t="shared" si="21"/>
        <v>1</v>
      </c>
      <c r="X372" t="str">
        <f t="shared" si="22"/>
        <v>25-48 Months</v>
      </c>
      <c r="Y372" s="1" t="str">
        <f t="shared" si="23"/>
        <v>Low</v>
      </c>
    </row>
    <row r="373" spans="1:25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20"/>
        <v>1</v>
      </c>
      <c r="W373">
        <f t="shared" si="21"/>
        <v>0</v>
      </c>
      <c r="X373" t="str">
        <f t="shared" si="22"/>
        <v>0-12 Months</v>
      </c>
      <c r="Y373" s="1" t="str">
        <f t="shared" si="23"/>
        <v>High</v>
      </c>
    </row>
    <row r="374" spans="1:25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 t="shared" si="20"/>
        <v>0</v>
      </c>
      <c r="W374">
        <f t="shared" si="21"/>
        <v>1</v>
      </c>
      <c r="X374" t="str">
        <f t="shared" si="22"/>
        <v>13-24 Months</v>
      </c>
      <c r="Y374" s="1" t="str">
        <f t="shared" si="23"/>
        <v>Low</v>
      </c>
    </row>
    <row r="375" spans="1:25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 t="shared" si="20"/>
        <v>0</v>
      </c>
      <c r="W375">
        <f t="shared" si="21"/>
        <v>1</v>
      </c>
      <c r="X375" t="str">
        <f t="shared" si="22"/>
        <v>49+ Months</v>
      </c>
      <c r="Y375" s="1" t="str">
        <f t="shared" si="23"/>
        <v>High</v>
      </c>
    </row>
    <row r="376" spans="1:25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 t="shared" si="20"/>
        <v>0</v>
      </c>
      <c r="W376">
        <f t="shared" si="21"/>
        <v>1</v>
      </c>
      <c r="X376" t="str">
        <f t="shared" si="22"/>
        <v>25-48 Months</v>
      </c>
      <c r="Y376" s="1" t="str">
        <f t="shared" si="23"/>
        <v>High</v>
      </c>
    </row>
    <row r="377" spans="1:25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 t="shared" si="20"/>
        <v>0</v>
      </c>
      <c r="W377">
        <f t="shared" si="21"/>
        <v>1</v>
      </c>
      <c r="X377" t="str">
        <f t="shared" si="22"/>
        <v>25-48 Months</v>
      </c>
      <c r="Y377" s="1" t="str">
        <f t="shared" si="23"/>
        <v>High</v>
      </c>
    </row>
    <row r="378" spans="1:25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 t="shared" si="20"/>
        <v>0</v>
      </c>
      <c r="W378">
        <f t="shared" si="21"/>
        <v>1</v>
      </c>
      <c r="X378" t="str">
        <f t="shared" si="22"/>
        <v>0-12 Months</v>
      </c>
      <c r="Y378" s="1" t="str">
        <f t="shared" si="23"/>
        <v>Low</v>
      </c>
    </row>
    <row r="379" spans="1:25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 t="shared" si="20"/>
        <v>1</v>
      </c>
      <c r="W379">
        <f t="shared" si="21"/>
        <v>0</v>
      </c>
      <c r="X379" t="str">
        <f t="shared" si="22"/>
        <v>25-48 Months</v>
      </c>
      <c r="Y379" s="1" t="str">
        <f t="shared" si="23"/>
        <v>High</v>
      </c>
    </row>
    <row r="380" spans="1:25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20"/>
        <v>0</v>
      </c>
      <c r="W380">
        <f t="shared" si="21"/>
        <v>1</v>
      </c>
      <c r="X380" t="str">
        <f t="shared" si="22"/>
        <v>49+ Months</v>
      </c>
      <c r="Y380" s="1" t="str">
        <f t="shared" si="23"/>
        <v>High</v>
      </c>
    </row>
    <row r="381" spans="1:25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20"/>
        <v>0</v>
      </c>
      <c r="W381">
        <f t="shared" si="21"/>
        <v>1</v>
      </c>
      <c r="X381" t="str">
        <f t="shared" si="22"/>
        <v>13-24 Months</v>
      </c>
      <c r="Y381" s="1" t="str">
        <f t="shared" si="23"/>
        <v>High</v>
      </c>
    </row>
    <row r="382" spans="1:25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 t="shared" si="20"/>
        <v>0</v>
      </c>
      <c r="W382">
        <f t="shared" si="21"/>
        <v>1</v>
      </c>
      <c r="X382" t="str">
        <f t="shared" si="22"/>
        <v>25-48 Months</v>
      </c>
      <c r="Y382" s="1" t="str">
        <f t="shared" si="23"/>
        <v>High</v>
      </c>
    </row>
    <row r="383" spans="1:25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 t="shared" si="20"/>
        <v>1</v>
      </c>
      <c r="W383">
        <f t="shared" si="21"/>
        <v>0</v>
      </c>
      <c r="X383" t="str">
        <f t="shared" si="22"/>
        <v>0-12 Months</v>
      </c>
      <c r="Y383" s="1" t="str">
        <f t="shared" si="23"/>
        <v>Medium</v>
      </c>
    </row>
    <row r="384" spans="1:25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 t="shared" si="20"/>
        <v>0</v>
      </c>
      <c r="W384">
        <f t="shared" si="21"/>
        <v>1</v>
      </c>
      <c r="X384" t="str">
        <f t="shared" si="22"/>
        <v>49+ Months</v>
      </c>
      <c r="Y384" s="1" t="str">
        <f t="shared" si="23"/>
        <v>Medium</v>
      </c>
    </row>
    <row r="385" spans="1:25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 t="shared" si="20"/>
        <v>1</v>
      </c>
      <c r="W385">
        <f t="shared" si="21"/>
        <v>0</v>
      </c>
      <c r="X385" t="str">
        <f t="shared" si="22"/>
        <v>0-12 Months</v>
      </c>
      <c r="Y385" s="1" t="str">
        <f t="shared" si="23"/>
        <v>High</v>
      </c>
    </row>
    <row r="386" spans="1:25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 t="shared" ref="V386:V449" si="24">IF(U386="Yes",1,0)</f>
        <v>0</v>
      </c>
      <c r="W386">
        <f t="shared" ref="W386:W449" si="25">IF(U386="No",1,0)</f>
        <v>1</v>
      </c>
      <c r="X386" t="str">
        <f t="shared" ref="X386:X449" si="26">IF(F386&lt;=12,"0-12 Months",IF(F386&lt;=24,"13-24 Months",IF(F386&lt;=48,"25-48 Months","49+ Months")))</f>
        <v>25-48 Months</v>
      </c>
      <c r="Y386" s="1" t="str">
        <f t="shared" ref="Y386:Y449" si="27">IF(S386&lt;50,"Low",IF(S386&lt;80,"Medium","High"))</f>
        <v>High</v>
      </c>
    </row>
    <row r="387" spans="1:25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 t="shared" si="24"/>
        <v>1</v>
      </c>
      <c r="W387">
        <f t="shared" si="25"/>
        <v>0</v>
      </c>
      <c r="X387" t="str">
        <f t="shared" si="26"/>
        <v>0-12 Months</v>
      </c>
      <c r="Y387" s="1" t="str">
        <f t="shared" si="27"/>
        <v>Low</v>
      </c>
    </row>
    <row r="388" spans="1:25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24"/>
        <v>1</v>
      </c>
      <c r="W388">
        <f t="shared" si="25"/>
        <v>0</v>
      </c>
      <c r="X388" t="str">
        <f t="shared" si="26"/>
        <v>49+ Months</v>
      </c>
      <c r="Y388" s="1" t="str">
        <f t="shared" si="27"/>
        <v>High</v>
      </c>
    </row>
    <row r="389" spans="1:25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24"/>
        <v>0</v>
      </c>
      <c r="W389">
        <f t="shared" si="25"/>
        <v>1</v>
      </c>
      <c r="X389" t="str">
        <f t="shared" si="26"/>
        <v>25-48 Months</v>
      </c>
      <c r="Y389" s="1" t="str">
        <f t="shared" si="27"/>
        <v>Medium</v>
      </c>
    </row>
    <row r="390" spans="1:25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 t="shared" si="24"/>
        <v>0</v>
      </c>
      <c r="W390">
        <f t="shared" si="25"/>
        <v>1</v>
      </c>
      <c r="X390" t="str">
        <f t="shared" si="26"/>
        <v>25-48 Months</v>
      </c>
      <c r="Y390" s="1" t="str">
        <f t="shared" si="27"/>
        <v>High</v>
      </c>
    </row>
    <row r="391" spans="1:25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24"/>
        <v>0</v>
      </c>
      <c r="W391">
        <f t="shared" si="25"/>
        <v>1</v>
      </c>
      <c r="X391" t="str">
        <f t="shared" si="26"/>
        <v>0-12 Months</v>
      </c>
      <c r="Y391" s="1" t="str">
        <f t="shared" si="27"/>
        <v>Low</v>
      </c>
    </row>
    <row r="392" spans="1:25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 t="shared" si="24"/>
        <v>0</v>
      </c>
      <c r="W392">
        <f t="shared" si="25"/>
        <v>1</v>
      </c>
      <c r="X392" t="str">
        <f t="shared" si="26"/>
        <v>25-48 Months</v>
      </c>
      <c r="Y392" s="1" t="str">
        <f t="shared" si="27"/>
        <v>High</v>
      </c>
    </row>
    <row r="393" spans="1:25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 t="shared" si="24"/>
        <v>0</v>
      </c>
      <c r="W393">
        <f t="shared" si="25"/>
        <v>1</v>
      </c>
      <c r="X393" t="str">
        <f t="shared" si="26"/>
        <v>25-48 Months</v>
      </c>
      <c r="Y393" s="1" t="str">
        <f t="shared" si="27"/>
        <v>High</v>
      </c>
    </row>
    <row r="394" spans="1:25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24"/>
        <v>0</v>
      </c>
      <c r="W394">
        <f t="shared" si="25"/>
        <v>1</v>
      </c>
      <c r="X394" t="str">
        <f t="shared" si="26"/>
        <v>0-12 Months</v>
      </c>
      <c r="Y394" s="1" t="str">
        <f t="shared" si="27"/>
        <v>Low</v>
      </c>
    </row>
    <row r="395" spans="1:25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 t="shared" si="24"/>
        <v>0</v>
      </c>
      <c r="W395">
        <f t="shared" si="25"/>
        <v>1</v>
      </c>
      <c r="X395" t="str">
        <f t="shared" si="26"/>
        <v>13-24 Months</v>
      </c>
      <c r="Y395" s="1" t="str">
        <f t="shared" si="27"/>
        <v>Low</v>
      </c>
    </row>
    <row r="396" spans="1:25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24"/>
        <v>0</v>
      </c>
      <c r="W396">
        <f t="shared" si="25"/>
        <v>1</v>
      </c>
      <c r="X396" t="str">
        <f t="shared" si="26"/>
        <v>25-48 Months</v>
      </c>
      <c r="Y396" s="1" t="str">
        <f t="shared" si="27"/>
        <v>High</v>
      </c>
    </row>
    <row r="397" spans="1:25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 t="shared" si="24"/>
        <v>0</v>
      </c>
      <c r="W397">
        <f t="shared" si="25"/>
        <v>1</v>
      </c>
      <c r="X397" t="str">
        <f t="shared" si="26"/>
        <v>49+ Months</v>
      </c>
      <c r="Y397" s="1" t="str">
        <f t="shared" si="27"/>
        <v>High</v>
      </c>
    </row>
    <row r="398" spans="1:25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 t="shared" si="24"/>
        <v>0</v>
      </c>
      <c r="W398">
        <f t="shared" si="25"/>
        <v>1</v>
      </c>
      <c r="X398" t="str">
        <f t="shared" si="26"/>
        <v>25-48 Months</v>
      </c>
      <c r="Y398" s="1" t="str">
        <f t="shared" si="27"/>
        <v>High</v>
      </c>
    </row>
    <row r="399" spans="1:25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 t="shared" si="24"/>
        <v>1</v>
      </c>
      <c r="W399">
        <f t="shared" si="25"/>
        <v>0</v>
      </c>
      <c r="X399" t="str">
        <f t="shared" si="26"/>
        <v>25-48 Months</v>
      </c>
      <c r="Y399" s="1" t="str">
        <f t="shared" si="27"/>
        <v>Medium</v>
      </c>
    </row>
    <row r="400" spans="1:25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24"/>
        <v>0</v>
      </c>
      <c r="W400">
        <f t="shared" si="25"/>
        <v>1</v>
      </c>
      <c r="X400" t="str">
        <f t="shared" si="26"/>
        <v>25-48 Months</v>
      </c>
      <c r="Y400" s="1" t="str">
        <f t="shared" si="27"/>
        <v>Medium</v>
      </c>
    </row>
    <row r="401" spans="1:25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 t="shared" si="24"/>
        <v>0</v>
      </c>
      <c r="W401">
        <f t="shared" si="25"/>
        <v>1</v>
      </c>
      <c r="X401" t="str">
        <f t="shared" si="26"/>
        <v>13-24 Months</v>
      </c>
      <c r="Y401" s="1" t="str">
        <f t="shared" si="27"/>
        <v>Low</v>
      </c>
    </row>
    <row r="402" spans="1:25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 t="shared" si="24"/>
        <v>0</v>
      </c>
      <c r="W402">
        <f t="shared" si="25"/>
        <v>1</v>
      </c>
      <c r="X402" t="str">
        <f t="shared" si="26"/>
        <v>25-48 Months</v>
      </c>
      <c r="Y402" s="1" t="str">
        <f t="shared" si="27"/>
        <v>Low</v>
      </c>
    </row>
    <row r="403" spans="1:25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 t="shared" si="24"/>
        <v>0</v>
      </c>
      <c r="W403">
        <f t="shared" si="25"/>
        <v>1</v>
      </c>
      <c r="X403" t="str">
        <f t="shared" si="26"/>
        <v>0-12 Months</v>
      </c>
      <c r="Y403" s="1" t="str">
        <f t="shared" si="27"/>
        <v>Low</v>
      </c>
    </row>
    <row r="404" spans="1:25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 t="shared" si="24"/>
        <v>1</v>
      </c>
      <c r="W404">
        <f t="shared" si="25"/>
        <v>0</v>
      </c>
      <c r="X404" t="str">
        <f t="shared" si="26"/>
        <v>49+ Months</v>
      </c>
      <c r="Y404" s="1" t="str">
        <f t="shared" si="27"/>
        <v>High</v>
      </c>
    </row>
    <row r="405" spans="1:25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 t="shared" si="24"/>
        <v>0</v>
      </c>
      <c r="W405">
        <f t="shared" si="25"/>
        <v>1</v>
      </c>
      <c r="X405" t="str">
        <f t="shared" si="26"/>
        <v>49+ Months</v>
      </c>
      <c r="Y405" s="1" t="str">
        <f t="shared" si="27"/>
        <v>Medium</v>
      </c>
    </row>
    <row r="406" spans="1:25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 t="shared" si="24"/>
        <v>0</v>
      </c>
      <c r="W406">
        <f t="shared" si="25"/>
        <v>1</v>
      </c>
      <c r="X406" t="str">
        <f t="shared" si="26"/>
        <v>13-24 Months</v>
      </c>
      <c r="Y406" s="1" t="str">
        <f t="shared" si="27"/>
        <v>Low</v>
      </c>
    </row>
    <row r="407" spans="1:25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 t="shared" si="24"/>
        <v>0</v>
      </c>
      <c r="W407">
        <f t="shared" si="25"/>
        <v>1</v>
      </c>
      <c r="X407" t="str">
        <f t="shared" si="26"/>
        <v>49+ Months</v>
      </c>
      <c r="Y407" s="1" t="str">
        <f t="shared" si="27"/>
        <v>Low</v>
      </c>
    </row>
    <row r="408" spans="1:25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 t="shared" si="24"/>
        <v>0</v>
      </c>
      <c r="W408">
        <f t="shared" si="25"/>
        <v>1</v>
      </c>
      <c r="X408" t="str">
        <f t="shared" si="26"/>
        <v>49+ Months</v>
      </c>
      <c r="Y408" s="1" t="str">
        <f t="shared" si="27"/>
        <v>High</v>
      </c>
    </row>
    <row r="409" spans="1:25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 t="shared" si="24"/>
        <v>0</v>
      </c>
      <c r="W409">
        <f t="shared" si="25"/>
        <v>1</v>
      </c>
      <c r="X409" t="str">
        <f t="shared" si="26"/>
        <v>25-48 Months</v>
      </c>
      <c r="Y409" s="1" t="str">
        <f t="shared" si="27"/>
        <v>High</v>
      </c>
    </row>
    <row r="410" spans="1:25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 t="shared" si="24"/>
        <v>1</v>
      </c>
      <c r="W410">
        <f t="shared" si="25"/>
        <v>0</v>
      </c>
      <c r="X410" t="str">
        <f t="shared" si="26"/>
        <v>0-12 Months</v>
      </c>
      <c r="Y410" s="1" t="str">
        <f t="shared" si="27"/>
        <v>Low</v>
      </c>
    </row>
    <row r="411" spans="1:25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 t="shared" si="24"/>
        <v>1</v>
      </c>
      <c r="W411">
        <f t="shared" si="25"/>
        <v>0</v>
      </c>
      <c r="X411" t="str">
        <f t="shared" si="26"/>
        <v>0-12 Months</v>
      </c>
      <c r="Y411" s="1" t="str">
        <f t="shared" si="27"/>
        <v>Low</v>
      </c>
    </row>
    <row r="412" spans="1:25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24"/>
        <v>1</v>
      </c>
      <c r="W412">
        <f t="shared" si="25"/>
        <v>0</v>
      </c>
      <c r="X412" t="str">
        <f t="shared" si="26"/>
        <v>0-12 Months</v>
      </c>
      <c r="Y412" s="1" t="str">
        <f t="shared" si="27"/>
        <v>High</v>
      </c>
    </row>
    <row r="413" spans="1:25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 t="shared" si="24"/>
        <v>0</v>
      </c>
      <c r="W413">
        <f t="shared" si="25"/>
        <v>1</v>
      </c>
      <c r="X413" t="str">
        <f t="shared" si="26"/>
        <v>25-48 Months</v>
      </c>
      <c r="Y413" s="1" t="str">
        <f t="shared" si="27"/>
        <v>Low</v>
      </c>
    </row>
    <row r="414" spans="1:25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24"/>
        <v>0</v>
      </c>
      <c r="W414">
        <f t="shared" si="25"/>
        <v>1</v>
      </c>
      <c r="X414" t="str">
        <f t="shared" si="26"/>
        <v>25-48 Months</v>
      </c>
      <c r="Y414" s="1" t="str">
        <f t="shared" si="27"/>
        <v>Medium</v>
      </c>
    </row>
    <row r="415" spans="1:25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24"/>
        <v>0</v>
      </c>
      <c r="W415">
        <f t="shared" si="25"/>
        <v>1</v>
      </c>
      <c r="X415" t="str">
        <f t="shared" si="26"/>
        <v>49+ Months</v>
      </c>
      <c r="Y415" s="1" t="str">
        <f t="shared" si="27"/>
        <v>High</v>
      </c>
    </row>
    <row r="416" spans="1:25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 t="shared" si="24"/>
        <v>0</v>
      </c>
      <c r="W416">
        <f t="shared" si="25"/>
        <v>1</v>
      </c>
      <c r="X416" t="str">
        <f t="shared" si="26"/>
        <v>25-48 Months</v>
      </c>
      <c r="Y416" s="1" t="str">
        <f t="shared" si="27"/>
        <v>Medium</v>
      </c>
    </row>
    <row r="417" spans="1:25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 t="shared" si="24"/>
        <v>0</v>
      </c>
      <c r="W417">
        <f t="shared" si="25"/>
        <v>1</v>
      </c>
      <c r="X417" t="str">
        <f t="shared" si="26"/>
        <v>13-24 Months</v>
      </c>
      <c r="Y417" s="1" t="str">
        <f t="shared" si="27"/>
        <v>Medium</v>
      </c>
    </row>
    <row r="418" spans="1:25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 t="shared" si="24"/>
        <v>0</v>
      </c>
      <c r="W418">
        <f t="shared" si="25"/>
        <v>1</v>
      </c>
      <c r="X418" t="str">
        <f t="shared" si="26"/>
        <v>49+ Months</v>
      </c>
      <c r="Y418" s="1" t="str">
        <f t="shared" si="27"/>
        <v>High</v>
      </c>
    </row>
    <row r="419" spans="1:25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 t="shared" si="24"/>
        <v>0</v>
      </c>
      <c r="W419">
        <f t="shared" si="25"/>
        <v>1</v>
      </c>
      <c r="X419" t="str">
        <f t="shared" si="26"/>
        <v>25-48 Months</v>
      </c>
      <c r="Y419" s="1" t="str">
        <f t="shared" si="27"/>
        <v>Low</v>
      </c>
    </row>
    <row r="420" spans="1:25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24"/>
        <v>1</v>
      </c>
      <c r="W420">
        <f t="shared" si="25"/>
        <v>0</v>
      </c>
      <c r="X420" t="str">
        <f t="shared" si="26"/>
        <v>13-24 Months</v>
      </c>
      <c r="Y420" s="1" t="str">
        <f t="shared" si="27"/>
        <v>High</v>
      </c>
    </row>
    <row r="421" spans="1:25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 t="shared" si="24"/>
        <v>1</v>
      </c>
      <c r="W421">
        <f t="shared" si="25"/>
        <v>0</v>
      </c>
      <c r="X421" t="str">
        <f t="shared" si="26"/>
        <v>0-12 Months</v>
      </c>
      <c r="Y421" s="1" t="str">
        <f t="shared" si="27"/>
        <v>Medium</v>
      </c>
    </row>
    <row r="422" spans="1:25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 t="shared" si="24"/>
        <v>0</v>
      </c>
      <c r="W422">
        <f t="shared" si="25"/>
        <v>1</v>
      </c>
      <c r="X422" t="str">
        <f t="shared" si="26"/>
        <v>0-12 Months</v>
      </c>
      <c r="Y422" s="1" t="str">
        <f t="shared" si="27"/>
        <v>Low</v>
      </c>
    </row>
    <row r="423" spans="1:25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 t="shared" si="24"/>
        <v>0</v>
      </c>
      <c r="W423">
        <f t="shared" si="25"/>
        <v>1</v>
      </c>
      <c r="X423" t="str">
        <f t="shared" si="26"/>
        <v>0-12 Months</v>
      </c>
      <c r="Y423" s="1" t="str">
        <f t="shared" si="27"/>
        <v>Medium</v>
      </c>
    </row>
    <row r="424" spans="1:25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 t="shared" si="24"/>
        <v>0</v>
      </c>
      <c r="W424">
        <f t="shared" si="25"/>
        <v>1</v>
      </c>
      <c r="X424" t="str">
        <f t="shared" si="26"/>
        <v>25-48 Months</v>
      </c>
      <c r="Y424" s="1" t="str">
        <f t="shared" si="27"/>
        <v>High</v>
      </c>
    </row>
    <row r="425" spans="1:25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 t="shared" si="24"/>
        <v>0</v>
      </c>
      <c r="W425">
        <f t="shared" si="25"/>
        <v>1</v>
      </c>
      <c r="X425" t="str">
        <f t="shared" si="26"/>
        <v>25-48 Months</v>
      </c>
      <c r="Y425" s="1" t="str">
        <f t="shared" si="27"/>
        <v>Low</v>
      </c>
    </row>
    <row r="426" spans="1:25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 t="shared" si="24"/>
        <v>0</v>
      </c>
      <c r="W426">
        <f t="shared" si="25"/>
        <v>1</v>
      </c>
      <c r="X426" t="str">
        <f t="shared" si="26"/>
        <v>0-12 Months</v>
      </c>
      <c r="Y426" s="1" t="str">
        <f t="shared" si="27"/>
        <v>Low</v>
      </c>
    </row>
    <row r="427" spans="1:25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 t="shared" si="24"/>
        <v>0</v>
      </c>
      <c r="W427">
        <f t="shared" si="25"/>
        <v>1</v>
      </c>
      <c r="X427" t="str">
        <f t="shared" si="26"/>
        <v>49+ Months</v>
      </c>
      <c r="Y427" s="1" t="str">
        <f t="shared" si="27"/>
        <v>Medium</v>
      </c>
    </row>
    <row r="428" spans="1:25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 t="shared" si="24"/>
        <v>0</v>
      </c>
      <c r="W428">
        <f t="shared" si="25"/>
        <v>1</v>
      </c>
      <c r="X428" t="str">
        <f t="shared" si="26"/>
        <v>49+ Months</v>
      </c>
      <c r="Y428" s="1" t="str">
        <f t="shared" si="27"/>
        <v>High</v>
      </c>
    </row>
    <row r="429" spans="1:25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24"/>
        <v>0</v>
      </c>
      <c r="W429">
        <f t="shared" si="25"/>
        <v>1</v>
      </c>
      <c r="X429" t="str">
        <f t="shared" si="26"/>
        <v>0-12 Months</v>
      </c>
      <c r="Y429" s="1" t="str">
        <f t="shared" si="27"/>
        <v>High</v>
      </c>
    </row>
    <row r="430" spans="1:25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 t="shared" si="24"/>
        <v>0</v>
      </c>
      <c r="W430">
        <f t="shared" si="25"/>
        <v>1</v>
      </c>
      <c r="X430" t="str">
        <f t="shared" si="26"/>
        <v>13-24 Months</v>
      </c>
      <c r="Y430" s="1" t="str">
        <f t="shared" si="27"/>
        <v>Medium</v>
      </c>
    </row>
    <row r="431" spans="1:25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 t="shared" si="24"/>
        <v>0</v>
      </c>
      <c r="W431">
        <f t="shared" si="25"/>
        <v>1</v>
      </c>
      <c r="X431" t="str">
        <f t="shared" si="26"/>
        <v>49+ Months</v>
      </c>
      <c r="Y431" s="1" t="str">
        <f t="shared" si="27"/>
        <v>Medium</v>
      </c>
    </row>
    <row r="432" spans="1:25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 t="shared" si="24"/>
        <v>1</v>
      </c>
      <c r="W432">
        <f t="shared" si="25"/>
        <v>0</v>
      </c>
      <c r="X432" t="str">
        <f t="shared" si="26"/>
        <v>49+ Months</v>
      </c>
      <c r="Y432" s="1" t="str">
        <f t="shared" si="27"/>
        <v>Low</v>
      </c>
    </row>
    <row r="433" spans="1:25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 t="shared" si="24"/>
        <v>0</v>
      </c>
      <c r="W433">
        <f t="shared" si="25"/>
        <v>1</v>
      </c>
      <c r="X433" t="str">
        <f t="shared" si="26"/>
        <v>49+ Months</v>
      </c>
      <c r="Y433" s="1" t="str">
        <f t="shared" si="27"/>
        <v>Medium</v>
      </c>
    </row>
    <row r="434" spans="1:25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24"/>
        <v>0</v>
      </c>
      <c r="W434">
        <f t="shared" si="25"/>
        <v>1</v>
      </c>
      <c r="X434" t="str">
        <f t="shared" si="26"/>
        <v>0-12 Months</v>
      </c>
      <c r="Y434" s="1" t="str">
        <f t="shared" si="27"/>
        <v>Medium</v>
      </c>
    </row>
    <row r="435" spans="1:25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 t="shared" si="24"/>
        <v>1</v>
      </c>
      <c r="W435">
        <f t="shared" si="25"/>
        <v>0</v>
      </c>
      <c r="X435" t="str">
        <f t="shared" si="26"/>
        <v>0-12 Months</v>
      </c>
      <c r="Y435" s="1" t="str">
        <f t="shared" si="27"/>
        <v>Low</v>
      </c>
    </row>
    <row r="436" spans="1:25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24"/>
        <v>0</v>
      </c>
      <c r="W436">
        <f t="shared" si="25"/>
        <v>1</v>
      </c>
      <c r="X436" t="str">
        <f t="shared" si="26"/>
        <v>25-48 Months</v>
      </c>
      <c r="Y436" s="1" t="str">
        <f t="shared" si="27"/>
        <v>Low</v>
      </c>
    </row>
    <row r="437" spans="1:25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 t="shared" si="24"/>
        <v>0</v>
      </c>
      <c r="W437">
        <f t="shared" si="25"/>
        <v>1</v>
      </c>
      <c r="X437" t="str">
        <f t="shared" si="26"/>
        <v>25-48 Months</v>
      </c>
      <c r="Y437" s="1" t="str">
        <f t="shared" si="27"/>
        <v>Low</v>
      </c>
    </row>
    <row r="438" spans="1:25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 t="shared" si="24"/>
        <v>0</v>
      </c>
      <c r="W438">
        <f t="shared" si="25"/>
        <v>1</v>
      </c>
      <c r="X438" t="str">
        <f t="shared" si="26"/>
        <v>25-48 Months</v>
      </c>
      <c r="Y438" s="1" t="str">
        <f t="shared" si="27"/>
        <v>Low</v>
      </c>
    </row>
    <row r="439" spans="1:25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 t="shared" si="24"/>
        <v>0</v>
      </c>
      <c r="W439">
        <f t="shared" si="25"/>
        <v>1</v>
      </c>
      <c r="X439" t="str">
        <f t="shared" si="26"/>
        <v>49+ Months</v>
      </c>
      <c r="Y439" s="1" t="str">
        <f t="shared" si="27"/>
        <v>High</v>
      </c>
    </row>
    <row r="440" spans="1:25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 t="shared" si="24"/>
        <v>0</v>
      </c>
      <c r="W440">
        <f t="shared" si="25"/>
        <v>1</v>
      </c>
      <c r="X440" t="str">
        <f t="shared" si="26"/>
        <v>25-48 Months</v>
      </c>
      <c r="Y440" s="1" t="str">
        <f t="shared" si="27"/>
        <v>High</v>
      </c>
    </row>
    <row r="441" spans="1:25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 t="shared" si="24"/>
        <v>0</v>
      </c>
      <c r="W441">
        <f t="shared" si="25"/>
        <v>1</v>
      </c>
      <c r="X441" t="str">
        <f t="shared" si="26"/>
        <v>0-12 Months</v>
      </c>
      <c r="Y441" s="1" t="str">
        <f t="shared" si="27"/>
        <v>Medium</v>
      </c>
    </row>
    <row r="442" spans="1:25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24"/>
        <v>0</v>
      </c>
      <c r="W442">
        <f t="shared" si="25"/>
        <v>1</v>
      </c>
      <c r="X442" t="str">
        <f t="shared" si="26"/>
        <v>13-24 Months</v>
      </c>
      <c r="Y442" s="1" t="str">
        <f t="shared" si="27"/>
        <v>High</v>
      </c>
    </row>
    <row r="443" spans="1:25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 t="shared" si="24"/>
        <v>0</v>
      </c>
      <c r="W443">
        <f t="shared" si="25"/>
        <v>1</v>
      </c>
      <c r="X443" t="str">
        <f t="shared" si="26"/>
        <v>49+ Months</v>
      </c>
      <c r="Y443" s="1" t="str">
        <f t="shared" si="27"/>
        <v>High</v>
      </c>
    </row>
    <row r="444" spans="1:25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 t="shared" si="24"/>
        <v>0</v>
      </c>
      <c r="W444">
        <f t="shared" si="25"/>
        <v>1</v>
      </c>
      <c r="X444" t="str">
        <f t="shared" si="26"/>
        <v>49+ Months</v>
      </c>
      <c r="Y444" s="1" t="str">
        <f t="shared" si="27"/>
        <v>High</v>
      </c>
    </row>
    <row r="445" spans="1:25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24"/>
        <v>0</v>
      </c>
      <c r="W445">
        <f t="shared" si="25"/>
        <v>1</v>
      </c>
      <c r="X445" t="str">
        <f t="shared" si="26"/>
        <v>13-24 Months</v>
      </c>
      <c r="Y445" s="1" t="str">
        <f t="shared" si="27"/>
        <v>Medium</v>
      </c>
    </row>
    <row r="446" spans="1:25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24"/>
        <v>0</v>
      </c>
      <c r="W446">
        <f t="shared" si="25"/>
        <v>1</v>
      </c>
      <c r="X446" t="str">
        <f t="shared" si="26"/>
        <v>25-48 Months</v>
      </c>
      <c r="Y446" s="1" t="str">
        <f t="shared" si="27"/>
        <v>High</v>
      </c>
    </row>
    <row r="447" spans="1:25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24"/>
        <v>1</v>
      </c>
      <c r="W447">
        <f t="shared" si="25"/>
        <v>0</v>
      </c>
      <c r="X447" t="str">
        <f t="shared" si="26"/>
        <v>49+ Months</v>
      </c>
      <c r="Y447" s="1" t="str">
        <f t="shared" si="27"/>
        <v>High</v>
      </c>
    </row>
    <row r="448" spans="1:25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 t="shared" si="24"/>
        <v>1</v>
      </c>
      <c r="W448">
        <f t="shared" si="25"/>
        <v>0</v>
      </c>
      <c r="X448" t="str">
        <f t="shared" si="26"/>
        <v>0-12 Months</v>
      </c>
      <c r="Y448" s="1" t="str">
        <f t="shared" si="27"/>
        <v>Medium</v>
      </c>
    </row>
    <row r="449" spans="1:25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 t="shared" si="24"/>
        <v>0</v>
      </c>
      <c r="W449">
        <f t="shared" si="25"/>
        <v>1</v>
      </c>
      <c r="X449" t="str">
        <f t="shared" si="26"/>
        <v>49+ Months</v>
      </c>
      <c r="Y449" s="1" t="str">
        <f t="shared" si="27"/>
        <v>Low</v>
      </c>
    </row>
    <row r="450" spans="1:25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ref="V450:V513" si="28">IF(U450="Yes",1,0)</f>
        <v>0</v>
      </c>
      <c r="W450">
        <f t="shared" ref="W450:W513" si="29">IF(U450="No",1,0)</f>
        <v>1</v>
      </c>
      <c r="X450" t="str">
        <f t="shared" ref="X450:X513" si="30">IF(F450&lt;=12,"0-12 Months",IF(F450&lt;=24,"13-24 Months",IF(F450&lt;=48,"25-48 Months","49+ Months")))</f>
        <v>0-12 Months</v>
      </c>
      <c r="Y450" s="1" t="str">
        <f t="shared" ref="Y450:Y513" si="31">IF(S450&lt;50,"Low",IF(S450&lt;80,"Medium","High"))</f>
        <v>High</v>
      </c>
    </row>
    <row r="451" spans="1:25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 t="shared" si="28"/>
        <v>0</v>
      </c>
      <c r="W451">
        <f t="shared" si="29"/>
        <v>1</v>
      </c>
      <c r="X451" t="str">
        <f t="shared" si="30"/>
        <v>49+ Months</v>
      </c>
      <c r="Y451" s="1" t="str">
        <f t="shared" si="31"/>
        <v>High</v>
      </c>
    </row>
    <row r="452" spans="1:25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 t="shared" si="28"/>
        <v>0</v>
      </c>
      <c r="W452">
        <f t="shared" si="29"/>
        <v>1</v>
      </c>
      <c r="X452" t="str">
        <f t="shared" si="30"/>
        <v>49+ Months</v>
      </c>
      <c r="Y452" s="1" t="str">
        <f t="shared" si="31"/>
        <v>Low</v>
      </c>
    </row>
    <row r="453" spans="1:25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 t="shared" si="28"/>
        <v>0</v>
      </c>
      <c r="W453">
        <f t="shared" si="29"/>
        <v>1</v>
      </c>
      <c r="X453" t="str">
        <f t="shared" si="30"/>
        <v>13-24 Months</v>
      </c>
      <c r="Y453" s="1" t="str">
        <f t="shared" si="31"/>
        <v>Medium</v>
      </c>
    </row>
    <row r="454" spans="1:25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 t="shared" si="28"/>
        <v>0</v>
      </c>
      <c r="W454">
        <f t="shared" si="29"/>
        <v>1</v>
      </c>
      <c r="X454" t="str">
        <f t="shared" si="30"/>
        <v>49+ Months</v>
      </c>
      <c r="Y454" s="1" t="str">
        <f t="shared" si="31"/>
        <v>Medium</v>
      </c>
    </row>
    <row r="455" spans="1:25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28"/>
        <v>1</v>
      </c>
      <c r="W455">
        <f t="shared" si="29"/>
        <v>0</v>
      </c>
      <c r="X455" t="str">
        <f t="shared" si="30"/>
        <v>25-48 Months</v>
      </c>
      <c r="Y455" s="1" t="str">
        <f t="shared" si="31"/>
        <v>High</v>
      </c>
    </row>
    <row r="456" spans="1:25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 t="shared" si="28"/>
        <v>0</v>
      </c>
      <c r="W456">
        <f t="shared" si="29"/>
        <v>1</v>
      </c>
      <c r="X456" t="str">
        <f t="shared" si="30"/>
        <v>49+ Months</v>
      </c>
      <c r="Y456" s="1" t="str">
        <f t="shared" si="31"/>
        <v>Low</v>
      </c>
    </row>
    <row r="457" spans="1:25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28"/>
        <v>0</v>
      </c>
      <c r="W457">
        <f t="shared" si="29"/>
        <v>1</v>
      </c>
      <c r="X457" t="str">
        <f t="shared" si="30"/>
        <v>13-24 Months</v>
      </c>
      <c r="Y457" s="1" t="str">
        <f t="shared" si="31"/>
        <v>High</v>
      </c>
    </row>
    <row r="458" spans="1:25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 t="shared" si="28"/>
        <v>0</v>
      </c>
      <c r="W458">
        <f t="shared" si="29"/>
        <v>1</v>
      </c>
      <c r="X458" t="str">
        <f t="shared" si="30"/>
        <v>25-48 Months</v>
      </c>
      <c r="Y458" s="1" t="str">
        <f t="shared" si="31"/>
        <v>High</v>
      </c>
    </row>
    <row r="459" spans="1:25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 t="shared" si="28"/>
        <v>0</v>
      </c>
      <c r="W459">
        <f t="shared" si="29"/>
        <v>1</v>
      </c>
      <c r="X459" t="str">
        <f t="shared" si="30"/>
        <v>25-48 Months</v>
      </c>
      <c r="Y459" s="1" t="str">
        <f t="shared" si="31"/>
        <v>High</v>
      </c>
    </row>
    <row r="460" spans="1:25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 t="shared" si="28"/>
        <v>0</v>
      </c>
      <c r="W460">
        <f t="shared" si="29"/>
        <v>1</v>
      </c>
      <c r="X460" t="str">
        <f t="shared" si="30"/>
        <v>0-12 Months</v>
      </c>
      <c r="Y460" s="1" t="str">
        <f t="shared" si="31"/>
        <v>Low</v>
      </c>
    </row>
    <row r="461" spans="1:25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28"/>
        <v>0</v>
      </c>
      <c r="W461">
        <f t="shared" si="29"/>
        <v>1</v>
      </c>
      <c r="X461" t="str">
        <f t="shared" si="30"/>
        <v>0-12 Months</v>
      </c>
      <c r="Y461" s="1" t="str">
        <f t="shared" si="31"/>
        <v>Medium</v>
      </c>
    </row>
    <row r="462" spans="1:25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 t="shared" si="28"/>
        <v>0</v>
      </c>
      <c r="W462">
        <f t="shared" si="29"/>
        <v>1</v>
      </c>
      <c r="X462" t="str">
        <f t="shared" si="30"/>
        <v>0-12 Months</v>
      </c>
      <c r="Y462" s="1" t="str">
        <f t="shared" si="31"/>
        <v>Low</v>
      </c>
    </row>
    <row r="463" spans="1:25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 t="shared" si="28"/>
        <v>0</v>
      </c>
      <c r="W463">
        <f t="shared" si="29"/>
        <v>1</v>
      </c>
      <c r="X463" t="str">
        <f t="shared" si="30"/>
        <v>13-24 Months</v>
      </c>
      <c r="Y463" s="1" t="str">
        <f t="shared" si="31"/>
        <v>Medium</v>
      </c>
    </row>
    <row r="464" spans="1:25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28"/>
        <v>1</v>
      </c>
      <c r="W464">
        <f t="shared" si="29"/>
        <v>0</v>
      </c>
      <c r="X464" t="str">
        <f t="shared" si="30"/>
        <v>0-12 Months</v>
      </c>
      <c r="Y464" s="1" t="str">
        <f t="shared" si="31"/>
        <v>High</v>
      </c>
    </row>
    <row r="465" spans="1:25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28"/>
        <v>1</v>
      </c>
      <c r="W465">
        <f t="shared" si="29"/>
        <v>0</v>
      </c>
      <c r="X465" t="str">
        <f t="shared" si="30"/>
        <v>0-12 Months</v>
      </c>
      <c r="Y465" s="1" t="str">
        <f t="shared" si="31"/>
        <v>High</v>
      </c>
    </row>
    <row r="466" spans="1:25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 t="shared" si="28"/>
        <v>0</v>
      </c>
      <c r="W466">
        <f t="shared" si="29"/>
        <v>1</v>
      </c>
      <c r="X466" t="str">
        <f t="shared" si="30"/>
        <v>49+ Months</v>
      </c>
      <c r="Y466" s="1" t="str">
        <f t="shared" si="31"/>
        <v>High</v>
      </c>
    </row>
    <row r="467" spans="1:25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 t="shared" si="28"/>
        <v>0</v>
      </c>
      <c r="W467">
        <f t="shared" si="29"/>
        <v>1</v>
      </c>
      <c r="X467" t="str">
        <f t="shared" si="30"/>
        <v>49+ Months</v>
      </c>
      <c r="Y467" s="1" t="str">
        <f t="shared" si="31"/>
        <v>Low</v>
      </c>
    </row>
    <row r="468" spans="1:25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28"/>
        <v>0</v>
      </c>
      <c r="W468">
        <f t="shared" si="29"/>
        <v>1</v>
      </c>
      <c r="X468" t="str">
        <f t="shared" si="30"/>
        <v>49+ Months</v>
      </c>
      <c r="Y468" s="1" t="str">
        <f t="shared" si="31"/>
        <v>High</v>
      </c>
    </row>
    <row r="469" spans="1:25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28"/>
        <v>0</v>
      </c>
      <c r="W469">
        <f t="shared" si="29"/>
        <v>1</v>
      </c>
      <c r="X469" t="str">
        <f t="shared" si="30"/>
        <v>49+ Months</v>
      </c>
      <c r="Y469" s="1" t="str">
        <f t="shared" si="31"/>
        <v>High</v>
      </c>
    </row>
    <row r="470" spans="1:25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 t="shared" si="28"/>
        <v>0</v>
      </c>
      <c r="W470">
        <f t="shared" si="29"/>
        <v>1</v>
      </c>
      <c r="X470" t="str">
        <f t="shared" si="30"/>
        <v>25-48 Months</v>
      </c>
      <c r="Y470" s="1" t="str">
        <f t="shared" si="31"/>
        <v>Low</v>
      </c>
    </row>
    <row r="471" spans="1:25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28"/>
        <v>1</v>
      </c>
      <c r="W471">
        <f t="shared" si="29"/>
        <v>0</v>
      </c>
      <c r="X471" t="str">
        <f t="shared" si="30"/>
        <v>13-24 Months</v>
      </c>
      <c r="Y471" s="1" t="str">
        <f t="shared" si="31"/>
        <v>Medium</v>
      </c>
    </row>
    <row r="472" spans="1:25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 t="shared" si="28"/>
        <v>0</v>
      </c>
      <c r="W472">
        <f t="shared" si="29"/>
        <v>1</v>
      </c>
      <c r="X472" t="str">
        <f t="shared" si="30"/>
        <v>13-24 Months</v>
      </c>
      <c r="Y472" s="1" t="str">
        <f t="shared" si="31"/>
        <v>Low</v>
      </c>
    </row>
    <row r="473" spans="1:25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28"/>
        <v>1</v>
      </c>
      <c r="W473">
        <f t="shared" si="29"/>
        <v>0</v>
      </c>
      <c r="X473" t="str">
        <f t="shared" si="30"/>
        <v>0-12 Months</v>
      </c>
      <c r="Y473" s="1" t="str">
        <f t="shared" si="31"/>
        <v>Medium</v>
      </c>
    </row>
    <row r="474" spans="1:25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 t="shared" si="28"/>
        <v>0</v>
      </c>
      <c r="W474">
        <f t="shared" si="29"/>
        <v>1</v>
      </c>
      <c r="X474" t="str">
        <f t="shared" si="30"/>
        <v>0-12 Months</v>
      </c>
      <c r="Y474" s="1" t="str">
        <f t="shared" si="31"/>
        <v>Medium</v>
      </c>
    </row>
    <row r="475" spans="1:25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 t="shared" si="28"/>
        <v>0</v>
      </c>
      <c r="W475">
        <f t="shared" si="29"/>
        <v>1</v>
      </c>
      <c r="X475" t="str">
        <f t="shared" si="30"/>
        <v>13-24 Months</v>
      </c>
      <c r="Y475" s="1" t="str">
        <f t="shared" si="31"/>
        <v>Medium</v>
      </c>
    </row>
    <row r="476" spans="1:25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28"/>
        <v>1</v>
      </c>
      <c r="W476">
        <f t="shared" si="29"/>
        <v>0</v>
      </c>
      <c r="X476" t="str">
        <f t="shared" si="30"/>
        <v>0-12 Months</v>
      </c>
      <c r="Y476" s="1" t="str">
        <f t="shared" si="31"/>
        <v>Medium</v>
      </c>
    </row>
    <row r="477" spans="1:25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28"/>
        <v>1</v>
      </c>
      <c r="W477">
        <f t="shared" si="29"/>
        <v>0</v>
      </c>
      <c r="X477" t="str">
        <f t="shared" si="30"/>
        <v>13-24 Months</v>
      </c>
      <c r="Y477" s="1" t="str">
        <f t="shared" si="31"/>
        <v>High</v>
      </c>
    </row>
    <row r="478" spans="1:25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28"/>
        <v>0</v>
      </c>
      <c r="W478">
        <f t="shared" si="29"/>
        <v>1</v>
      </c>
      <c r="X478" t="str">
        <f t="shared" si="30"/>
        <v>25-48 Months</v>
      </c>
      <c r="Y478" s="1" t="str">
        <f t="shared" si="31"/>
        <v>Medium</v>
      </c>
    </row>
    <row r="479" spans="1:25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28"/>
        <v>0</v>
      </c>
      <c r="W479">
        <f t="shared" si="29"/>
        <v>1</v>
      </c>
      <c r="X479" t="str">
        <f t="shared" si="30"/>
        <v>0-12 Months</v>
      </c>
      <c r="Y479" s="1" t="str">
        <f t="shared" si="31"/>
        <v>Medium</v>
      </c>
    </row>
    <row r="480" spans="1:25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28"/>
        <v>1</v>
      </c>
      <c r="W480">
        <f t="shared" si="29"/>
        <v>0</v>
      </c>
      <c r="X480" t="str">
        <f t="shared" si="30"/>
        <v>0-12 Months</v>
      </c>
      <c r="Y480" s="1" t="str">
        <f t="shared" si="31"/>
        <v>High</v>
      </c>
    </row>
    <row r="481" spans="1:25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 t="shared" si="28"/>
        <v>1</v>
      </c>
      <c r="W481">
        <f t="shared" si="29"/>
        <v>0</v>
      </c>
      <c r="X481" t="str">
        <f t="shared" si="30"/>
        <v>13-24 Months</v>
      </c>
      <c r="Y481" s="1" t="str">
        <f t="shared" si="31"/>
        <v>Medium</v>
      </c>
    </row>
    <row r="482" spans="1:25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 t="shared" si="28"/>
        <v>0</v>
      </c>
      <c r="W482">
        <f t="shared" si="29"/>
        <v>1</v>
      </c>
      <c r="X482" t="str">
        <f t="shared" si="30"/>
        <v>0-12 Months</v>
      </c>
      <c r="Y482" s="1" t="str">
        <f t="shared" si="31"/>
        <v>Low</v>
      </c>
    </row>
    <row r="483" spans="1:25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 t="shared" si="28"/>
        <v>1</v>
      </c>
      <c r="W483">
        <f t="shared" si="29"/>
        <v>0</v>
      </c>
      <c r="X483" t="str">
        <f t="shared" si="30"/>
        <v>25-48 Months</v>
      </c>
      <c r="Y483" s="1" t="str">
        <f t="shared" si="31"/>
        <v>Low</v>
      </c>
    </row>
    <row r="484" spans="1:25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28"/>
        <v>0</v>
      </c>
      <c r="W484">
        <f t="shared" si="29"/>
        <v>1</v>
      </c>
      <c r="X484" t="str">
        <f t="shared" si="30"/>
        <v>13-24 Months</v>
      </c>
      <c r="Y484" s="1" t="str">
        <f t="shared" si="31"/>
        <v>High</v>
      </c>
    </row>
    <row r="485" spans="1:25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 t="shared" si="28"/>
        <v>0</v>
      </c>
      <c r="W485">
        <f t="shared" si="29"/>
        <v>1</v>
      </c>
      <c r="X485" t="str">
        <f t="shared" si="30"/>
        <v>49+ Months</v>
      </c>
      <c r="Y485" s="1" t="str">
        <f t="shared" si="31"/>
        <v>High</v>
      </c>
    </row>
    <row r="486" spans="1:25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28"/>
        <v>1</v>
      </c>
      <c r="W486">
        <f t="shared" si="29"/>
        <v>0</v>
      </c>
      <c r="X486" t="str">
        <f t="shared" si="30"/>
        <v>0-12 Months</v>
      </c>
      <c r="Y486" s="1" t="str">
        <f t="shared" si="31"/>
        <v>High</v>
      </c>
    </row>
    <row r="487" spans="1:25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 t="shared" si="28"/>
        <v>0</v>
      </c>
      <c r="W487">
        <f t="shared" si="29"/>
        <v>1</v>
      </c>
      <c r="X487" t="str">
        <f t="shared" si="30"/>
        <v>49+ Months</v>
      </c>
      <c r="Y487" s="1" t="str">
        <f t="shared" si="31"/>
        <v>High</v>
      </c>
    </row>
    <row r="488" spans="1:25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28"/>
        <v>0</v>
      </c>
      <c r="W488">
        <f t="shared" si="29"/>
        <v>1</v>
      </c>
      <c r="X488" t="str">
        <f t="shared" si="30"/>
        <v>13-24 Months</v>
      </c>
      <c r="Y488" s="1" t="str">
        <f t="shared" si="31"/>
        <v>High</v>
      </c>
    </row>
    <row r="489" spans="1:25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 t="shared" si="28"/>
        <v>0</v>
      </c>
      <c r="W489">
        <f t="shared" si="29"/>
        <v>1</v>
      </c>
      <c r="X489" t="str">
        <f t="shared" si="30"/>
        <v>49+ Months</v>
      </c>
      <c r="Y489" s="1" t="str">
        <f t="shared" si="31"/>
        <v>High</v>
      </c>
    </row>
    <row r="490" spans="1:25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>
        <f t="shared" si="28"/>
        <v>0</v>
      </c>
      <c r="W490">
        <f t="shared" si="29"/>
        <v>1</v>
      </c>
      <c r="X490" t="str">
        <f t="shared" si="30"/>
        <v>0-12 Months</v>
      </c>
      <c r="Y490" s="1" t="str">
        <f t="shared" si="31"/>
        <v>Medium</v>
      </c>
    </row>
    <row r="491" spans="1:25" x14ac:dyDescent="0.2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 t="shared" si="28"/>
        <v>1</v>
      </c>
      <c r="W491">
        <f t="shared" si="29"/>
        <v>0</v>
      </c>
      <c r="X491" t="str">
        <f t="shared" si="30"/>
        <v>0-12 Months</v>
      </c>
      <c r="Y491" s="1" t="str">
        <f t="shared" si="31"/>
        <v>Medium</v>
      </c>
    </row>
    <row r="492" spans="1:25" x14ac:dyDescent="0.2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 t="shared" si="28"/>
        <v>0</v>
      </c>
      <c r="W492">
        <f t="shared" si="29"/>
        <v>1</v>
      </c>
      <c r="X492" t="str">
        <f t="shared" si="30"/>
        <v>49+ Months</v>
      </c>
      <c r="Y492" s="1" t="str">
        <f t="shared" si="31"/>
        <v>High</v>
      </c>
    </row>
    <row r="493" spans="1:25" x14ac:dyDescent="0.2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 t="shared" si="28"/>
        <v>0</v>
      </c>
      <c r="W493">
        <f t="shared" si="29"/>
        <v>1</v>
      </c>
      <c r="X493" t="str">
        <f t="shared" si="30"/>
        <v>0-12 Months</v>
      </c>
      <c r="Y493" s="1" t="str">
        <f t="shared" si="31"/>
        <v>Medium</v>
      </c>
    </row>
    <row r="494" spans="1:25" x14ac:dyDescent="0.2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 t="shared" si="28"/>
        <v>1</v>
      </c>
      <c r="W494">
        <f t="shared" si="29"/>
        <v>0</v>
      </c>
      <c r="X494" t="str">
        <f t="shared" si="30"/>
        <v>0-12 Months</v>
      </c>
      <c r="Y494" s="1" t="str">
        <f t="shared" si="31"/>
        <v>Medium</v>
      </c>
    </row>
    <row r="495" spans="1:25" x14ac:dyDescent="0.2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 t="shared" si="28"/>
        <v>0</v>
      </c>
      <c r="W495">
        <f t="shared" si="29"/>
        <v>1</v>
      </c>
      <c r="X495" t="str">
        <f t="shared" si="30"/>
        <v>49+ Months</v>
      </c>
      <c r="Y495" s="1" t="str">
        <f t="shared" si="31"/>
        <v>Medium</v>
      </c>
    </row>
    <row r="496" spans="1:25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 t="shared" si="28"/>
        <v>0</v>
      </c>
      <c r="W496">
        <f t="shared" si="29"/>
        <v>1</v>
      </c>
      <c r="X496" t="str">
        <f t="shared" si="30"/>
        <v>0-12 Months</v>
      </c>
      <c r="Y496" s="1" t="str">
        <f t="shared" si="31"/>
        <v>Low</v>
      </c>
    </row>
    <row r="497" spans="1:25" x14ac:dyDescent="0.2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 t="shared" si="28"/>
        <v>1</v>
      </c>
      <c r="W497">
        <f t="shared" si="29"/>
        <v>0</v>
      </c>
      <c r="X497" t="str">
        <f t="shared" si="30"/>
        <v>13-24 Months</v>
      </c>
      <c r="Y497" s="1" t="str">
        <f t="shared" si="31"/>
        <v>Low</v>
      </c>
    </row>
    <row r="498" spans="1:25" x14ac:dyDescent="0.2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 t="shared" si="28"/>
        <v>0</v>
      </c>
      <c r="W498">
        <f t="shared" si="29"/>
        <v>1</v>
      </c>
      <c r="X498" t="str">
        <f t="shared" si="30"/>
        <v>25-48 Months</v>
      </c>
      <c r="Y498" s="1" t="str">
        <f t="shared" si="31"/>
        <v>Medium</v>
      </c>
    </row>
    <row r="499" spans="1:25" x14ac:dyDescent="0.2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 t="shared" si="28"/>
        <v>0</v>
      </c>
      <c r="W499">
        <f t="shared" si="29"/>
        <v>1</v>
      </c>
      <c r="X499" t="str">
        <f t="shared" si="30"/>
        <v>49+ Months</v>
      </c>
      <c r="Y499" s="1" t="str">
        <f t="shared" si="31"/>
        <v>Low</v>
      </c>
    </row>
    <row r="500" spans="1:25" x14ac:dyDescent="0.2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 t="shared" si="28"/>
        <v>1</v>
      </c>
      <c r="W500">
        <f t="shared" si="29"/>
        <v>0</v>
      </c>
      <c r="X500" t="str">
        <f t="shared" si="30"/>
        <v>0-12 Months</v>
      </c>
      <c r="Y500" s="1" t="str">
        <f t="shared" si="31"/>
        <v>Low</v>
      </c>
    </row>
    <row r="501" spans="1:25" x14ac:dyDescent="0.2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 t="shared" si="28"/>
        <v>1</v>
      </c>
      <c r="W501">
        <f t="shared" si="29"/>
        <v>0</v>
      </c>
      <c r="X501" t="str">
        <f t="shared" si="30"/>
        <v>0-12 Months</v>
      </c>
      <c r="Y501" s="1" t="str">
        <f t="shared" si="31"/>
        <v>High</v>
      </c>
    </row>
    <row r="502" spans="1:25" x14ac:dyDescent="0.2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 t="shared" si="28"/>
        <v>0</v>
      </c>
      <c r="W502">
        <f t="shared" si="29"/>
        <v>1</v>
      </c>
      <c r="X502" t="str">
        <f t="shared" si="30"/>
        <v>25-48 Months</v>
      </c>
      <c r="Y502" s="1" t="str">
        <f t="shared" si="31"/>
        <v>High</v>
      </c>
    </row>
    <row r="503" spans="1:25" x14ac:dyDescent="0.2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 t="shared" si="28"/>
        <v>0</v>
      </c>
      <c r="W503">
        <f t="shared" si="29"/>
        <v>1</v>
      </c>
      <c r="X503" t="str">
        <f t="shared" si="30"/>
        <v>49+ Months</v>
      </c>
      <c r="Y503" s="1" t="str">
        <f t="shared" si="31"/>
        <v>High</v>
      </c>
    </row>
    <row r="504" spans="1:25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 t="shared" si="28"/>
        <v>0</v>
      </c>
      <c r="W504">
        <f t="shared" si="29"/>
        <v>1</v>
      </c>
      <c r="X504" t="str">
        <f t="shared" si="30"/>
        <v>49+ Months</v>
      </c>
      <c r="Y504" s="1" t="str">
        <f t="shared" si="31"/>
        <v>Medium</v>
      </c>
    </row>
    <row r="505" spans="1:25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 t="shared" si="28"/>
        <v>0</v>
      </c>
      <c r="W505">
        <f t="shared" si="29"/>
        <v>1</v>
      </c>
      <c r="X505" t="str">
        <f t="shared" si="30"/>
        <v>49+ Months</v>
      </c>
      <c r="Y505" s="1" t="str">
        <f t="shared" si="31"/>
        <v>High</v>
      </c>
    </row>
    <row r="506" spans="1:25" x14ac:dyDescent="0.2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 t="shared" si="28"/>
        <v>0</v>
      </c>
      <c r="W506">
        <f t="shared" si="29"/>
        <v>1</v>
      </c>
      <c r="X506" t="str">
        <f t="shared" si="30"/>
        <v>49+ Months</v>
      </c>
      <c r="Y506" s="1" t="str">
        <f t="shared" si="31"/>
        <v>Medium</v>
      </c>
    </row>
    <row r="507" spans="1:25" x14ac:dyDescent="0.2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 t="shared" si="28"/>
        <v>1</v>
      </c>
      <c r="W507">
        <f t="shared" si="29"/>
        <v>0</v>
      </c>
      <c r="X507" t="str">
        <f t="shared" si="30"/>
        <v>13-24 Months</v>
      </c>
      <c r="Y507" s="1" t="str">
        <f t="shared" si="31"/>
        <v>High</v>
      </c>
    </row>
    <row r="508" spans="1:25" x14ac:dyDescent="0.2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 t="shared" si="28"/>
        <v>0</v>
      </c>
      <c r="W508">
        <f t="shared" si="29"/>
        <v>1</v>
      </c>
      <c r="X508" t="str">
        <f t="shared" si="30"/>
        <v>0-12 Months</v>
      </c>
      <c r="Y508" s="1" t="str">
        <f t="shared" si="31"/>
        <v>Medium</v>
      </c>
    </row>
    <row r="509" spans="1:25" x14ac:dyDescent="0.2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 t="shared" si="28"/>
        <v>1</v>
      </c>
      <c r="W509">
        <f t="shared" si="29"/>
        <v>0</v>
      </c>
      <c r="X509" t="str">
        <f t="shared" si="30"/>
        <v>0-12 Months</v>
      </c>
      <c r="Y509" s="1" t="str">
        <f t="shared" si="31"/>
        <v>High</v>
      </c>
    </row>
    <row r="510" spans="1:25" x14ac:dyDescent="0.2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 t="shared" si="28"/>
        <v>1</v>
      </c>
      <c r="W510">
        <f t="shared" si="29"/>
        <v>0</v>
      </c>
      <c r="X510" t="str">
        <f t="shared" si="30"/>
        <v>0-12 Months</v>
      </c>
      <c r="Y510" s="1" t="str">
        <f t="shared" si="31"/>
        <v>High</v>
      </c>
    </row>
    <row r="511" spans="1:25" x14ac:dyDescent="0.2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 t="shared" si="28"/>
        <v>0</v>
      </c>
      <c r="W511">
        <f t="shared" si="29"/>
        <v>1</v>
      </c>
      <c r="X511" t="str">
        <f t="shared" si="30"/>
        <v>0-12 Months</v>
      </c>
      <c r="Y511" s="1" t="str">
        <f t="shared" si="31"/>
        <v>Low</v>
      </c>
    </row>
    <row r="512" spans="1:25" x14ac:dyDescent="0.2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 t="shared" si="28"/>
        <v>0</v>
      </c>
      <c r="W512">
        <f t="shared" si="29"/>
        <v>1</v>
      </c>
      <c r="X512" t="str">
        <f t="shared" si="30"/>
        <v>13-24 Months</v>
      </c>
      <c r="Y512" s="1" t="str">
        <f t="shared" si="31"/>
        <v>High</v>
      </c>
    </row>
    <row r="513" spans="1:25" x14ac:dyDescent="0.2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 t="shared" si="28"/>
        <v>0</v>
      </c>
      <c r="W513">
        <f t="shared" si="29"/>
        <v>1</v>
      </c>
      <c r="X513" t="str">
        <f t="shared" si="30"/>
        <v>49+ Months</v>
      </c>
      <c r="Y513" s="1" t="str">
        <f t="shared" si="31"/>
        <v>High</v>
      </c>
    </row>
    <row r="514" spans="1:25" x14ac:dyDescent="0.2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 t="shared" ref="V514:V577" si="32">IF(U514="Yes",1,0)</f>
        <v>1</v>
      </c>
      <c r="W514">
        <f t="shared" ref="W514:W577" si="33">IF(U514="No",1,0)</f>
        <v>0</v>
      </c>
      <c r="X514" t="str">
        <f t="shared" ref="X514:X577" si="34">IF(F514&lt;=12,"0-12 Months",IF(F514&lt;=24,"13-24 Months",IF(F514&lt;=48,"25-48 Months","49+ Months")))</f>
        <v>0-12 Months</v>
      </c>
      <c r="Y514" s="1" t="str">
        <f t="shared" ref="Y514:Y577" si="35">IF(S514&lt;50,"Low",IF(S514&lt;80,"Medium","High"))</f>
        <v>Medium</v>
      </c>
    </row>
    <row r="515" spans="1:25" x14ac:dyDescent="0.2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 t="shared" si="32"/>
        <v>0</v>
      </c>
      <c r="W515">
        <f t="shared" si="33"/>
        <v>1</v>
      </c>
      <c r="X515" t="str">
        <f t="shared" si="34"/>
        <v>49+ Months</v>
      </c>
      <c r="Y515" s="1" t="str">
        <f t="shared" si="35"/>
        <v>High</v>
      </c>
    </row>
    <row r="516" spans="1:25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 t="shared" si="32"/>
        <v>0</v>
      </c>
      <c r="W516">
        <f t="shared" si="33"/>
        <v>1</v>
      </c>
      <c r="X516" t="str">
        <f t="shared" si="34"/>
        <v>25-48 Months</v>
      </c>
      <c r="Y516" s="1" t="str">
        <f t="shared" si="35"/>
        <v>High</v>
      </c>
    </row>
    <row r="517" spans="1:25" x14ac:dyDescent="0.2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 t="shared" si="32"/>
        <v>1</v>
      </c>
      <c r="W517">
        <f t="shared" si="33"/>
        <v>0</v>
      </c>
      <c r="X517" t="str">
        <f t="shared" si="34"/>
        <v>25-48 Months</v>
      </c>
      <c r="Y517" s="1" t="str">
        <f t="shared" si="35"/>
        <v>High</v>
      </c>
    </row>
    <row r="518" spans="1:25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 t="shared" si="32"/>
        <v>0</v>
      </c>
      <c r="W518">
        <f t="shared" si="33"/>
        <v>1</v>
      </c>
      <c r="X518" t="str">
        <f t="shared" si="34"/>
        <v>25-48 Months</v>
      </c>
      <c r="Y518" s="1" t="str">
        <f t="shared" si="35"/>
        <v>Medium</v>
      </c>
    </row>
    <row r="519" spans="1:25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 t="shared" si="32"/>
        <v>0</v>
      </c>
      <c r="W519">
        <f t="shared" si="33"/>
        <v>1</v>
      </c>
      <c r="X519" t="str">
        <f t="shared" si="34"/>
        <v>0-12 Months</v>
      </c>
      <c r="Y519" s="1" t="str">
        <f t="shared" si="35"/>
        <v>Medium</v>
      </c>
    </row>
    <row r="520" spans="1:25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 t="shared" si="32"/>
        <v>1</v>
      </c>
      <c r="W520">
        <f t="shared" si="33"/>
        <v>0</v>
      </c>
      <c r="X520" t="str">
        <f t="shared" si="34"/>
        <v>25-48 Months</v>
      </c>
      <c r="Y520" s="1" t="str">
        <f t="shared" si="35"/>
        <v>Medium</v>
      </c>
    </row>
    <row r="521" spans="1:25" x14ac:dyDescent="0.2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 t="shared" si="32"/>
        <v>0</v>
      </c>
      <c r="W521">
        <f t="shared" si="33"/>
        <v>1</v>
      </c>
      <c r="X521" t="str">
        <f t="shared" si="34"/>
        <v>0-12 Months</v>
      </c>
      <c r="Y521" s="1" t="str">
        <f t="shared" si="35"/>
        <v>Low</v>
      </c>
    </row>
    <row r="522" spans="1:25" x14ac:dyDescent="0.2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 t="shared" si="32"/>
        <v>0</v>
      </c>
      <c r="W522">
        <f t="shared" si="33"/>
        <v>1</v>
      </c>
      <c r="X522" t="str">
        <f t="shared" si="34"/>
        <v>49+ Months</v>
      </c>
      <c r="Y522" s="1" t="str">
        <f t="shared" si="35"/>
        <v>High</v>
      </c>
    </row>
    <row r="523" spans="1:25" x14ac:dyDescent="0.2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 t="shared" si="32"/>
        <v>0</v>
      </c>
      <c r="W523">
        <f t="shared" si="33"/>
        <v>1</v>
      </c>
      <c r="X523" t="str">
        <f t="shared" si="34"/>
        <v>25-48 Months</v>
      </c>
      <c r="Y523" s="1" t="str">
        <f t="shared" si="35"/>
        <v>Medium</v>
      </c>
    </row>
    <row r="524" spans="1:25" x14ac:dyDescent="0.2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 t="shared" si="32"/>
        <v>0</v>
      </c>
      <c r="W524">
        <f t="shared" si="33"/>
        <v>1</v>
      </c>
      <c r="X524" t="str">
        <f t="shared" si="34"/>
        <v>49+ Months</v>
      </c>
      <c r="Y524" s="1" t="str">
        <f t="shared" si="35"/>
        <v>High</v>
      </c>
    </row>
    <row r="525" spans="1:25" x14ac:dyDescent="0.2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 t="shared" si="32"/>
        <v>1</v>
      </c>
      <c r="W525">
        <f t="shared" si="33"/>
        <v>0</v>
      </c>
      <c r="X525" t="str">
        <f t="shared" si="34"/>
        <v>13-24 Months</v>
      </c>
      <c r="Y525" s="1" t="str">
        <f t="shared" si="35"/>
        <v>Medium</v>
      </c>
    </row>
    <row r="526" spans="1:25" x14ac:dyDescent="0.2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 t="shared" si="32"/>
        <v>1</v>
      </c>
      <c r="W526">
        <f t="shared" si="33"/>
        <v>0</v>
      </c>
      <c r="X526" t="str">
        <f t="shared" si="34"/>
        <v>25-48 Months</v>
      </c>
      <c r="Y526" s="1" t="str">
        <f t="shared" si="35"/>
        <v>High</v>
      </c>
    </row>
    <row r="527" spans="1:25" x14ac:dyDescent="0.2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 t="shared" si="32"/>
        <v>0</v>
      </c>
      <c r="W527">
        <f t="shared" si="33"/>
        <v>1</v>
      </c>
      <c r="X527" t="str">
        <f t="shared" si="34"/>
        <v>49+ Months</v>
      </c>
      <c r="Y527" s="1" t="str">
        <f t="shared" si="35"/>
        <v>High</v>
      </c>
    </row>
    <row r="528" spans="1:25" x14ac:dyDescent="0.2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 t="shared" si="32"/>
        <v>0</v>
      </c>
      <c r="W528">
        <f t="shared" si="33"/>
        <v>1</v>
      </c>
      <c r="X528" t="str">
        <f t="shared" si="34"/>
        <v>49+ Months</v>
      </c>
      <c r="Y528" s="1" t="str">
        <f t="shared" si="35"/>
        <v>High</v>
      </c>
    </row>
    <row r="529" spans="1:25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 t="shared" si="32"/>
        <v>0</v>
      </c>
      <c r="W529">
        <f t="shared" si="33"/>
        <v>1</v>
      </c>
      <c r="X529" t="str">
        <f t="shared" si="34"/>
        <v>49+ Months</v>
      </c>
      <c r="Y529" s="1" t="str">
        <f t="shared" si="35"/>
        <v>High</v>
      </c>
    </row>
    <row r="530" spans="1:25" x14ac:dyDescent="0.2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 t="shared" si="32"/>
        <v>0</v>
      </c>
      <c r="W530">
        <f t="shared" si="33"/>
        <v>1</v>
      </c>
      <c r="X530" t="str">
        <f t="shared" si="34"/>
        <v>25-48 Months</v>
      </c>
      <c r="Y530" s="1" t="str">
        <f t="shared" si="35"/>
        <v>Low</v>
      </c>
    </row>
    <row r="531" spans="1:25" x14ac:dyDescent="0.2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 t="shared" si="32"/>
        <v>0</v>
      </c>
      <c r="W531">
        <f t="shared" si="33"/>
        <v>1</v>
      </c>
      <c r="X531" t="str">
        <f t="shared" si="34"/>
        <v>49+ Months</v>
      </c>
      <c r="Y531" s="1" t="str">
        <f t="shared" si="35"/>
        <v>High</v>
      </c>
    </row>
    <row r="532" spans="1:25" x14ac:dyDescent="0.2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 t="shared" si="32"/>
        <v>0</v>
      </c>
      <c r="W532">
        <f t="shared" si="33"/>
        <v>1</v>
      </c>
      <c r="X532" t="str">
        <f t="shared" si="34"/>
        <v>13-24 Months</v>
      </c>
      <c r="Y532" s="1" t="str">
        <f t="shared" si="35"/>
        <v>Low</v>
      </c>
    </row>
    <row r="533" spans="1:25" x14ac:dyDescent="0.2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 t="shared" si="32"/>
        <v>0</v>
      </c>
      <c r="W533">
        <f t="shared" si="33"/>
        <v>1</v>
      </c>
      <c r="X533" t="str">
        <f t="shared" si="34"/>
        <v>49+ Months</v>
      </c>
      <c r="Y533" s="1" t="str">
        <f t="shared" si="35"/>
        <v>Low</v>
      </c>
    </row>
    <row r="534" spans="1:25" x14ac:dyDescent="0.2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 t="shared" si="32"/>
        <v>0</v>
      </c>
      <c r="W534">
        <f t="shared" si="33"/>
        <v>1</v>
      </c>
      <c r="X534" t="str">
        <f t="shared" si="34"/>
        <v>0-12 Months</v>
      </c>
      <c r="Y534" s="1" t="str">
        <f t="shared" si="35"/>
        <v>Medium</v>
      </c>
    </row>
    <row r="535" spans="1:25" x14ac:dyDescent="0.2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 t="shared" si="32"/>
        <v>0</v>
      </c>
      <c r="W535">
        <f t="shared" si="33"/>
        <v>1</v>
      </c>
      <c r="X535" t="str">
        <f t="shared" si="34"/>
        <v>49+ Months</v>
      </c>
      <c r="Y535" s="1" t="str">
        <f t="shared" si="35"/>
        <v>High</v>
      </c>
    </row>
    <row r="536" spans="1:25" x14ac:dyDescent="0.2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 t="shared" si="32"/>
        <v>1</v>
      </c>
      <c r="W536">
        <f t="shared" si="33"/>
        <v>0</v>
      </c>
      <c r="X536" t="str">
        <f t="shared" si="34"/>
        <v>0-12 Months</v>
      </c>
      <c r="Y536" s="1" t="str">
        <f t="shared" si="35"/>
        <v>High</v>
      </c>
    </row>
    <row r="537" spans="1:25" x14ac:dyDescent="0.2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 t="shared" si="32"/>
        <v>0</v>
      </c>
      <c r="W537">
        <f t="shared" si="33"/>
        <v>1</v>
      </c>
      <c r="X537" t="str">
        <f t="shared" si="34"/>
        <v>0-12 Months</v>
      </c>
      <c r="Y537" s="1" t="str">
        <f t="shared" si="35"/>
        <v>High</v>
      </c>
    </row>
    <row r="538" spans="1:25" x14ac:dyDescent="0.2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 t="shared" si="32"/>
        <v>0</v>
      </c>
      <c r="W538">
        <f t="shared" si="33"/>
        <v>1</v>
      </c>
      <c r="X538" t="str">
        <f t="shared" si="34"/>
        <v>49+ Months</v>
      </c>
      <c r="Y538" s="1" t="str">
        <f t="shared" si="35"/>
        <v>High</v>
      </c>
    </row>
    <row r="539" spans="1:25" x14ac:dyDescent="0.2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 t="shared" si="32"/>
        <v>0</v>
      </c>
      <c r="W539">
        <f t="shared" si="33"/>
        <v>1</v>
      </c>
      <c r="X539" t="str">
        <f t="shared" si="34"/>
        <v>25-48 Months</v>
      </c>
      <c r="Y539" s="1" t="str">
        <f t="shared" si="35"/>
        <v>Medium</v>
      </c>
    </row>
    <row r="540" spans="1:25" x14ac:dyDescent="0.2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 t="shared" si="32"/>
        <v>0</v>
      </c>
      <c r="W540">
        <f t="shared" si="33"/>
        <v>1</v>
      </c>
      <c r="X540" t="str">
        <f t="shared" si="34"/>
        <v>49+ Months</v>
      </c>
      <c r="Y540" s="1" t="str">
        <f t="shared" si="35"/>
        <v>High</v>
      </c>
    </row>
    <row r="541" spans="1:25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 t="shared" si="32"/>
        <v>0</v>
      </c>
      <c r="W541">
        <f t="shared" si="33"/>
        <v>1</v>
      </c>
      <c r="X541" t="str">
        <f t="shared" si="34"/>
        <v>49+ Months</v>
      </c>
      <c r="Y541" s="1" t="str">
        <f t="shared" si="35"/>
        <v>High</v>
      </c>
    </row>
    <row r="542" spans="1:25" x14ac:dyDescent="0.2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 t="shared" si="32"/>
        <v>0</v>
      </c>
      <c r="W542">
        <f t="shared" si="33"/>
        <v>1</v>
      </c>
      <c r="X542" t="str">
        <f t="shared" si="34"/>
        <v>49+ Months</v>
      </c>
      <c r="Y542" s="1" t="str">
        <f t="shared" si="35"/>
        <v>High</v>
      </c>
    </row>
    <row r="543" spans="1:25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 t="shared" si="32"/>
        <v>0</v>
      </c>
      <c r="W543">
        <f t="shared" si="33"/>
        <v>1</v>
      </c>
      <c r="X543" t="str">
        <f t="shared" si="34"/>
        <v>0-12 Months</v>
      </c>
      <c r="Y543" s="1" t="str">
        <f t="shared" si="35"/>
        <v>Medium</v>
      </c>
    </row>
    <row r="544" spans="1:25" x14ac:dyDescent="0.2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 t="shared" si="32"/>
        <v>0</v>
      </c>
      <c r="W544">
        <f t="shared" si="33"/>
        <v>1</v>
      </c>
      <c r="X544" t="str">
        <f t="shared" si="34"/>
        <v>0-12 Months</v>
      </c>
      <c r="Y544" s="1" t="str">
        <f t="shared" si="35"/>
        <v>Low</v>
      </c>
    </row>
    <row r="545" spans="1:25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 t="shared" si="32"/>
        <v>1</v>
      </c>
      <c r="W545">
        <f t="shared" si="33"/>
        <v>0</v>
      </c>
      <c r="X545" t="str">
        <f t="shared" si="34"/>
        <v>0-12 Months</v>
      </c>
      <c r="Y545" s="1" t="str">
        <f t="shared" si="35"/>
        <v>High</v>
      </c>
    </row>
    <row r="546" spans="1:25" x14ac:dyDescent="0.2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 t="shared" si="32"/>
        <v>1</v>
      </c>
      <c r="W546">
        <f t="shared" si="33"/>
        <v>0</v>
      </c>
      <c r="X546" t="str">
        <f t="shared" si="34"/>
        <v>13-24 Months</v>
      </c>
      <c r="Y546" s="1" t="str">
        <f t="shared" si="35"/>
        <v>Low</v>
      </c>
    </row>
    <row r="547" spans="1:25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 t="shared" si="32"/>
        <v>0</v>
      </c>
      <c r="W547">
        <f t="shared" si="33"/>
        <v>1</v>
      </c>
      <c r="X547" t="str">
        <f t="shared" si="34"/>
        <v>25-48 Months</v>
      </c>
      <c r="Y547" s="1" t="str">
        <f t="shared" si="35"/>
        <v>Medium</v>
      </c>
    </row>
    <row r="548" spans="1:25" x14ac:dyDescent="0.2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 t="shared" si="32"/>
        <v>1</v>
      </c>
      <c r="W548">
        <f t="shared" si="33"/>
        <v>0</v>
      </c>
      <c r="X548" t="str">
        <f t="shared" si="34"/>
        <v>25-48 Months</v>
      </c>
      <c r="Y548" s="1" t="str">
        <f t="shared" si="35"/>
        <v>High</v>
      </c>
    </row>
    <row r="549" spans="1:25" x14ac:dyDescent="0.2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 t="shared" si="32"/>
        <v>0</v>
      </c>
      <c r="W549">
        <f t="shared" si="33"/>
        <v>1</v>
      </c>
      <c r="X549" t="str">
        <f t="shared" si="34"/>
        <v>49+ Months</v>
      </c>
      <c r="Y549" s="1" t="str">
        <f t="shared" si="35"/>
        <v>High</v>
      </c>
    </row>
    <row r="550" spans="1:25" x14ac:dyDescent="0.2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 t="shared" si="32"/>
        <v>0</v>
      </c>
      <c r="W550">
        <f t="shared" si="33"/>
        <v>1</v>
      </c>
      <c r="X550" t="str">
        <f t="shared" si="34"/>
        <v>49+ Months</v>
      </c>
      <c r="Y550" s="1" t="str">
        <f t="shared" si="35"/>
        <v>High</v>
      </c>
    </row>
    <row r="551" spans="1:25" x14ac:dyDescent="0.2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 t="shared" si="32"/>
        <v>0</v>
      </c>
      <c r="W551">
        <f t="shared" si="33"/>
        <v>1</v>
      </c>
      <c r="X551" t="str">
        <f t="shared" si="34"/>
        <v>13-24 Months</v>
      </c>
      <c r="Y551" s="1" t="str">
        <f t="shared" si="35"/>
        <v>Low</v>
      </c>
    </row>
    <row r="552" spans="1:25" x14ac:dyDescent="0.2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 t="shared" si="32"/>
        <v>0</v>
      </c>
      <c r="W552">
        <f t="shared" si="33"/>
        <v>1</v>
      </c>
      <c r="X552" t="str">
        <f t="shared" si="34"/>
        <v>49+ Months</v>
      </c>
      <c r="Y552" s="1" t="str">
        <f t="shared" si="35"/>
        <v>High</v>
      </c>
    </row>
    <row r="553" spans="1:25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 t="shared" si="32"/>
        <v>0</v>
      </c>
      <c r="W553">
        <f t="shared" si="33"/>
        <v>1</v>
      </c>
      <c r="X553" t="str">
        <f t="shared" si="34"/>
        <v>49+ Months</v>
      </c>
      <c r="Y553" s="1" t="str">
        <f t="shared" si="35"/>
        <v>High</v>
      </c>
    </row>
    <row r="554" spans="1:25" x14ac:dyDescent="0.2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 t="shared" si="32"/>
        <v>0</v>
      </c>
      <c r="W554">
        <f t="shared" si="33"/>
        <v>1</v>
      </c>
      <c r="X554" t="str">
        <f t="shared" si="34"/>
        <v>49+ Months</v>
      </c>
      <c r="Y554" s="1" t="str">
        <f t="shared" si="35"/>
        <v>Low</v>
      </c>
    </row>
    <row r="555" spans="1:25" x14ac:dyDescent="0.2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 t="shared" si="32"/>
        <v>0</v>
      </c>
      <c r="W555">
        <f t="shared" si="33"/>
        <v>1</v>
      </c>
      <c r="X555" t="str">
        <f t="shared" si="34"/>
        <v>13-24 Months</v>
      </c>
      <c r="Y555" s="1" t="str">
        <f t="shared" si="35"/>
        <v>Low</v>
      </c>
    </row>
    <row r="556" spans="1:25" x14ac:dyDescent="0.2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 t="shared" si="32"/>
        <v>1</v>
      </c>
      <c r="W556">
        <f t="shared" si="33"/>
        <v>0</v>
      </c>
      <c r="X556" t="str">
        <f t="shared" si="34"/>
        <v>25-48 Months</v>
      </c>
      <c r="Y556" s="1" t="str">
        <f t="shared" si="35"/>
        <v>High</v>
      </c>
    </row>
    <row r="557" spans="1:25" x14ac:dyDescent="0.2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 t="shared" si="32"/>
        <v>0</v>
      </c>
      <c r="W557">
        <f t="shared" si="33"/>
        <v>1</v>
      </c>
      <c r="X557" t="str">
        <f t="shared" si="34"/>
        <v>49+ Months</v>
      </c>
      <c r="Y557" s="1" t="str">
        <f t="shared" si="35"/>
        <v>Medium</v>
      </c>
    </row>
    <row r="558" spans="1:25" x14ac:dyDescent="0.2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 t="shared" si="32"/>
        <v>0</v>
      </c>
      <c r="W558">
        <f t="shared" si="33"/>
        <v>1</v>
      </c>
      <c r="X558" t="str">
        <f t="shared" si="34"/>
        <v>0-12 Months</v>
      </c>
      <c r="Y558" s="1" t="str">
        <f t="shared" si="35"/>
        <v>Low</v>
      </c>
    </row>
    <row r="559" spans="1:25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 t="shared" si="32"/>
        <v>0</v>
      </c>
      <c r="W559">
        <f t="shared" si="33"/>
        <v>1</v>
      </c>
      <c r="X559" t="str">
        <f t="shared" si="34"/>
        <v>25-48 Months</v>
      </c>
      <c r="Y559" s="1" t="str">
        <f t="shared" si="35"/>
        <v>Medium</v>
      </c>
    </row>
    <row r="560" spans="1:25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 t="shared" si="32"/>
        <v>0</v>
      </c>
      <c r="W560">
        <f t="shared" si="33"/>
        <v>1</v>
      </c>
      <c r="X560" t="str">
        <f t="shared" si="34"/>
        <v>0-12 Months</v>
      </c>
      <c r="Y560" s="1" t="str">
        <f t="shared" si="35"/>
        <v>Medium</v>
      </c>
    </row>
    <row r="561" spans="1:25" x14ac:dyDescent="0.2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 t="shared" si="32"/>
        <v>0</v>
      </c>
      <c r="W561">
        <f t="shared" si="33"/>
        <v>1</v>
      </c>
      <c r="X561" t="str">
        <f t="shared" si="34"/>
        <v>0-12 Months</v>
      </c>
      <c r="Y561" s="1" t="str">
        <f t="shared" si="35"/>
        <v>Low</v>
      </c>
    </row>
    <row r="562" spans="1:25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 t="shared" si="32"/>
        <v>0</v>
      </c>
      <c r="W562">
        <f t="shared" si="33"/>
        <v>1</v>
      </c>
      <c r="X562" t="str">
        <f t="shared" si="34"/>
        <v>49+ Months</v>
      </c>
      <c r="Y562" s="1" t="str">
        <f t="shared" si="35"/>
        <v>High</v>
      </c>
    </row>
    <row r="563" spans="1:25" x14ac:dyDescent="0.2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 t="shared" si="32"/>
        <v>0</v>
      </c>
      <c r="W563">
        <f t="shared" si="33"/>
        <v>1</v>
      </c>
      <c r="X563" t="str">
        <f t="shared" si="34"/>
        <v>0-12 Months</v>
      </c>
      <c r="Y563" s="1" t="str">
        <f t="shared" si="35"/>
        <v>Low</v>
      </c>
    </row>
    <row r="564" spans="1:25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 t="shared" si="32"/>
        <v>0</v>
      </c>
      <c r="W564">
        <f t="shared" si="33"/>
        <v>1</v>
      </c>
      <c r="X564" t="str">
        <f t="shared" si="34"/>
        <v>0-12 Months</v>
      </c>
      <c r="Y564" s="1" t="str">
        <f t="shared" si="35"/>
        <v>Medium</v>
      </c>
    </row>
    <row r="565" spans="1:25" x14ac:dyDescent="0.2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 t="shared" si="32"/>
        <v>0</v>
      </c>
      <c r="W565">
        <f t="shared" si="33"/>
        <v>1</v>
      </c>
      <c r="X565" t="str">
        <f t="shared" si="34"/>
        <v>49+ Months</v>
      </c>
      <c r="Y565" s="1" t="str">
        <f t="shared" si="35"/>
        <v>High</v>
      </c>
    </row>
    <row r="566" spans="1:25" x14ac:dyDescent="0.2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 t="shared" si="32"/>
        <v>0</v>
      </c>
      <c r="W566">
        <f t="shared" si="33"/>
        <v>1</v>
      </c>
      <c r="X566" t="str">
        <f t="shared" si="34"/>
        <v>0-12 Months</v>
      </c>
      <c r="Y566" s="1" t="str">
        <f t="shared" si="35"/>
        <v>Medium</v>
      </c>
    </row>
    <row r="567" spans="1:25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 t="shared" si="32"/>
        <v>0</v>
      </c>
      <c r="W567">
        <f t="shared" si="33"/>
        <v>1</v>
      </c>
      <c r="X567" t="str">
        <f t="shared" si="34"/>
        <v>49+ Months</v>
      </c>
      <c r="Y567" s="1" t="str">
        <f t="shared" si="35"/>
        <v>Medium</v>
      </c>
    </row>
    <row r="568" spans="1:25" x14ac:dyDescent="0.2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 t="shared" si="32"/>
        <v>0</v>
      </c>
      <c r="W568">
        <f t="shared" si="33"/>
        <v>1</v>
      </c>
      <c r="X568" t="str">
        <f t="shared" si="34"/>
        <v>13-24 Months</v>
      </c>
      <c r="Y568" s="1" t="str">
        <f t="shared" si="35"/>
        <v>High</v>
      </c>
    </row>
    <row r="569" spans="1:25" x14ac:dyDescent="0.2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 t="shared" si="32"/>
        <v>0</v>
      </c>
      <c r="W569">
        <f t="shared" si="33"/>
        <v>1</v>
      </c>
      <c r="X569" t="str">
        <f t="shared" si="34"/>
        <v>49+ Months</v>
      </c>
      <c r="Y569" s="1" t="str">
        <f t="shared" si="35"/>
        <v>Medium</v>
      </c>
    </row>
    <row r="570" spans="1:25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 t="shared" si="32"/>
        <v>1</v>
      </c>
      <c r="W570">
        <f t="shared" si="33"/>
        <v>0</v>
      </c>
      <c r="X570" t="str">
        <f t="shared" si="34"/>
        <v>25-48 Months</v>
      </c>
      <c r="Y570" s="1" t="str">
        <f t="shared" si="35"/>
        <v>High</v>
      </c>
    </row>
    <row r="571" spans="1:25" x14ac:dyDescent="0.2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 t="shared" si="32"/>
        <v>0</v>
      </c>
      <c r="W571">
        <f t="shared" si="33"/>
        <v>1</v>
      </c>
      <c r="X571" t="str">
        <f t="shared" si="34"/>
        <v>0-12 Months</v>
      </c>
      <c r="Y571" s="1" t="str">
        <f t="shared" si="35"/>
        <v>Low</v>
      </c>
    </row>
    <row r="572" spans="1:25" x14ac:dyDescent="0.2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 t="shared" si="32"/>
        <v>0</v>
      </c>
      <c r="W572">
        <f t="shared" si="33"/>
        <v>1</v>
      </c>
      <c r="X572" t="str">
        <f t="shared" si="34"/>
        <v>49+ Months</v>
      </c>
      <c r="Y572" s="1" t="str">
        <f t="shared" si="35"/>
        <v>Low</v>
      </c>
    </row>
    <row r="573" spans="1:25" x14ac:dyDescent="0.2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 t="shared" si="32"/>
        <v>0</v>
      </c>
      <c r="W573">
        <f t="shared" si="33"/>
        <v>1</v>
      </c>
      <c r="X573" t="str">
        <f t="shared" si="34"/>
        <v>25-48 Months</v>
      </c>
      <c r="Y573" s="1" t="str">
        <f t="shared" si="35"/>
        <v>Medium</v>
      </c>
    </row>
    <row r="574" spans="1:25" x14ac:dyDescent="0.2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 t="shared" si="32"/>
        <v>0</v>
      </c>
      <c r="W574">
        <f t="shared" si="33"/>
        <v>1</v>
      </c>
      <c r="X574" t="str">
        <f t="shared" si="34"/>
        <v>0-12 Months</v>
      </c>
      <c r="Y574" s="1" t="str">
        <f t="shared" si="35"/>
        <v>Medium</v>
      </c>
    </row>
    <row r="575" spans="1:25" x14ac:dyDescent="0.2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 t="shared" si="32"/>
        <v>1</v>
      </c>
      <c r="W575">
        <f t="shared" si="33"/>
        <v>0</v>
      </c>
      <c r="X575" t="str">
        <f t="shared" si="34"/>
        <v>49+ Months</v>
      </c>
      <c r="Y575" s="1" t="str">
        <f t="shared" si="35"/>
        <v>High</v>
      </c>
    </row>
    <row r="576" spans="1:25" x14ac:dyDescent="0.2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 t="shared" si="32"/>
        <v>0</v>
      </c>
      <c r="W576">
        <f t="shared" si="33"/>
        <v>1</v>
      </c>
      <c r="X576" t="str">
        <f t="shared" si="34"/>
        <v>25-48 Months</v>
      </c>
      <c r="Y576" s="1" t="str">
        <f t="shared" si="35"/>
        <v>High</v>
      </c>
    </row>
    <row r="577" spans="1:25" x14ac:dyDescent="0.2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 t="shared" si="32"/>
        <v>0</v>
      </c>
      <c r="W577">
        <f t="shared" si="33"/>
        <v>1</v>
      </c>
      <c r="X577" t="str">
        <f t="shared" si="34"/>
        <v>49+ Months</v>
      </c>
      <c r="Y577" s="1" t="str">
        <f t="shared" si="35"/>
        <v>High</v>
      </c>
    </row>
    <row r="578" spans="1:25" x14ac:dyDescent="0.2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 t="shared" ref="V578:V641" si="36">IF(U578="Yes",1,0)</f>
        <v>0</v>
      </c>
      <c r="W578">
        <f t="shared" ref="W578:W641" si="37">IF(U578="No",1,0)</f>
        <v>1</v>
      </c>
      <c r="X578" t="str">
        <f t="shared" ref="X578:X641" si="38">IF(F578&lt;=12,"0-12 Months",IF(F578&lt;=24,"13-24 Months",IF(F578&lt;=48,"25-48 Months","49+ Months")))</f>
        <v>25-48 Months</v>
      </c>
      <c r="Y578" s="1" t="str">
        <f t="shared" ref="Y578:Y641" si="39">IF(S578&lt;50,"Low",IF(S578&lt;80,"Medium","High"))</f>
        <v>High</v>
      </c>
    </row>
    <row r="579" spans="1:25" x14ac:dyDescent="0.2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 t="shared" si="36"/>
        <v>0</v>
      </c>
      <c r="W579">
        <f t="shared" si="37"/>
        <v>1</v>
      </c>
      <c r="X579" t="str">
        <f t="shared" si="38"/>
        <v>0-12 Months</v>
      </c>
      <c r="Y579" s="1" t="str">
        <f t="shared" si="39"/>
        <v>Medium</v>
      </c>
    </row>
    <row r="580" spans="1:25" x14ac:dyDescent="0.2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 t="shared" si="36"/>
        <v>0</v>
      </c>
      <c r="W580">
        <f t="shared" si="37"/>
        <v>1</v>
      </c>
      <c r="X580" t="str">
        <f t="shared" si="38"/>
        <v>25-48 Months</v>
      </c>
      <c r="Y580" s="1" t="str">
        <f t="shared" si="39"/>
        <v>High</v>
      </c>
    </row>
    <row r="581" spans="1:25" x14ac:dyDescent="0.2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 t="shared" si="36"/>
        <v>0</v>
      </c>
      <c r="W581">
        <f t="shared" si="37"/>
        <v>1</v>
      </c>
      <c r="X581" t="str">
        <f t="shared" si="38"/>
        <v>0-12 Months</v>
      </c>
      <c r="Y581" s="1" t="str">
        <f t="shared" si="39"/>
        <v>Low</v>
      </c>
    </row>
    <row r="582" spans="1:25" x14ac:dyDescent="0.2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 t="shared" si="36"/>
        <v>1</v>
      </c>
      <c r="W582">
        <f t="shared" si="37"/>
        <v>0</v>
      </c>
      <c r="X582" t="str">
        <f t="shared" si="38"/>
        <v>0-12 Months</v>
      </c>
      <c r="Y582" s="1" t="str">
        <f t="shared" si="39"/>
        <v>Low</v>
      </c>
    </row>
    <row r="583" spans="1:25" x14ac:dyDescent="0.2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 t="shared" si="36"/>
        <v>1</v>
      </c>
      <c r="W583">
        <f t="shared" si="37"/>
        <v>0</v>
      </c>
      <c r="X583" t="str">
        <f t="shared" si="38"/>
        <v>0-12 Months</v>
      </c>
      <c r="Y583" s="1" t="str">
        <f t="shared" si="39"/>
        <v>Medium</v>
      </c>
    </row>
    <row r="584" spans="1:25" x14ac:dyDescent="0.2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 t="shared" si="36"/>
        <v>1</v>
      </c>
      <c r="W584">
        <f t="shared" si="37"/>
        <v>0</v>
      </c>
      <c r="X584" t="str">
        <f t="shared" si="38"/>
        <v>0-12 Months</v>
      </c>
      <c r="Y584" s="1" t="str">
        <f t="shared" si="39"/>
        <v>High</v>
      </c>
    </row>
    <row r="585" spans="1:25" x14ac:dyDescent="0.2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 t="shared" si="36"/>
        <v>0</v>
      </c>
      <c r="W585">
        <f t="shared" si="37"/>
        <v>1</v>
      </c>
      <c r="X585" t="str">
        <f t="shared" si="38"/>
        <v>0-12 Months</v>
      </c>
      <c r="Y585" s="1" t="str">
        <f t="shared" si="39"/>
        <v>Low</v>
      </c>
    </row>
    <row r="586" spans="1:25" x14ac:dyDescent="0.2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 t="shared" si="36"/>
        <v>0</v>
      </c>
      <c r="W586">
        <f t="shared" si="37"/>
        <v>1</v>
      </c>
      <c r="X586" t="str">
        <f t="shared" si="38"/>
        <v>0-12 Months</v>
      </c>
      <c r="Y586" s="1" t="str">
        <f t="shared" si="39"/>
        <v>Low</v>
      </c>
    </row>
    <row r="587" spans="1:25" x14ac:dyDescent="0.2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 t="shared" si="36"/>
        <v>1</v>
      </c>
      <c r="W587">
        <f t="shared" si="37"/>
        <v>0</v>
      </c>
      <c r="X587" t="str">
        <f t="shared" si="38"/>
        <v>0-12 Months</v>
      </c>
      <c r="Y587" s="1" t="str">
        <f t="shared" si="39"/>
        <v>High</v>
      </c>
    </row>
    <row r="588" spans="1:25" x14ac:dyDescent="0.2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 t="shared" si="36"/>
        <v>0</v>
      </c>
      <c r="W588">
        <f t="shared" si="37"/>
        <v>1</v>
      </c>
      <c r="X588" t="str">
        <f t="shared" si="38"/>
        <v>49+ Months</v>
      </c>
      <c r="Y588" s="1" t="str">
        <f t="shared" si="39"/>
        <v>Medium</v>
      </c>
    </row>
    <row r="589" spans="1:25" x14ac:dyDescent="0.2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 t="shared" si="36"/>
        <v>0</v>
      </c>
      <c r="W589">
        <f t="shared" si="37"/>
        <v>1</v>
      </c>
      <c r="X589" t="str">
        <f t="shared" si="38"/>
        <v>0-12 Months</v>
      </c>
      <c r="Y589" s="1" t="str">
        <f t="shared" si="39"/>
        <v>Low</v>
      </c>
    </row>
    <row r="590" spans="1:25" x14ac:dyDescent="0.2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 t="shared" si="36"/>
        <v>0</v>
      </c>
      <c r="W590">
        <f t="shared" si="37"/>
        <v>1</v>
      </c>
      <c r="X590" t="str">
        <f t="shared" si="38"/>
        <v>49+ Months</v>
      </c>
      <c r="Y590" s="1" t="str">
        <f t="shared" si="39"/>
        <v>High</v>
      </c>
    </row>
    <row r="591" spans="1:25" x14ac:dyDescent="0.2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 t="shared" si="36"/>
        <v>0</v>
      </c>
      <c r="W591">
        <f t="shared" si="37"/>
        <v>1</v>
      </c>
      <c r="X591" t="str">
        <f t="shared" si="38"/>
        <v>49+ Months</v>
      </c>
      <c r="Y591" s="1" t="str">
        <f t="shared" si="39"/>
        <v>High</v>
      </c>
    </row>
    <row r="592" spans="1:25" x14ac:dyDescent="0.2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 t="shared" si="36"/>
        <v>0</v>
      </c>
      <c r="W592">
        <f t="shared" si="37"/>
        <v>1</v>
      </c>
      <c r="X592" t="str">
        <f t="shared" si="38"/>
        <v>49+ Months</v>
      </c>
      <c r="Y592" s="1" t="str">
        <f t="shared" si="39"/>
        <v>High</v>
      </c>
    </row>
    <row r="593" spans="1:25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 t="shared" si="36"/>
        <v>0</v>
      </c>
      <c r="W593">
        <f t="shared" si="37"/>
        <v>1</v>
      </c>
      <c r="X593" t="str">
        <f t="shared" si="38"/>
        <v>25-48 Months</v>
      </c>
      <c r="Y593" s="1" t="str">
        <f t="shared" si="39"/>
        <v>Low</v>
      </c>
    </row>
    <row r="594" spans="1:25" x14ac:dyDescent="0.2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 t="shared" si="36"/>
        <v>0</v>
      </c>
      <c r="W594">
        <f t="shared" si="37"/>
        <v>1</v>
      </c>
      <c r="X594" t="str">
        <f t="shared" si="38"/>
        <v>49+ Months</v>
      </c>
      <c r="Y594" s="1" t="str">
        <f t="shared" si="39"/>
        <v>High</v>
      </c>
    </row>
    <row r="595" spans="1:25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 t="shared" si="36"/>
        <v>0</v>
      </c>
      <c r="W595">
        <f t="shared" si="37"/>
        <v>1</v>
      </c>
      <c r="X595" t="str">
        <f t="shared" si="38"/>
        <v>25-48 Months</v>
      </c>
      <c r="Y595" s="1" t="str">
        <f t="shared" si="39"/>
        <v>High</v>
      </c>
    </row>
    <row r="596" spans="1:25" x14ac:dyDescent="0.2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 t="shared" si="36"/>
        <v>0</v>
      </c>
      <c r="W596">
        <f t="shared" si="37"/>
        <v>1</v>
      </c>
      <c r="X596" t="str">
        <f t="shared" si="38"/>
        <v>0-12 Months</v>
      </c>
      <c r="Y596" s="1" t="str">
        <f t="shared" si="39"/>
        <v>Low</v>
      </c>
    </row>
    <row r="597" spans="1:25" x14ac:dyDescent="0.2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 t="shared" si="36"/>
        <v>1</v>
      </c>
      <c r="W597">
        <f t="shared" si="37"/>
        <v>0</v>
      </c>
      <c r="X597" t="str">
        <f t="shared" si="38"/>
        <v>0-12 Months</v>
      </c>
      <c r="Y597" s="1" t="str">
        <f t="shared" si="39"/>
        <v>Medium</v>
      </c>
    </row>
    <row r="598" spans="1:25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 t="shared" si="36"/>
        <v>0</v>
      </c>
      <c r="W598">
        <f t="shared" si="37"/>
        <v>1</v>
      </c>
      <c r="X598" t="str">
        <f t="shared" si="38"/>
        <v>13-24 Months</v>
      </c>
      <c r="Y598" s="1" t="str">
        <f t="shared" si="39"/>
        <v>Medium</v>
      </c>
    </row>
    <row r="599" spans="1:25" x14ac:dyDescent="0.2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 t="shared" si="36"/>
        <v>0</v>
      </c>
      <c r="W599">
        <f t="shared" si="37"/>
        <v>1</v>
      </c>
      <c r="X599" t="str">
        <f t="shared" si="38"/>
        <v>0-12 Months</v>
      </c>
      <c r="Y599" s="1" t="str">
        <f t="shared" si="39"/>
        <v>Medium</v>
      </c>
    </row>
    <row r="600" spans="1:25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 t="shared" si="36"/>
        <v>0</v>
      </c>
      <c r="W600">
        <f t="shared" si="37"/>
        <v>1</v>
      </c>
      <c r="X600" t="str">
        <f t="shared" si="38"/>
        <v>49+ Months</v>
      </c>
      <c r="Y600" s="1" t="str">
        <f t="shared" si="39"/>
        <v>High</v>
      </c>
    </row>
    <row r="601" spans="1:25" x14ac:dyDescent="0.2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 t="shared" si="36"/>
        <v>0</v>
      </c>
      <c r="W601">
        <f t="shared" si="37"/>
        <v>1</v>
      </c>
      <c r="X601" t="str">
        <f t="shared" si="38"/>
        <v>49+ Months</v>
      </c>
      <c r="Y601" s="1" t="str">
        <f t="shared" si="39"/>
        <v>Low</v>
      </c>
    </row>
    <row r="602" spans="1:25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 t="shared" si="36"/>
        <v>0</v>
      </c>
      <c r="W602">
        <f t="shared" si="37"/>
        <v>1</v>
      </c>
      <c r="X602" t="str">
        <f t="shared" si="38"/>
        <v>13-24 Months</v>
      </c>
      <c r="Y602" s="1" t="str">
        <f t="shared" si="39"/>
        <v>Medium</v>
      </c>
    </row>
    <row r="603" spans="1:25" x14ac:dyDescent="0.2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 t="shared" si="36"/>
        <v>0</v>
      </c>
      <c r="W603">
        <f t="shared" si="37"/>
        <v>1</v>
      </c>
      <c r="X603" t="str">
        <f t="shared" si="38"/>
        <v>0-12 Months</v>
      </c>
      <c r="Y603" s="1" t="str">
        <f t="shared" si="39"/>
        <v>Low</v>
      </c>
    </row>
    <row r="604" spans="1:25" x14ac:dyDescent="0.2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 t="shared" si="36"/>
        <v>0</v>
      </c>
      <c r="W604">
        <f t="shared" si="37"/>
        <v>1</v>
      </c>
      <c r="X604" t="str">
        <f t="shared" si="38"/>
        <v>49+ Months</v>
      </c>
      <c r="Y604" s="1" t="str">
        <f t="shared" si="39"/>
        <v>Medium</v>
      </c>
    </row>
    <row r="605" spans="1:25" x14ac:dyDescent="0.2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 t="shared" si="36"/>
        <v>0</v>
      </c>
      <c r="W605">
        <f t="shared" si="37"/>
        <v>1</v>
      </c>
      <c r="X605" t="str">
        <f t="shared" si="38"/>
        <v>25-48 Months</v>
      </c>
      <c r="Y605" s="1" t="str">
        <f t="shared" si="39"/>
        <v>High</v>
      </c>
    </row>
    <row r="606" spans="1:25" x14ac:dyDescent="0.2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 t="shared" si="36"/>
        <v>0</v>
      </c>
      <c r="W606">
        <f t="shared" si="37"/>
        <v>1</v>
      </c>
      <c r="X606" t="str">
        <f t="shared" si="38"/>
        <v>25-48 Months</v>
      </c>
      <c r="Y606" s="1" t="str">
        <f t="shared" si="39"/>
        <v>High</v>
      </c>
    </row>
    <row r="607" spans="1:25" x14ac:dyDescent="0.2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 t="shared" si="36"/>
        <v>0</v>
      </c>
      <c r="W607">
        <f t="shared" si="37"/>
        <v>1</v>
      </c>
      <c r="X607" t="str">
        <f t="shared" si="38"/>
        <v>49+ Months</v>
      </c>
      <c r="Y607" s="1" t="str">
        <f t="shared" si="39"/>
        <v>High</v>
      </c>
    </row>
    <row r="608" spans="1:25" x14ac:dyDescent="0.2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 t="shared" si="36"/>
        <v>0</v>
      </c>
      <c r="W608">
        <f t="shared" si="37"/>
        <v>1</v>
      </c>
      <c r="X608" t="str">
        <f t="shared" si="38"/>
        <v>25-48 Months</v>
      </c>
      <c r="Y608" s="1" t="str">
        <f t="shared" si="39"/>
        <v>High</v>
      </c>
    </row>
    <row r="609" spans="1:25" x14ac:dyDescent="0.2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 t="shared" si="36"/>
        <v>0</v>
      </c>
      <c r="W609">
        <f t="shared" si="37"/>
        <v>1</v>
      </c>
      <c r="X609" t="str">
        <f t="shared" si="38"/>
        <v>49+ Months</v>
      </c>
      <c r="Y609" s="1" t="str">
        <f t="shared" si="39"/>
        <v>Low</v>
      </c>
    </row>
    <row r="610" spans="1:25" x14ac:dyDescent="0.2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 t="shared" si="36"/>
        <v>0</v>
      </c>
      <c r="W610">
        <f t="shared" si="37"/>
        <v>1</v>
      </c>
      <c r="X610" t="str">
        <f t="shared" si="38"/>
        <v>49+ Months</v>
      </c>
      <c r="Y610" s="1" t="str">
        <f t="shared" si="39"/>
        <v>High</v>
      </c>
    </row>
    <row r="611" spans="1:25" x14ac:dyDescent="0.2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 t="shared" si="36"/>
        <v>1</v>
      </c>
      <c r="W611">
        <f t="shared" si="37"/>
        <v>0</v>
      </c>
      <c r="X611" t="str">
        <f t="shared" si="38"/>
        <v>49+ Months</v>
      </c>
      <c r="Y611" s="1" t="str">
        <f t="shared" si="39"/>
        <v>High</v>
      </c>
    </row>
    <row r="612" spans="1:25" x14ac:dyDescent="0.2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 t="shared" si="36"/>
        <v>1</v>
      </c>
      <c r="W612">
        <f t="shared" si="37"/>
        <v>0</v>
      </c>
      <c r="X612" t="str">
        <f t="shared" si="38"/>
        <v>0-12 Months</v>
      </c>
      <c r="Y612" s="1" t="str">
        <f t="shared" si="39"/>
        <v>Low</v>
      </c>
    </row>
    <row r="613" spans="1:25" x14ac:dyDescent="0.2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 t="shared" si="36"/>
        <v>1</v>
      </c>
      <c r="W613">
        <f t="shared" si="37"/>
        <v>0</v>
      </c>
      <c r="X613" t="str">
        <f t="shared" si="38"/>
        <v>0-12 Months</v>
      </c>
      <c r="Y613" s="1" t="str">
        <f t="shared" si="39"/>
        <v>Medium</v>
      </c>
    </row>
    <row r="614" spans="1:25" x14ac:dyDescent="0.2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 t="shared" si="36"/>
        <v>0</v>
      </c>
      <c r="W614">
        <f t="shared" si="37"/>
        <v>1</v>
      </c>
      <c r="X614" t="str">
        <f t="shared" si="38"/>
        <v>49+ Months</v>
      </c>
      <c r="Y614" s="1" t="str">
        <f t="shared" si="39"/>
        <v>Low</v>
      </c>
    </row>
    <row r="615" spans="1:25" x14ac:dyDescent="0.2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 t="shared" si="36"/>
        <v>0</v>
      </c>
      <c r="W615">
        <f t="shared" si="37"/>
        <v>1</v>
      </c>
      <c r="X615" t="str">
        <f t="shared" si="38"/>
        <v>25-48 Months</v>
      </c>
      <c r="Y615" s="1" t="str">
        <f t="shared" si="39"/>
        <v>High</v>
      </c>
    </row>
    <row r="616" spans="1:25" x14ac:dyDescent="0.2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 t="shared" si="36"/>
        <v>0</v>
      </c>
      <c r="W616">
        <f t="shared" si="37"/>
        <v>1</v>
      </c>
      <c r="X616" t="str">
        <f t="shared" si="38"/>
        <v>49+ Months</v>
      </c>
      <c r="Y616" s="1" t="str">
        <f t="shared" si="39"/>
        <v>Medium</v>
      </c>
    </row>
    <row r="617" spans="1:25" x14ac:dyDescent="0.2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 t="shared" si="36"/>
        <v>0</v>
      </c>
      <c r="W617">
        <f t="shared" si="37"/>
        <v>1</v>
      </c>
      <c r="X617" t="str">
        <f t="shared" si="38"/>
        <v>13-24 Months</v>
      </c>
      <c r="Y617" s="1" t="str">
        <f t="shared" si="39"/>
        <v>Low</v>
      </c>
    </row>
    <row r="618" spans="1:25" x14ac:dyDescent="0.2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 t="shared" si="36"/>
        <v>0</v>
      </c>
      <c r="W618">
        <f t="shared" si="37"/>
        <v>1</v>
      </c>
      <c r="X618" t="str">
        <f t="shared" si="38"/>
        <v>0-12 Months</v>
      </c>
      <c r="Y618" s="1" t="str">
        <f t="shared" si="39"/>
        <v>Low</v>
      </c>
    </row>
    <row r="619" spans="1:25" x14ac:dyDescent="0.2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 t="shared" si="36"/>
        <v>0</v>
      </c>
      <c r="W619">
        <f t="shared" si="37"/>
        <v>1</v>
      </c>
      <c r="X619" t="str">
        <f t="shared" si="38"/>
        <v>49+ Months</v>
      </c>
      <c r="Y619" s="1" t="str">
        <f t="shared" si="39"/>
        <v>High</v>
      </c>
    </row>
    <row r="620" spans="1:25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 t="shared" si="36"/>
        <v>0</v>
      </c>
      <c r="W620">
        <f t="shared" si="37"/>
        <v>1</v>
      </c>
      <c r="X620" t="str">
        <f t="shared" si="38"/>
        <v>49+ Months</v>
      </c>
      <c r="Y620" s="1" t="str">
        <f t="shared" si="39"/>
        <v>High</v>
      </c>
    </row>
    <row r="621" spans="1:25" x14ac:dyDescent="0.2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 t="shared" si="36"/>
        <v>0</v>
      </c>
      <c r="W621">
        <f t="shared" si="37"/>
        <v>1</v>
      </c>
      <c r="X621" t="str">
        <f t="shared" si="38"/>
        <v>0-12 Months</v>
      </c>
      <c r="Y621" s="1" t="str">
        <f t="shared" si="39"/>
        <v>Medium</v>
      </c>
    </row>
    <row r="622" spans="1:25" x14ac:dyDescent="0.2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 t="shared" si="36"/>
        <v>0</v>
      </c>
      <c r="W622">
        <f t="shared" si="37"/>
        <v>1</v>
      </c>
      <c r="X622" t="str">
        <f t="shared" si="38"/>
        <v>0-12 Months</v>
      </c>
      <c r="Y622" s="1" t="str">
        <f t="shared" si="39"/>
        <v>Low</v>
      </c>
    </row>
    <row r="623" spans="1:25" x14ac:dyDescent="0.2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 t="shared" si="36"/>
        <v>0</v>
      </c>
      <c r="W623">
        <f t="shared" si="37"/>
        <v>1</v>
      </c>
      <c r="X623" t="str">
        <f t="shared" si="38"/>
        <v>49+ Months</v>
      </c>
      <c r="Y623" s="1" t="str">
        <f t="shared" si="39"/>
        <v>High</v>
      </c>
    </row>
    <row r="624" spans="1:25" x14ac:dyDescent="0.2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 t="shared" si="36"/>
        <v>0</v>
      </c>
      <c r="W624">
        <f t="shared" si="37"/>
        <v>1</v>
      </c>
      <c r="X624" t="str">
        <f t="shared" si="38"/>
        <v>25-48 Months</v>
      </c>
      <c r="Y624" s="1" t="str">
        <f t="shared" si="39"/>
        <v>High</v>
      </c>
    </row>
    <row r="625" spans="1:25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 t="shared" si="36"/>
        <v>0</v>
      </c>
      <c r="W625">
        <f t="shared" si="37"/>
        <v>1</v>
      </c>
      <c r="X625" t="str">
        <f t="shared" si="38"/>
        <v>13-24 Months</v>
      </c>
      <c r="Y625" s="1" t="str">
        <f t="shared" si="39"/>
        <v>Low</v>
      </c>
    </row>
    <row r="626" spans="1:25" x14ac:dyDescent="0.2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 t="shared" si="36"/>
        <v>1</v>
      </c>
      <c r="W626">
        <f t="shared" si="37"/>
        <v>0</v>
      </c>
      <c r="X626" t="str">
        <f t="shared" si="38"/>
        <v>0-12 Months</v>
      </c>
      <c r="Y626" s="1" t="str">
        <f t="shared" si="39"/>
        <v>Low</v>
      </c>
    </row>
    <row r="627" spans="1:25" x14ac:dyDescent="0.2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 t="shared" si="36"/>
        <v>0</v>
      </c>
      <c r="W627">
        <f t="shared" si="37"/>
        <v>1</v>
      </c>
      <c r="X627" t="str">
        <f t="shared" si="38"/>
        <v>25-48 Months</v>
      </c>
      <c r="Y627" s="1" t="str">
        <f t="shared" si="39"/>
        <v>High</v>
      </c>
    </row>
    <row r="628" spans="1:25" x14ac:dyDescent="0.2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 t="shared" si="36"/>
        <v>0</v>
      </c>
      <c r="W628">
        <f t="shared" si="37"/>
        <v>1</v>
      </c>
      <c r="X628" t="str">
        <f t="shared" si="38"/>
        <v>13-24 Months</v>
      </c>
      <c r="Y628" s="1" t="str">
        <f t="shared" si="39"/>
        <v>High</v>
      </c>
    </row>
    <row r="629" spans="1:25" x14ac:dyDescent="0.2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 t="shared" si="36"/>
        <v>0</v>
      </c>
      <c r="W629">
        <f t="shared" si="37"/>
        <v>1</v>
      </c>
      <c r="X629" t="str">
        <f t="shared" si="38"/>
        <v>49+ Months</v>
      </c>
      <c r="Y629" s="1" t="str">
        <f t="shared" si="39"/>
        <v>High</v>
      </c>
    </row>
    <row r="630" spans="1:25" x14ac:dyDescent="0.2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 t="shared" si="36"/>
        <v>0</v>
      </c>
      <c r="W630">
        <f t="shared" si="37"/>
        <v>1</v>
      </c>
      <c r="X630" t="str">
        <f t="shared" si="38"/>
        <v>49+ Months</v>
      </c>
      <c r="Y630" s="1" t="str">
        <f t="shared" si="39"/>
        <v>High</v>
      </c>
    </row>
    <row r="631" spans="1:25" x14ac:dyDescent="0.2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 t="shared" si="36"/>
        <v>1</v>
      </c>
      <c r="W631">
        <f t="shared" si="37"/>
        <v>0</v>
      </c>
      <c r="X631" t="str">
        <f t="shared" si="38"/>
        <v>49+ Months</v>
      </c>
      <c r="Y631" s="1" t="str">
        <f t="shared" si="39"/>
        <v>High</v>
      </c>
    </row>
    <row r="632" spans="1:25" x14ac:dyDescent="0.2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 t="shared" si="36"/>
        <v>1</v>
      </c>
      <c r="W632">
        <f t="shared" si="37"/>
        <v>0</v>
      </c>
      <c r="X632" t="str">
        <f t="shared" si="38"/>
        <v>25-48 Months</v>
      </c>
      <c r="Y632" s="1" t="str">
        <f t="shared" si="39"/>
        <v>High</v>
      </c>
    </row>
    <row r="633" spans="1:25" x14ac:dyDescent="0.2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 t="shared" si="36"/>
        <v>0</v>
      </c>
      <c r="W633">
        <f t="shared" si="37"/>
        <v>1</v>
      </c>
      <c r="X633" t="str">
        <f t="shared" si="38"/>
        <v>25-48 Months</v>
      </c>
      <c r="Y633" s="1" t="str">
        <f t="shared" si="39"/>
        <v>Medium</v>
      </c>
    </row>
    <row r="634" spans="1:25" x14ac:dyDescent="0.2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 t="shared" si="36"/>
        <v>0</v>
      </c>
      <c r="W634">
        <f t="shared" si="37"/>
        <v>1</v>
      </c>
      <c r="X634" t="str">
        <f t="shared" si="38"/>
        <v>49+ Months</v>
      </c>
      <c r="Y634" s="1" t="str">
        <f t="shared" si="39"/>
        <v>High</v>
      </c>
    </row>
    <row r="635" spans="1:25" x14ac:dyDescent="0.2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 t="shared" si="36"/>
        <v>0</v>
      </c>
      <c r="W635">
        <f t="shared" si="37"/>
        <v>1</v>
      </c>
      <c r="X635" t="str">
        <f t="shared" si="38"/>
        <v>0-12 Months</v>
      </c>
      <c r="Y635" s="1" t="str">
        <f t="shared" si="39"/>
        <v>Low</v>
      </c>
    </row>
    <row r="636" spans="1:25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 t="shared" si="36"/>
        <v>0</v>
      </c>
      <c r="W636">
        <f t="shared" si="37"/>
        <v>1</v>
      </c>
      <c r="X636" t="str">
        <f t="shared" si="38"/>
        <v>25-48 Months</v>
      </c>
      <c r="Y636" s="1" t="str">
        <f t="shared" si="39"/>
        <v>Medium</v>
      </c>
    </row>
    <row r="637" spans="1:25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 t="shared" si="36"/>
        <v>1</v>
      </c>
      <c r="W637">
        <f t="shared" si="37"/>
        <v>0</v>
      </c>
      <c r="X637" t="str">
        <f t="shared" si="38"/>
        <v>49+ Months</v>
      </c>
      <c r="Y637" s="1" t="str">
        <f t="shared" si="39"/>
        <v>High</v>
      </c>
    </row>
    <row r="638" spans="1:25" x14ac:dyDescent="0.2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 t="shared" si="36"/>
        <v>0</v>
      </c>
      <c r="W638">
        <f t="shared" si="37"/>
        <v>1</v>
      </c>
      <c r="X638" t="str">
        <f t="shared" si="38"/>
        <v>25-48 Months</v>
      </c>
      <c r="Y638" s="1" t="str">
        <f t="shared" si="39"/>
        <v>High</v>
      </c>
    </row>
    <row r="639" spans="1:25" x14ac:dyDescent="0.2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 t="shared" si="36"/>
        <v>0</v>
      </c>
      <c r="W639">
        <f t="shared" si="37"/>
        <v>1</v>
      </c>
      <c r="X639" t="str">
        <f t="shared" si="38"/>
        <v>49+ Months</v>
      </c>
      <c r="Y639" s="1" t="str">
        <f t="shared" si="39"/>
        <v>Medium</v>
      </c>
    </row>
    <row r="640" spans="1:25" x14ac:dyDescent="0.2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 t="shared" si="36"/>
        <v>1</v>
      </c>
      <c r="W640">
        <f t="shared" si="37"/>
        <v>0</v>
      </c>
      <c r="X640" t="str">
        <f t="shared" si="38"/>
        <v>49+ Months</v>
      </c>
      <c r="Y640" s="1" t="str">
        <f t="shared" si="39"/>
        <v>High</v>
      </c>
    </row>
    <row r="641" spans="1:25" x14ac:dyDescent="0.2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 t="shared" si="36"/>
        <v>1</v>
      </c>
      <c r="W641">
        <f t="shared" si="37"/>
        <v>0</v>
      </c>
      <c r="X641" t="str">
        <f t="shared" si="38"/>
        <v>0-12 Months</v>
      </c>
      <c r="Y641" s="1" t="str">
        <f t="shared" si="39"/>
        <v>High</v>
      </c>
    </row>
    <row r="642" spans="1:25" x14ac:dyDescent="0.2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 t="shared" ref="V642:V705" si="40">IF(U642="Yes",1,0)</f>
        <v>0</v>
      </c>
      <c r="W642">
        <f t="shared" ref="W642:W705" si="41">IF(U642="No",1,0)</f>
        <v>1</v>
      </c>
      <c r="X642" t="str">
        <f t="shared" ref="X642:X705" si="42">IF(F642&lt;=12,"0-12 Months",IF(F642&lt;=24,"13-24 Months",IF(F642&lt;=48,"25-48 Months","49+ Months")))</f>
        <v>49+ Months</v>
      </c>
      <c r="Y642" s="1" t="str">
        <f t="shared" ref="Y642:Y705" si="43">IF(S642&lt;50,"Low",IF(S642&lt;80,"Medium","High"))</f>
        <v>Low</v>
      </c>
    </row>
    <row r="643" spans="1:25" x14ac:dyDescent="0.2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 t="shared" si="40"/>
        <v>1</v>
      </c>
      <c r="W643">
        <f t="shared" si="41"/>
        <v>0</v>
      </c>
      <c r="X643" t="str">
        <f t="shared" si="42"/>
        <v>25-48 Months</v>
      </c>
      <c r="Y643" s="1" t="str">
        <f t="shared" si="43"/>
        <v>Medium</v>
      </c>
    </row>
    <row r="644" spans="1:25" x14ac:dyDescent="0.2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 t="shared" si="40"/>
        <v>1</v>
      </c>
      <c r="W644">
        <f t="shared" si="41"/>
        <v>0</v>
      </c>
      <c r="X644" t="str">
        <f t="shared" si="42"/>
        <v>0-12 Months</v>
      </c>
      <c r="Y644" s="1" t="str">
        <f t="shared" si="43"/>
        <v>High</v>
      </c>
    </row>
    <row r="645" spans="1:25" x14ac:dyDescent="0.2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 t="shared" si="40"/>
        <v>0</v>
      </c>
      <c r="W645">
        <f t="shared" si="41"/>
        <v>1</v>
      </c>
      <c r="X645" t="str">
        <f t="shared" si="42"/>
        <v>49+ Months</v>
      </c>
      <c r="Y645" s="1" t="str">
        <f t="shared" si="43"/>
        <v>High</v>
      </c>
    </row>
    <row r="646" spans="1:25" x14ac:dyDescent="0.2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 t="shared" si="40"/>
        <v>0</v>
      </c>
      <c r="W646">
        <f t="shared" si="41"/>
        <v>1</v>
      </c>
      <c r="X646" t="str">
        <f t="shared" si="42"/>
        <v>13-24 Months</v>
      </c>
      <c r="Y646" s="1" t="str">
        <f t="shared" si="43"/>
        <v>Low</v>
      </c>
    </row>
    <row r="647" spans="1:25" x14ac:dyDescent="0.2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 t="shared" si="40"/>
        <v>1</v>
      </c>
      <c r="W647">
        <f t="shared" si="41"/>
        <v>0</v>
      </c>
      <c r="X647" t="str">
        <f t="shared" si="42"/>
        <v>13-24 Months</v>
      </c>
      <c r="Y647" s="1" t="str">
        <f t="shared" si="43"/>
        <v>High</v>
      </c>
    </row>
    <row r="648" spans="1:25" x14ac:dyDescent="0.2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 t="shared" si="40"/>
        <v>1</v>
      </c>
      <c r="W648">
        <f t="shared" si="41"/>
        <v>0</v>
      </c>
      <c r="X648" t="str">
        <f t="shared" si="42"/>
        <v>0-12 Months</v>
      </c>
      <c r="Y648" s="1" t="str">
        <f t="shared" si="43"/>
        <v>Low</v>
      </c>
    </row>
    <row r="649" spans="1:25" x14ac:dyDescent="0.2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 t="shared" si="40"/>
        <v>0</v>
      </c>
      <c r="W649">
        <f t="shared" si="41"/>
        <v>1</v>
      </c>
      <c r="X649" t="str">
        <f t="shared" si="42"/>
        <v>49+ Months</v>
      </c>
      <c r="Y649" s="1" t="str">
        <f t="shared" si="43"/>
        <v>Medium</v>
      </c>
    </row>
    <row r="650" spans="1:25" x14ac:dyDescent="0.2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 t="shared" si="40"/>
        <v>1</v>
      </c>
      <c r="W650">
        <f t="shared" si="41"/>
        <v>0</v>
      </c>
      <c r="X650" t="str">
        <f t="shared" si="42"/>
        <v>0-12 Months</v>
      </c>
      <c r="Y650" s="1" t="str">
        <f t="shared" si="43"/>
        <v>High</v>
      </c>
    </row>
    <row r="651" spans="1:25" x14ac:dyDescent="0.2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 t="shared" si="40"/>
        <v>0</v>
      </c>
      <c r="W651">
        <f t="shared" si="41"/>
        <v>1</v>
      </c>
      <c r="X651" t="str">
        <f t="shared" si="42"/>
        <v>13-24 Months</v>
      </c>
      <c r="Y651" s="1" t="str">
        <f t="shared" si="43"/>
        <v>Medium</v>
      </c>
    </row>
    <row r="652" spans="1:25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 t="shared" si="40"/>
        <v>1</v>
      </c>
      <c r="W652">
        <f t="shared" si="41"/>
        <v>0</v>
      </c>
      <c r="X652" t="str">
        <f t="shared" si="42"/>
        <v>0-12 Months</v>
      </c>
      <c r="Y652" s="1" t="str">
        <f t="shared" si="43"/>
        <v>Medium</v>
      </c>
    </row>
    <row r="653" spans="1:25" x14ac:dyDescent="0.2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 t="shared" si="40"/>
        <v>1</v>
      </c>
      <c r="W653">
        <f t="shared" si="41"/>
        <v>0</v>
      </c>
      <c r="X653" t="str">
        <f t="shared" si="42"/>
        <v>0-12 Months</v>
      </c>
      <c r="Y653" s="1" t="str">
        <f t="shared" si="43"/>
        <v>Medium</v>
      </c>
    </row>
    <row r="654" spans="1:25" x14ac:dyDescent="0.2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 t="shared" si="40"/>
        <v>0</v>
      </c>
      <c r="W654">
        <f t="shared" si="41"/>
        <v>1</v>
      </c>
      <c r="X654" t="str">
        <f t="shared" si="42"/>
        <v>25-48 Months</v>
      </c>
      <c r="Y654" s="1" t="str">
        <f t="shared" si="43"/>
        <v>Low</v>
      </c>
    </row>
    <row r="655" spans="1:25" x14ac:dyDescent="0.2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 t="shared" si="40"/>
        <v>0</v>
      </c>
      <c r="W655">
        <f t="shared" si="41"/>
        <v>1</v>
      </c>
      <c r="X655" t="str">
        <f t="shared" si="42"/>
        <v>13-24 Months</v>
      </c>
      <c r="Y655" s="1" t="str">
        <f t="shared" si="43"/>
        <v>Low</v>
      </c>
    </row>
    <row r="656" spans="1:25" x14ac:dyDescent="0.2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 t="shared" si="40"/>
        <v>1</v>
      </c>
      <c r="W656">
        <f t="shared" si="41"/>
        <v>0</v>
      </c>
      <c r="X656" t="str">
        <f t="shared" si="42"/>
        <v>0-12 Months</v>
      </c>
      <c r="Y656" s="1" t="str">
        <f t="shared" si="43"/>
        <v>Low</v>
      </c>
    </row>
    <row r="657" spans="1:25" x14ac:dyDescent="0.2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 t="shared" si="40"/>
        <v>0</v>
      </c>
      <c r="W657">
        <f t="shared" si="41"/>
        <v>1</v>
      </c>
      <c r="X657" t="str">
        <f t="shared" si="42"/>
        <v>0-12 Months</v>
      </c>
      <c r="Y657" s="1" t="str">
        <f t="shared" si="43"/>
        <v>High</v>
      </c>
    </row>
    <row r="658" spans="1:25" x14ac:dyDescent="0.2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 t="shared" si="40"/>
        <v>0</v>
      </c>
      <c r="W658">
        <f t="shared" si="41"/>
        <v>1</v>
      </c>
      <c r="X658" t="str">
        <f t="shared" si="42"/>
        <v>49+ Months</v>
      </c>
      <c r="Y658" s="1" t="str">
        <f t="shared" si="43"/>
        <v>High</v>
      </c>
    </row>
    <row r="659" spans="1:25" x14ac:dyDescent="0.2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 t="shared" si="40"/>
        <v>0</v>
      </c>
      <c r="W659">
        <f t="shared" si="41"/>
        <v>1</v>
      </c>
      <c r="X659" t="str">
        <f t="shared" si="42"/>
        <v>25-48 Months</v>
      </c>
      <c r="Y659" s="1" t="str">
        <f t="shared" si="43"/>
        <v>Medium</v>
      </c>
    </row>
    <row r="660" spans="1:25" x14ac:dyDescent="0.2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 t="shared" si="40"/>
        <v>1</v>
      </c>
      <c r="W660">
        <f t="shared" si="41"/>
        <v>0</v>
      </c>
      <c r="X660" t="str">
        <f t="shared" si="42"/>
        <v>0-12 Months</v>
      </c>
      <c r="Y660" s="1" t="str">
        <f t="shared" si="43"/>
        <v>Low</v>
      </c>
    </row>
    <row r="661" spans="1:25" x14ac:dyDescent="0.2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 t="shared" si="40"/>
        <v>0</v>
      </c>
      <c r="W661">
        <f t="shared" si="41"/>
        <v>1</v>
      </c>
      <c r="X661" t="str">
        <f t="shared" si="42"/>
        <v>25-48 Months</v>
      </c>
      <c r="Y661" s="1" t="str">
        <f t="shared" si="43"/>
        <v>Low</v>
      </c>
    </row>
    <row r="662" spans="1:25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 t="shared" si="40"/>
        <v>1</v>
      </c>
      <c r="W662">
        <f t="shared" si="41"/>
        <v>0</v>
      </c>
      <c r="X662" t="str">
        <f t="shared" si="42"/>
        <v>0-12 Months</v>
      </c>
      <c r="Y662" s="1" t="str">
        <f t="shared" si="43"/>
        <v>Low</v>
      </c>
    </row>
    <row r="663" spans="1:25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 t="shared" si="40"/>
        <v>0</v>
      </c>
      <c r="W663">
        <f t="shared" si="41"/>
        <v>1</v>
      </c>
      <c r="X663" t="str">
        <f t="shared" si="42"/>
        <v>0-12 Months</v>
      </c>
      <c r="Y663" s="1" t="str">
        <f t="shared" si="43"/>
        <v>Low</v>
      </c>
    </row>
    <row r="664" spans="1:25" x14ac:dyDescent="0.2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 t="shared" si="40"/>
        <v>0</v>
      </c>
      <c r="W664">
        <f t="shared" si="41"/>
        <v>1</v>
      </c>
      <c r="X664" t="str">
        <f t="shared" si="42"/>
        <v>0-12 Months</v>
      </c>
      <c r="Y664" s="1" t="str">
        <f t="shared" si="43"/>
        <v>Low</v>
      </c>
    </row>
    <row r="665" spans="1:25" x14ac:dyDescent="0.2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 t="shared" si="40"/>
        <v>0</v>
      </c>
      <c r="W665">
        <f t="shared" si="41"/>
        <v>1</v>
      </c>
      <c r="X665" t="str">
        <f t="shared" si="42"/>
        <v>49+ Months</v>
      </c>
      <c r="Y665" s="1" t="str">
        <f t="shared" si="43"/>
        <v>Medium</v>
      </c>
    </row>
    <row r="666" spans="1:25" x14ac:dyDescent="0.2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 t="shared" si="40"/>
        <v>0</v>
      </c>
      <c r="W666">
        <f t="shared" si="41"/>
        <v>1</v>
      </c>
      <c r="X666" t="str">
        <f t="shared" si="42"/>
        <v>49+ Months</v>
      </c>
      <c r="Y666" s="1" t="str">
        <f t="shared" si="43"/>
        <v>Low</v>
      </c>
    </row>
    <row r="667" spans="1:25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 t="shared" si="40"/>
        <v>0</v>
      </c>
      <c r="W667">
        <f t="shared" si="41"/>
        <v>1</v>
      </c>
      <c r="X667" t="str">
        <f t="shared" si="42"/>
        <v>0-12 Months</v>
      </c>
      <c r="Y667" s="1" t="str">
        <f t="shared" si="43"/>
        <v>Medium</v>
      </c>
    </row>
    <row r="668" spans="1:25" x14ac:dyDescent="0.2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 t="shared" si="40"/>
        <v>1</v>
      </c>
      <c r="W668">
        <f t="shared" si="41"/>
        <v>0</v>
      </c>
      <c r="X668" t="str">
        <f t="shared" si="42"/>
        <v>0-12 Months</v>
      </c>
      <c r="Y668" s="1" t="str">
        <f t="shared" si="43"/>
        <v>Medium</v>
      </c>
    </row>
    <row r="669" spans="1:25" x14ac:dyDescent="0.2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 t="shared" si="40"/>
        <v>0</v>
      </c>
      <c r="W669">
        <f t="shared" si="41"/>
        <v>1</v>
      </c>
      <c r="X669" t="str">
        <f t="shared" si="42"/>
        <v>49+ Months</v>
      </c>
      <c r="Y669" s="1" t="str">
        <f t="shared" si="43"/>
        <v>Low</v>
      </c>
    </row>
    <row r="670" spans="1:25" x14ac:dyDescent="0.2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 t="shared" si="40"/>
        <v>1</v>
      </c>
      <c r="W670">
        <f t="shared" si="41"/>
        <v>0</v>
      </c>
      <c r="X670" t="str">
        <f t="shared" si="42"/>
        <v>0-12 Months</v>
      </c>
      <c r="Y670" s="1" t="str">
        <f t="shared" si="43"/>
        <v>Low</v>
      </c>
    </row>
    <row r="671" spans="1:25" x14ac:dyDescent="0.2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 t="shared" si="40"/>
        <v>0</v>
      </c>
      <c r="W671">
        <f t="shared" si="41"/>
        <v>1</v>
      </c>
      <c r="X671" t="str">
        <f t="shared" si="42"/>
        <v>49+ Months</v>
      </c>
      <c r="Y671" s="1" t="str">
        <f t="shared" si="43"/>
        <v>Medium</v>
      </c>
    </row>
    <row r="672" spans="1:25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 t="shared" si="40"/>
        <v>0</v>
      </c>
      <c r="W672">
        <f t="shared" si="41"/>
        <v>1</v>
      </c>
      <c r="X672" t="str">
        <f t="shared" si="42"/>
        <v>49+ Months</v>
      </c>
      <c r="Y672" s="1" t="str">
        <f t="shared" si="43"/>
        <v>Low</v>
      </c>
    </row>
    <row r="673" spans="1:25" x14ac:dyDescent="0.2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 t="shared" si="40"/>
        <v>0</v>
      </c>
      <c r="W673">
        <f t="shared" si="41"/>
        <v>1</v>
      </c>
      <c r="X673" t="str">
        <f t="shared" si="42"/>
        <v>49+ Months</v>
      </c>
      <c r="Y673" s="1" t="str">
        <f t="shared" si="43"/>
        <v>Low</v>
      </c>
    </row>
    <row r="674" spans="1:25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 t="shared" si="40"/>
        <v>1</v>
      </c>
      <c r="W674">
        <f t="shared" si="41"/>
        <v>0</v>
      </c>
      <c r="X674" t="str">
        <f t="shared" si="42"/>
        <v>0-12 Months</v>
      </c>
      <c r="Y674" s="1" t="str">
        <f t="shared" si="43"/>
        <v>Medium</v>
      </c>
    </row>
    <row r="675" spans="1:25" x14ac:dyDescent="0.2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 t="shared" si="40"/>
        <v>0</v>
      </c>
      <c r="W675">
        <f t="shared" si="41"/>
        <v>1</v>
      </c>
      <c r="X675" t="str">
        <f t="shared" si="42"/>
        <v>13-24 Months</v>
      </c>
      <c r="Y675" s="1" t="str">
        <f t="shared" si="43"/>
        <v>Low</v>
      </c>
    </row>
    <row r="676" spans="1:25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 t="shared" si="40"/>
        <v>1</v>
      </c>
      <c r="W676">
        <f t="shared" si="41"/>
        <v>0</v>
      </c>
      <c r="X676" t="str">
        <f t="shared" si="42"/>
        <v>49+ Months</v>
      </c>
      <c r="Y676" s="1" t="str">
        <f t="shared" si="43"/>
        <v>Low</v>
      </c>
    </row>
    <row r="677" spans="1:25" x14ac:dyDescent="0.2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 t="shared" si="40"/>
        <v>0</v>
      </c>
      <c r="W677">
        <f t="shared" si="41"/>
        <v>1</v>
      </c>
      <c r="X677" t="str">
        <f t="shared" si="42"/>
        <v>49+ Months</v>
      </c>
      <c r="Y677" s="1" t="str">
        <f t="shared" si="43"/>
        <v>High</v>
      </c>
    </row>
    <row r="678" spans="1:25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 t="shared" si="40"/>
        <v>0</v>
      </c>
      <c r="W678">
        <f t="shared" si="41"/>
        <v>1</v>
      </c>
      <c r="X678" t="str">
        <f t="shared" si="42"/>
        <v>25-48 Months</v>
      </c>
      <c r="Y678" s="1" t="str">
        <f t="shared" si="43"/>
        <v>Low</v>
      </c>
    </row>
    <row r="679" spans="1:25" x14ac:dyDescent="0.2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 t="shared" si="40"/>
        <v>1</v>
      </c>
      <c r="W679">
        <f t="shared" si="41"/>
        <v>0</v>
      </c>
      <c r="X679" t="str">
        <f t="shared" si="42"/>
        <v>0-12 Months</v>
      </c>
      <c r="Y679" s="1" t="str">
        <f t="shared" si="43"/>
        <v>Low</v>
      </c>
    </row>
    <row r="680" spans="1:25" x14ac:dyDescent="0.2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 t="shared" si="40"/>
        <v>0</v>
      </c>
      <c r="W680">
        <f t="shared" si="41"/>
        <v>1</v>
      </c>
      <c r="X680" t="str">
        <f t="shared" si="42"/>
        <v>0-12 Months</v>
      </c>
      <c r="Y680" s="1" t="str">
        <f t="shared" si="43"/>
        <v>High</v>
      </c>
    </row>
    <row r="681" spans="1:25" x14ac:dyDescent="0.2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 t="shared" si="40"/>
        <v>0</v>
      </c>
      <c r="W681">
        <f t="shared" si="41"/>
        <v>1</v>
      </c>
      <c r="X681" t="str">
        <f t="shared" si="42"/>
        <v>25-48 Months</v>
      </c>
      <c r="Y681" s="1" t="str">
        <f t="shared" si="43"/>
        <v>High</v>
      </c>
    </row>
    <row r="682" spans="1:25" x14ac:dyDescent="0.2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 t="shared" si="40"/>
        <v>1</v>
      </c>
      <c r="W682">
        <f t="shared" si="41"/>
        <v>0</v>
      </c>
      <c r="X682" t="str">
        <f t="shared" si="42"/>
        <v>0-12 Months</v>
      </c>
      <c r="Y682" s="1" t="str">
        <f t="shared" si="43"/>
        <v>High</v>
      </c>
    </row>
    <row r="683" spans="1:25" x14ac:dyDescent="0.2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 t="shared" si="40"/>
        <v>0</v>
      </c>
      <c r="W683">
        <f t="shared" si="41"/>
        <v>1</v>
      </c>
      <c r="X683" t="str">
        <f t="shared" si="42"/>
        <v>49+ Months</v>
      </c>
      <c r="Y683" s="1" t="str">
        <f t="shared" si="43"/>
        <v>Medium</v>
      </c>
    </row>
    <row r="684" spans="1:25" x14ac:dyDescent="0.2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 t="shared" si="40"/>
        <v>0</v>
      </c>
      <c r="W684">
        <f t="shared" si="41"/>
        <v>1</v>
      </c>
      <c r="X684" t="str">
        <f t="shared" si="42"/>
        <v>0-12 Months</v>
      </c>
      <c r="Y684" s="1" t="str">
        <f t="shared" si="43"/>
        <v>Medium</v>
      </c>
    </row>
    <row r="685" spans="1:25" x14ac:dyDescent="0.2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 t="shared" si="40"/>
        <v>0</v>
      </c>
      <c r="W685">
        <f t="shared" si="41"/>
        <v>1</v>
      </c>
      <c r="X685" t="str">
        <f t="shared" si="42"/>
        <v>25-48 Months</v>
      </c>
      <c r="Y685" s="1" t="str">
        <f t="shared" si="43"/>
        <v>High</v>
      </c>
    </row>
    <row r="686" spans="1:25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 t="shared" si="40"/>
        <v>0</v>
      </c>
      <c r="W686">
        <f t="shared" si="41"/>
        <v>1</v>
      </c>
      <c r="X686" t="str">
        <f t="shared" si="42"/>
        <v>0-12 Months</v>
      </c>
      <c r="Y686" s="1" t="str">
        <f t="shared" si="43"/>
        <v>Medium</v>
      </c>
    </row>
    <row r="687" spans="1:25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 t="shared" si="40"/>
        <v>0</v>
      </c>
      <c r="W687">
        <f t="shared" si="41"/>
        <v>1</v>
      </c>
      <c r="X687" t="str">
        <f t="shared" si="42"/>
        <v>0-12 Months</v>
      </c>
      <c r="Y687" s="1" t="str">
        <f t="shared" si="43"/>
        <v>Low</v>
      </c>
    </row>
    <row r="688" spans="1:25" x14ac:dyDescent="0.2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 t="shared" si="40"/>
        <v>0</v>
      </c>
      <c r="W688">
        <f t="shared" si="41"/>
        <v>1</v>
      </c>
      <c r="X688" t="str">
        <f t="shared" si="42"/>
        <v>49+ Months</v>
      </c>
      <c r="Y688" s="1" t="str">
        <f t="shared" si="43"/>
        <v>Low</v>
      </c>
    </row>
    <row r="689" spans="1:25" x14ac:dyDescent="0.2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 t="shared" si="40"/>
        <v>1</v>
      </c>
      <c r="W689">
        <f t="shared" si="41"/>
        <v>0</v>
      </c>
      <c r="X689" t="str">
        <f t="shared" si="42"/>
        <v>0-12 Months</v>
      </c>
      <c r="Y689" s="1" t="str">
        <f t="shared" si="43"/>
        <v>Low</v>
      </c>
    </row>
    <row r="690" spans="1:25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 t="shared" si="40"/>
        <v>0</v>
      </c>
      <c r="W690">
        <f t="shared" si="41"/>
        <v>1</v>
      </c>
      <c r="X690" t="str">
        <f t="shared" si="42"/>
        <v>49+ Months</v>
      </c>
      <c r="Y690" s="1" t="str">
        <f t="shared" si="43"/>
        <v>Low</v>
      </c>
    </row>
    <row r="691" spans="1:25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 t="shared" si="40"/>
        <v>0</v>
      </c>
      <c r="W691">
        <f t="shared" si="41"/>
        <v>1</v>
      </c>
      <c r="X691" t="str">
        <f t="shared" si="42"/>
        <v>49+ Months</v>
      </c>
      <c r="Y691" s="1" t="str">
        <f t="shared" si="43"/>
        <v>High</v>
      </c>
    </row>
    <row r="692" spans="1:25" x14ac:dyDescent="0.2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 t="shared" si="40"/>
        <v>0</v>
      </c>
      <c r="W692">
        <f t="shared" si="41"/>
        <v>1</v>
      </c>
      <c r="X692" t="str">
        <f t="shared" si="42"/>
        <v>0-12 Months</v>
      </c>
      <c r="Y692" s="1" t="str">
        <f t="shared" si="43"/>
        <v>Low</v>
      </c>
    </row>
    <row r="693" spans="1:25" x14ac:dyDescent="0.2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 t="shared" si="40"/>
        <v>0</v>
      </c>
      <c r="W693">
        <f t="shared" si="41"/>
        <v>1</v>
      </c>
      <c r="X693" t="str">
        <f t="shared" si="42"/>
        <v>25-48 Months</v>
      </c>
      <c r="Y693" s="1" t="str">
        <f t="shared" si="43"/>
        <v>Medium</v>
      </c>
    </row>
    <row r="694" spans="1:25" x14ac:dyDescent="0.2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 t="shared" si="40"/>
        <v>0</v>
      </c>
      <c r="W694">
        <f t="shared" si="41"/>
        <v>1</v>
      </c>
      <c r="X694" t="str">
        <f t="shared" si="42"/>
        <v>25-48 Months</v>
      </c>
      <c r="Y694" s="1" t="str">
        <f t="shared" si="43"/>
        <v>Low</v>
      </c>
    </row>
    <row r="695" spans="1:25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 t="shared" si="40"/>
        <v>1</v>
      </c>
      <c r="W695">
        <f t="shared" si="41"/>
        <v>0</v>
      </c>
      <c r="X695" t="str">
        <f t="shared" si="42"/>
        <v>0-12 Months</v>
      </c>
      <c r="Y695" s="1" t="str">
        <f t="shared" si="43"/>
        <v>Medium</v>
      </c>
    </row>
    <row r="696" spans="1:25" x14ac:dyDescent="0.2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 t="shared" si="40"/>
        <v>0</v>
      </c>
      <c r="W696">
        <f t="shared" si="41"/>
        <v>1</v>
      </c>
      <c r="X696" t="str">
        <f t="shared" si="42"/>
        <v>13-24 Months</v>
      </c>
      <c r="Y696" s="1" t="str">
        <f t="shared" si="43"/>
        <v>Low</v>
      </c>
    </row>
    <row r="697" spans="1:25" x14ac:dyDescent="0.2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 t="shared" si="40"/>
        <v>0</v>
      </c>
      <c r="W697">
        <f t="shared" si="41"/>
        <v>1</v>
      </c>
      <c r="X697" t="str">
        <f t="shared" si="42"/>
        <v>0-12 Months</v>
      </c>
      <c r="Y697" s="1" t="str">
        <f t="shared" si="43"/>
        <v>Low</v>
      </c>
    </row>
    <row r="698" spans="1:25" x14ac:dyDescent="0.2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 t="shared" si="40"/>
        <v>0</v>
      </c>
      <c r="W698">
        <f t="shared" si="41"/>
        <v>1</v>
      </c>
      <c r="X698" t="str">
        <f t="shared" si="42"/>
        <v>49+ Months</v>
      </c>
      <c r="Y698" s="1" t="str">
        <f t="shared" si="43"/>
        <v>High</v>
      </c>
    </row>
    <row r="699" spans="1:25" x14ac:dyDescent="0.2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 t="shared" si="40"/>
        <v>1</v>
      </c>
      <c r="W699">
        <f t="shared" si="41"/>
        <v>0</v>
      </c>
      <c r="X699" t="str">
        <f t="shared" si="42"/>
        <v>0-12 Months</v>
      </c>
      <c r="Y699" s="1" t="str">
        <f t="shared" si="43"/>
        <v>Medium</v>
      </c>
    </row>
    <row r="700" spans="1:25" x14ac:dyDescent="0.2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 t="shared" si="40"/>
        <v>0</v>
      </c>
      <c r="W700">
        <f t="shared" si="41"/>
        <v>1</v>
      </c>
      <c r="X700" t="str">
        <f t="shared" si="42"/>
        <v>25-48 Months</v>
      </c>
      <c r="Y700" s="1" t="str">
        <f t="shared" si="43"/>
        <v>High</v>
      </c>
    </row>
    <row r="701" spans="1:25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 t="shared" si="40"/>
        <v>0</v>
      </c>
      <c r="W701">
        <f t="shared" si="41"/>
        <v>1</v>
      </c>
      <c r="X701" t="str">
        <f t="shared" si="42"/>
        <v>49+ Months</v>
      </c>
      <c r="Y701" s="1" t="str">
        <f t="shared" si="43"/>
        <v>Medium</v>
      </c>
    </row>
    <row r="702" spans="1:25" x14ac:dyDescent="0.2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 t="shared" si="40"/>
        <v>0</v>
      </c>
      <c r="W702">
        <f t="shared" si="41"/>
        <v>1</v>
      </c>
      <c r="X702" t="str">
        <f t="shared" si="42"/>
        <v>49+ Months</v>
      </c>
      <c r="Y702" s="1" t="str">
        <f t="shared" si="43"/>
        <v>Medium</v>
      </c>
    </row>
    <row r="703" spans="1:25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 t="shared" si="40"/>
        <v>0</v>
      </c>
      <c r="W703">
        <f t="shared" si="41"/>
        <v>1</v>
      </c>
      <c r="X703" t="str">
        <f t="shared" si="42"/>
        <v>25-48 Months</v>
      </c>
      <c r="Y703" s="1" t="str">
        <f t="shared" si="43"/>
        <v>High</v>
      </c>
    </row>
    <row r="704" spans="1:25" x14ac:dyDescent="0.2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 t="shared" si="40"/>
        <v>0</v>
      </c>
      <c r="W704">
        <f t="shared" si="41"/>
        <v>1</v>
      </c>
      <c r="X704" t="str">
        <f t="shared" si="42"/>
        <v>25-48 Months</v>
      </c>
      <c r="Y704" s="1" t="str">
        <f t="shared" si="43"/>
        <v>High</v>
      </c>
    </row>
    <row r="705" spans="1:25" x14ac:dyDescent="0.2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 t="shared" si="40"/>
        <v>0</v>
      </c>
      <c r="W705">
        <f t="shared" si="41"/>
        <v>1</v>
      </c>
      <c r="X705" t="str">
        <f t="shared" si="42"/>
        <v>0-12 Months</v>
      </c>
      <c r="Y705" s="1" t="str">
        <f t="shared" si="43"/>
        <v>Low</v>
      </c>
    </row>
    <row r="706" spans="1:25" x14ac:dyDescent="0.2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 t="shared" ref="V706:V769" si="44">IF(U706="Yes",1,0)</f>
        <v>0</v>
      </c>
      <c r="W706">
        <f t="shared" ref="W706:W769" si="45">IF(U706="No",1,0)</f>
        <v>1</v>
      </c>
      <c r="X706" t="str">
        <f t="shared" ref="X706:X769" si="46">IF(F706&lt;=12,"0-12 Months",IF(F706&lt;=24,"13-24 Months",IF(F706&lt;=48,"25-48 Months","49+ Months")))</f>
        <v>0-12 Months</v>
      </c>
      <c r="Y706" s="1" t="str">
        <f t="shared" ref="Y706:Y769" si="47">IF(S706&lt;50,"Low",IF(S706&lt;80,"Medium","High"))</f>
        <v>Low</v>
      </c>
    </row>
    <row r="707" spans="1:25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 t="shared" si="44"/>
        <v>1</v>
      </c>
      <c r="W707">
        <f t="shared" si="45"/>
        <v>0</v>
      </c>
      <c r="X707" t="str">
        <f t="shared" si="46"/>
        <v>25-48 Months</v>
      </c>
      <c r="Y707" s="1" t="str">
        <f t="shared" si="47"/>
        <v>Medium</v>
      </c>
    </row>
    <row r="708" spans="1:25" x14ac:dyDescent="0.2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 t="shared" si="44"/>
        <v>0</v>
      </c>
      <c r="W708">
        <f t="shared" si="45"/>
        <v>1</v>
      </c>
      <c r="X708" t="str">
        <f t="shared" si="46"/>
        <v>49+ Months</v>
      </c>
      <c r="Y708" s="1" t="str">
        <f t="shared" si="47"/>
        <v>Medium</v>
      </c>
    </row>
    <row r="709" spans="1:25" x14ac:dyDescent="0.2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 t="shared" si="44"/>
        <v>0</v>
      </c>
      <c r="W709">
        <f t="shared" si="45"/>
        <v>1</v>
      </c>
      <c r="X709" t="str">
        <f t="shared" si="46"/>
        <v>25-48 Months</v>
      </c>
      <c r="Y709" s="1" t="str">
        <f t="shared" si="47"/>
        <v>High</v>
      </c>
    </row>
    <row r="710" spans="1:25" x14ac:dyDescent="0.2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 t="shared" si="44"/>
        <v>0</v>
      </c>
      <c r="W710">
        <f t="shared" si="45"/>
        <v>1</v>
      </c>
      <c r="X710" t="str">
        <f t="shared" si="46"/>
        <v>25-48 Months</v>
      </c>
      <c r="Y710" s="1" t="str">
        <f t="shared" si="47"/>
        <v>Medium</v>
      </c>
    </row>
    <row r="711" spans="1:25" x14ac:dyDescent="0.2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 t="shared" si="44"/>
        <v>0</v>
      </c>
      <c r="W711">
        <f t="shared" si="45"/>
        <v>1</v>
      </c>
      <c r="X711" t="str">
        <f t="shared" si="46"/>
        <v>25-48 Months</v>
      </c>
      <c r="Y711" s="1" t="str">
        <f t="shared" si="47"/>
        <v>High</v>
      </c>
    </row>
    <row r="712" spans="1:25" x14ac:dyDescent="0.2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 t="shared" si="44"/>
        <v>1</v>
      </c>
      <c r="W712">
        <f t="shared" si="45"/>
        <v>0</v>
      </c>
      <c r="X712" t="str">
        <f t="shared" si="46"/>
        <v>0-12 Months</v>
      </c>
      <c r="Y712" s="1" t="str">
        <f t="shared" si="47"/>
        <v>Low</v>
      </c>
    </row>
    <row r="713" spans="1:25" x14ac:dyDescent="0.2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 t="shared" si="44"/>
        <v>0</v>
      </c>
      <c r="W713">
        <f t="shared" si="45"/>
        <v>1</v>
      </c>
      <c r="X713" t="str">
        <f t="shared" si="46"/>
        <v>13-24 Months</v>
      </c>
      <c r="Y713" s="1" t="str">
        <f t="shared" si="47"/>
        <v>High</v>
      </c>
    </row>
    <row r="714" spans="1:25" x14ac:dyDescent="0.2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 t="shared" si="44"/>
        <v>0</v>
      </c>
      <c r="W714">
        <f t="shared" si="45"/>
        <v>1</v>
      </c>
      <c r="X714" t="str">
        <f t="shared" si="46"/>
        <v>49+ Months</v>
      </c>
      <c r="Y714" s="1" t="str">
        <f t="shared" si="47"/>
        <v>Low</v>
      </c>
    </row>
    <row r="715" spans="1:25" x14ac:dyDescent="0.2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 t="shared" si="44"/>
        <v>0</v>
      </c>
      <c r="W715">
        <f t="shared" si="45"/>
        <v>1</v>
      </c>
      <c r="X715" t="str">
        <f t="shared" si="46"/>
        <v>13-24 Months</v>
      </c>
      <c r="Y715" s="1" t="str">
        <f t="shared" si="47"/>
        <v>High</v>
      </c>
    </row>
    <row r="716" spans="1:25" x14ac:dyDescent="0.2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 t="shared" si="44"/>
        <v>0</v>
      </c>
      <c r="W716">
        <f t="shared" si="45"/>
        <v>1</v>
      </c>
      <c r="X716" t="str">
        <f t="shared" si="46"/>
        <v>49+ Months</v>
      </c>
      <c r="Y716" s="1" t="str">
        <f t="shared" si="47"/>
        <v>Low</v>
      </c>
    </row>
    <row r="717" spans="1:25" x14ac:dyDescent="0.2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 t="shared" si="44"/>
        <v>0</v>
      </c>
      <c r="W717">
        <f t="shared" si="45"/>
        <v>1</v>
      </c>
      <c r="X717" t="str">
        <f t="shared" si="46"/>
        <v>25-48 Months</v>
      </c>
      <c r="Y717" s="1" t="str">
        <f t="shared" si="47"/>
        <v>High</v>
      </c>
    </row>
    <row r="718" spans="1:25" x14ac:dyDescent="0.2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 t="shared" si="44"/>
        <v>0</v>
      </c>
      <c r="W718">
        <f t="shared" si="45"/>
        <v>1</v>
      </c>
      <c r="X718" t="str">
        <f t="shared" si="46"/>
        <v>49+ Months</v>
      </c>
      <c r="Y718" s="1" t="str">
        <f t="shared" si="47"/>
        <v>Medium</v>
      </c>
    </row>
    <row r="719" spans="1:25" x14ac:dyDescent="0.2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 t="shared" si="44"/>
        <v>0</v>
      </c>
      <c r="W719">
        <f t="shared" si="45"/>
        <v>1</v>
      </c>
      <c r="X719" t="str">
        <f t="shared" si="46"/>
        <v>25-48 Months</v>
      </c>
      <c r="Y719" s="1" t="str">
        <f t="shared" si="47"/>
        <v>High</v>
      </c>
    </row>
    <row r="720" spans="1:25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 t="shared" si="44"/>
        <v>0</v>
      </c>
      <c r="W720">
        <f t="shared" si="45"/>
        <v>1</v>
      </c>
      <c r="X720" t="str">
        <f t="shared" si="46"/>
        <v>25-48 Months</v>
      </c>
      <c r="Y720" s="1" t="str">
        <f t="shared" si="47"/>
        <v>Medium</v>
      </c>
    </row>
    <row r="721" spans="1:25" x14ac:dyDescent="0.2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 t="shared" si="44"/>
        <v>0</v>
      </c>
      <c r="W721">
        <f t="shared" si="45"/>
        <v>1</v>
      </c>
      <c r="X721" t="str">
        <f t="shared" si="46"/>
        <v>49+ Months</v>
      </c>
      <c r="Y721" s="1" t="str">
        <f t="shared" si="47"/>
        <v>High</v>
      </c>
    </row>
    <row r="722" spans="1:25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 t="shared" si="44"/>
        <v>0</v>
      </c>
      <c r="W722">
        <f t="shared" si="45"/>
        <v>1</v>
      </c>
      <c r="X722" t="str">
        <f t="shared" si="46"/>
        <v>0-12 Months</v>
      </c>
      <c r="Y722" s="1" t="str">
        <f t="shared" si="47"/>
        <v>Low</v>
      </c>
    </row>
    <row r="723" spans="1:25" x14ac:dyDescent="0.2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 t="shared" si="44"/>
        <v>0</v>
      </c>
      <c r="W723">
        <f t="shared" si="45"/>
        <v>1</v>
      </c>
      <c r="X723" t="str">
        <f t="shared" si="46"/>
        <v>49+ Months</v>
      </c>
      <c r="Y723" s="1" t="str">
        <f t="shared" si="47"/>
        <v>Low</v>
      </c>
    </row>
    <row r="724" spans="1:25" x14ac:dyDescent="0.2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 t="shared" si="44"/>
        <v>1</v>
      </c>
      <c r="W724">
        <f t="shared" si="45"/>
        <v>0</v>
      </c>
      <c r="X724" t="str">
        <f t="shared" si="46"/>
        <v>0-12 Months</v>
      </c>
      <c r="Y724" s="1" t="str">
        <f t="shared" si="47"/>
        <v>High</v>
      </c>
    </row>
    <row r="725" spans="1:25" x14ac:dyDescent="0.2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 t="shared" si="44"/>
        <v>1</v>
      </c>
      <c r="W725">
        <f t="shared" si="45"/>
        <v>0</v>
      </c>
      <c r="X725" t="str">
        <f t="shared" si="46"/>
        <v>0-12 Months</v>
      </c>
      <c r="Y725" s="1" t="str">
        <f t="shared" si="47"/>
        <v>Low</v>
      </c>
    </row>
    <row r="726" spans="1:25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 t="shared" si="44"/>
        <v>1</v>
      </c>
      <c r="W726">
        <f t="shared" si="45"/>
        <v>0</v>
      </c>
      <c r="X726" t="str">
        <f t="shared" si="46"/>
        <v>25-48 Months</v>
      </c>
      <c r="Y726" s="1" t="str">
        <f t="shared" si="47"/>
        <v>High</v>
      </c>
    </row>
    <row r="727" spans="1:25" x14ac:dyDescent="0.2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 t="shared" si="44"/>
        <v>0</v>
      </c>
      <c r="W727">
        <f t="shared" si="45"/>
        <v>1</v>
      </c>
      <c r="X727" t="str">
        <f t="shared" si="46"/>
        <v>0-12 Months</v>
      </c>
      <c r="Y727" s="1" t="str">
        <f t="shared" si="47"/>
        <v>Low</v>
      </c>
    </row>
    <row r="728" spans="1:25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 t="shared" si="44"/>
        <v>0</v>
      </c>
      <c r="W728">
        <f t="shared" si="45"/>
        <v>1</v>
      </c>
      <c r="X728" t="str">
        <f t="shared" si="46"/>
        <v>13-24 Months</v>
      </c>
      <c r="Y728" s="1" t="str">
        <f t="shared" si="47"/>
        <v>Low</v>
      </c>
    </row>
    <row r="729" spans="1:25" x14ac:dyDescent="0.2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 t="shared" si="44"/>
        <v>0</v>
      </c>
      <c r="W729">
        <f t="shared" si="45"/>
        <v>1</v>
      </c>
      <c r="X729" t="str">
        <f t="shared" si="46"/>
        <v>0-12 Months</v>
      </c>
      <c r="Y729" s="1" t="str">
        <f t="shared" si="47"/>
        <v>High</v>
      </c>
    </row>
    <row r="730" spans="1:25" x14ac:dyDescent="0.2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 t="shared" si="44"/>
        <v>1</v>
      </c>
      <c r="W730">
        <f t="shared" si="45"/>
        <v>0</v>
      </c>
      <c r="X730" t="str">
        <f t="shared" si="46"/>
        <v>25-48 Months</v>
      </c>
      <c r="Y730" s="1" t="str">
        <f t="shared" si="47"/>
        <v>High</v>
      </c>
    </row>
    <row r="731" spans="1:25" x14ac:dyDescent="0.2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 t="shared" si="44"/>
        <v>0</v>
      </c>
      <c r="W731">
        <f t="shared" si="45"/>
        <v>1</v>
      </c>
      <c r="X731" t="str">
        <f t="shared" si="46"/>
        <v>49+ Months</v>
      </c>
      <c r="Y731" s="1" t="str">
        <f t="shared" si="47"/>
        <v>Medium</v>
      </c>
    </row>
    <row r="732" spans="1:25" x14ac:dyDescent="0.2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 t="shared" si="44"/>
        <v>1</v>
      </c>
      <c r="W732">
        <f t="shared" si="45"/>
        <v>0</v>
      </c>
      <c r="X732" t="str">
        <f t="shared" si="46"/>
        <v>25-48 Months</v>
      </c>
      <c r="Y732" s="1" t="str">
        <f t="shared" si="47"/>
        <v>High</v>
      </c>
    </row>
    <row r="733" spans="1:25" x14ac:dyDescent="0.2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 t="shared" si="44"/>
        <v>0</v>
      </c>
      <c r="W733">
        <f t="shared" si="45"/>
        <v>1</v>
      </c>
      <c r="X733" t="str">
        <f t="shared" si="46"/>
        <v>0-12 Months</v>
      </c>
      <c r="Y733" s="1" t="str">
        <f t="shared" si="47"/>
        <v>Low</v>
      </c>
    </row>
    <row r="734" spans="1:25" x14ac:dyDescent="0.2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 t="shared" si="44"/>
        <v>0</v>
      </c>
      <c r="W734">
        <f t="shared" si="45"/>
        <v>1</v>
      </c>
      <c r="X734" t="str">
        <f t="shared" si="46"/>
        <v>25-48 Months</v>
      </c>
      <c r="Y734" s="1" t="str">
        <f t="shared" si="47"/>
        <v>Medium</v>
      </c>
    </row>
    <row r="735" spans="1:25" x14ac:dyDescent="0.2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 t="shared" si="44"/>
        <v>0</v>
      </c>
      <c r="W735">
        <f t="shared" si="45"/>
        <v>1</v>
      </c>
      <c r="X735" t="str">
        <f t="shared" si="46"/>
        <v>49+ Months</v>
      </c>
      <c r="Y735" s="1" t="str">
        <f t="shared" si="47"/>
        <v>Medium</v>
      </c>
    </row>
    <row r="736" spans="1:25" x14ac:dyDescent="0.2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 t="shared" si="44"/>
        <v>0</v>
      </c>
      <c r="W736">
        <f t="shared" si="45"/>
        <v>1</v>
      </c>
      <c r="X736" t="str">
        <f t="shared" si="46"/>
        <v>25-48 Months</v>
      </c>
      <c r="Y736" s="1" t="str">
        <f t="shared" si="47"/>
        <v>High</v>
      </c>
    </row>
    <row r="737" spans="1:25" x14ac:dyDescent="0.2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 t="shared" si="44"/>
        <v>0</v>
      </c>
      <c r="W737">
        <f t="shared" si="45"/>
        <v>1</v>
      </c>
      <c r="X737" t="str">
        <f t="shared" si="46"/>
        <v>25-48 Months</v>
      </c>
      <c r="Y737" s="1" t="str">
        <f t="shared" si="47"/>
        <v>Medium</v>
      </c>
    </row>
    <row r="738" spans="1:25" x14ac:dyDescent="0.2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 t="shared" si="44"/>
        <v>0</v>
      </c>
      <c r="W738">
        <f t="shared" si="45"/>
        <v>1</v>
      </c>
      <c r="X738" t="str">
        <f t="shared" si="46"/>
        <v>25-48 Months</v>
      </c>
      <c r="Y738" s="1" t="str">
        <f t="shared" si="47"/>
        <v>High</v>
      </c>
    </row>
    <row r="739" spans="1:25" x14ac:dyDescent="0.2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 t="shared" si="44"/>
        <v>0</v>
      </c>
      <c r="W739">
        <f t="shared" si="45"/>
        <v>1</v>
      </c>
      <c r="X739" t="str">
        <f t="shared" si="46"/>
        <v>49+ Months</v>
      </c>
      <c r="Y739" s="1" t="str">
        <f t="shared" si="47"/>
        <v>High</v>
      </c>
    </row>
    <row r="740" spans="1:25" x14ac:dyDescent="0.2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 t="shared" si="44"/>
        <v>0</v>
      </c>
      <c r="W740">
        <f t="shared" si="45"/>
        <v>1</v>
      </c>
      <c r="X740" t="str">
        <f t="shared" si="46"/>
        <v>25-48 Months</v>
      </c>
      <c r="Y740" s="1" t="str">
        <f t="shared" si="47"/>
        <v>Medium</v>
      </c>
    </row>
    <row r="741" spans="1:25" x14ac:dyDescent="0.2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 t="shared" si="44"/>
        <v>0</v>
      </c>
      <c r="W741">
        <f t="shared" si="45"/>
        <v>1</v>
      </c>
      <c r="X741" t="str">
        <f t="shared" si="46"/>
        <v>49+ Months</v>
      </c>
      <c r="Y741" s="1" t="str">
        <f t="shared" si="47"/>
        <v>High</v>
      </c>
    </row>
    <row r="742" spans="1:25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 t="shared" si="44"/>
        <v>0</v>
      </c>
      <c r="W742">
        <f t="shared" si="45"/>
        <v>1</v>
      </c>
      <c r="X742" t="str">
        <f t="shared" si="46"/>
        <v>25-48 Months</v>
      </c>
      <c r="Y742" s="1" t="str">
        <f t="shared" si="47"/>
        <v>Medium</v>
      </c>
    </row>
    <row r="743" spans="1:25" x14ac:dyDescent="0.2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 t="shared" si="44"/>
        <v>0</v>
      </c>
      <c r="W743">
        <f t="shared" si="45"/>
        <v>1</v>
      </c>
      <c r="X743" t="str">
        <f t="shared" si="46"/>
        <v>0-12 Months</v>
      </c>
      <c r="Y743" s="1" t="str">
        <f t="shared" si="47"/>
        <v>High</v>
      </c>
    </row>
    <row r="744" spans="1:25" x14ac:dyDescent="0.2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 t="shared" si="44"/>
        <v>1</v>
      </c>
      <c r="W744">
        <f t="shared" si="45"/>
        <v>0</v>
      </c>
      <c r="X744" t="str">
        <f t="shared" si="46"/>
        <v>0-12 Months</v>
      </c>
      <c r="Y744" s="1" t="str">
        <f t="shared" si="47"/>
        <v>High</v>
      </c>
    </row>
    <row r="745" spans="1:25" x14ac:dyDescent="0.2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 t="shared" si="44"/>
        <v>0</v>
      </c>
      <c r="W745">
        <f t="shared" si="45"/>
        <v>1</v>
      </c>
      <c r="X745" t="str">
        <f t="shared" si="46"/>
        <v>49+ Months</v>
      </c>
      <c r="Y745" s="1" t="str">
        <f t="shared" si="47"/>
        <v>Low</v>
      </c>
    </row>
    <row r="746" spans="1:25" x14ac:dyDescent="0.2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 t="shared" si="44"/>
        <v>0</v>
      </c>
      <c r="W746">
        <f t="shared" si="45"/>
        <v>1</v>
      </c>
      <c r="X746" t="str">
        <f t="shared" si="46"/>
        <v>0-12 Months</v>
      </c>
      <c r="Y746" s="1" t="str">
        <f t="shared" si="47"/>
        <v>Low</v>
      </c>
    </row>
    <row r="747" spans="1:25" x14ac:dyDescent="0.2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 t="shared" si="44"/>
        <v>0</v>
      </c>
      <c r="W747">
        <f t="shared" si="45"/>
        <v>1</v>
      </c>
      <c r="X747" t="str">
        <f t="shared" si="46"/>
        <v>49+ Months</v>
      </c>
      <c r="Y747" s="1" t="str">
        <f t="shared" si="47"/>
        <v>High</v>
      </c>
    </row>
    <row r="748" spans="1:25" x14ac:dyDescent="0.2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 t="shared" si="44"/>
        <v>0</v>
      </c>
      <c r="W748">
        <f t="shared" si="45"/>
        <v>1</v>
      </c>
      <c r="X748" t="str">
        <f t="shared" si="46"/>
        <v>49+ Months</v>
      </c>
      <c r="Y748" s="1" t="str">
        <f t="shared" si="47"/>
        <v>High</v>
      </c>
    </row>
    <row r="749" spans="1:25" x14ac:dyDescent="0.2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 t="shared" si="44"/>
        <v>0</v>
      </c>
      <c r="W749">
        <f t="shared" si="45"/>
        <v>1</v>
      </c>
      <c r="X749" t="str">
        <f t="shared" si="46"/>
        <v>0-12 Months</v>
      </c>
      <c r="Y749" s="1" t="str">
        <f t="shared" si="47"/>
        <v>Medium</v>
      </c>
    </row>
    <row r="750" spans="1:25" x14ac:dyDescent="0.2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 t="shared" si="44"/>
        <v>0</v>
      </c>
      <c r="W750">
        <f t="shared" si="45"/>
        <v>1</v>
      </c>
      <c r="X750" t="str">
        <f t="shared" si="46"/>
        <v>25-48 Months</v>
      </c>
      <c r="Y750" s="1" t="str">
        <f t="shared" si="47"/>
        <v>Low</v>
      </c>
    </row>
    <row r="751" spans="1:25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 t="shared" si="44"/>
        <v>0</v>
      </c>
      <c r="W751">
        <f t="shared" si="45"/>
        <v>1</v>
      </c>
      <c r="X751" t="str">
        <f t="shared" si="46"/>
        <v>49+ Months</v>
      </c>
      <c r="Y751" s="1" t="str">
        <f t="shared" si="47"/>
        <v>High</v>
      </c>
    </row>
    <row r="752" spans="1:25" x14ac:dyDescent="0.2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 t="shared" si="44"/>
        <v>0</v>
      </c>
      <c r="W752">
        <f t="shared" si="45"/>
        <v>1</v>
      </c>
      <c r="X752" t="str">
        <f t="shared" si="46"/>
        <v>25-48 Months</v>
      </c>
      <c r="Y752" s="1" t="str">
        <f t="shared" si="47"/>
        <v>Medium</v>
      </c>
    </row>
    <row r="753" spans="1:25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 t="shared" si="44"/>
        <v>0</v>
      </c>
      <c r="W753">
        <f t="shared" si="45"/>
        <v>1</v>
      </c>
      <c r="X753" t="str">
        <f t="shared" si="46"/>
        <v>49+ Months</v>
      </c>
      <c r="Y753" s="1" t="str">
        <f t="shared" si="47"/>
        <v>High</v>
      </c>
    </row>
    <row r="754" spans="1:25" x14ac:dyDescent="0.2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 t="shared" si="44"/>
        <v>0</v>
      </c>
      <c r="W754">
        <f t="shared" si="45"/>
        <v>1</v>
      </c>
      <c r="X754" t="str">
        <f t="shared" si="46"/>
        <v>0-12 Months</v>
      </c>
      <c r="Y754" s="1" t="str">
        <f t="shared" si="47"/>
        <v>Medium</v>
      </c>
    </row>
    <row r="755" spans="1:25" x14ac:dyDescent="0.2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>
        <f t="shared" si="44"/>
        <v>0</v>
      </c>
      <c r="W755">
        <f t="shared" si="45"/>
        <v>1</v>
      </c>
      <c r="X755" t="str">
        <f t="shared" si="46"/>
        <v>0-12 Months</v>
      </c>
      <c r="Y755" s="1" t="str">
        <f t="shared" si="47"/>
        <v>Low</v>
      </c>
    </row>
    <row r="756" spans="1:25" x14ac:dyDescent="0.2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 t="shared" si="44"/>
        <v>0</v>
      </c>
      <c r="W756">
        <f t="shared" si="45"/>
        <v>1</v>
      </c>
      <c r="X756" t="str">
        <f t="shared" si="46"/>
        <v>0-12 Months</v>
      </c>
      <c r="Y756" s="1" t="str">
        <f t="shared" si="47"/>
        <v>High</v>
      </c>
    </row>
    <row r="757" spans="1:25" x14ac:dyDescent="0.2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 t="shared" si="44"/>
        <v>1</v>
      </c>
      <c r="W757">
        <f t="shared" si="45"/>
        <v>0</v>
      </c>
      <c r="X757" t="str">
        <f t="shared" si="46"/>
        <v>13-24 Months</v>
      </c>
      <c r="Y757" s="1" t="str">
        <f t="shared" si="47"/>
        <v>High</v>
      </c>
    </row>
    <row r="758" spans="1:25" x14ac:dyDescent="0.2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 t="shared" si="44"/>
        <v>0</v>
      </c>
      <c r="W758">
        <f t="shared" si="45"/>
        <v>1</v>
      </c>
      <c r="X758" t="str">
        <f t="shared" si="46"/>
        <v>49+ Months</v>
      </c>
      <c r="Y758" s="1" t="str">
        <f t="shared" si="47"/>
        <v>Low</v>
      </c>
    </row>
    <row r="759" spans="1:25" x14ac:dyDescent="0.2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 t="shared" si="44"/>
        <v>0</v>
      </c>
      <c r="W759">
        <f t="shared" si="45"/>
        <v>1</v>
      </c>
      <c r="X759" t="str">
        <f t="shared" si="46"/>
        <v>0-12 Months</v>
      </c>
      <c r="Y759" s="1" t="str">
        <f t="shared" si="47"/>
        <v>Low</v>
      </c>
    </row>
    <row r="760" spans="1:25" x14ac:dyDescent="0.2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 t="shared" si="44"/>
        <v>1</v>
      </c>
      <c r="W760">
        <f t="shared" si="45"/>
        <v>0</v>
      </c>
      <c r="X760" t="str">
        <f t="shared" si="46"/>
        <v>13-24 Months</v>
      </c>
      <c r="Y760" s="1" t="str">
        <f t="shared" si="47"/>
        <v>High</v>
      </c>
    </row>
    <row r="761" spans="1:25" x14ac:dyDescent="0.2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 t="shared" si="44"/>
        <v>0</v>
      </c>
      <c r="W761">
        <f t="shared" si="45"/>
        <v>1</v>
      </c>
      <c r="X761" t="str">
        <f t="shared" si="46"/>
        <v>49+ Months</v>
      </c>
      <c r="Y761" s="1" t="str">
        <f t="shared" si="47"/>
        <v>High</v>
      </c>
    </row>
    <row r="762" spans="1:25" x14ac:dyDescent="0.2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 t="shared" si="44"/>
        <v>0</v>
      </c>
      <c r="W762">
        <f t="shared" si="45"/>
        <v>1</v>
      </c>
      <c r="X762" t="str">
        <f t="shared" si="46"/>
        <v>0-12 Months</v>
      </c>
      <c r="Y762" s="1" t="str">
        <f t="shared" si="47"/>
        <v>Low</v>
      </c>
    </row>
    <row r="763" spans="1:25" x14ac:dyDescent="0.2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 t="shared" si="44"/>
        <v>1</v>
      </c>
      <c r="W763">
        <f t="shared" si="45"/>
        <v>0</v>
      </c>
      <c r="X763" t="str">
        <f t="shared" si="46"/>
        <v>13-24 Months</v>
      </c>
      <c r="Y763" s="1" t="str">
        <f t="shared" si="47"/>
        <v>High</v>
      </c>
    </row>
    <row r="764" spans="1:25" x14ac:dyDescent="0.2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 t="shared" si="44"/>
        <v>1</v>
      </c>
      <c r="W764">
        <f t="shared" si="45"/>
        <v>0</v>
      </c>
      <c r="X764" t="str">
        <f t="shared" si="46"/>
        <v>0-12 Months</v>
      </c>
      <c r="Y764" s="1" t="str">
        <f t="shared" si="47"/>
        <v>Medium</v>
      </c>
    </row>
    <row r="765" spans="1:25" x14ac:dyDescent="0.2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 t="shared" si="44"/>
        <v>0</v>
      </c>
      <c r="W765">
        <f t="shared" si="45"/>
        <v>1</v>
      </c>
      <c r="X765" t="str">
        <f t="shared" si="46"/>
        <v>49+ Months</v>
      </c>
      <c r="Y765" s="1" t="str">
        <f t="shared" si="47"/>
        <v>Medium</v>
      </c>
    </row>
    <row r="766" spans="1:25" x14ac:dyDescent="0.2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 t="shared" si="44"/>
        <v>0</v>
      </c>
      <c r="W766">
        <f t="shared" si="45"/>
        <v>1</v>
      </c>
      <c r="X766" t="str">
        <f t="shared" si="46"/>
        <v>49+ Months</v>
      </c>
      <c r="Y766" s="1" t="str">
        <f t="shared" si="47"/>
        <v>Low</v>
      </c>
    </row>
    <row r="767" spans="1:25" x14ac:dyDescent="0.2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 t="shared" si="44"/>
        <v>0</v>
      </c>
      <c r="W767">
        <f t="shared" si="45"/>
        <v>1</v>
      </c>
      <c r="X767" t="str">
        <f t="shared" si="46"/>
        <v>0-12 Months</v>
      </c>
      <c r="Y767" s="1" t="str">
        <f t="shared" si="47"/>
        <v>Low</v>
      </c>
    </row>
    <row r="768" spans="1:25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 t="shared" si="44"/>
        <v>0</v>
      </c>
      <c r="W768">
        <f t="shared" si="45"/>
        <v>1</v>
      </c>
      <c r="X768" t="str">
        <f t="shared" si="46"/>
        <v>13-24 Months</v>
      </c>
      <c r="Y768" s="1" t="str">
        <f t="shared" si="47"/>
        <v>Medium</v>
      </c>
    </row>
    <row r="769" spans="1:25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 t="shared" si="44"/>
        <v>0</v>
      </c>
      <c r="W769">
        <f t="shared" si="45"/>
        <v>1</v>
      </c>
      <c r="X769" t="str">
        <f t="shared" si="46"/>
        <v>13-24 Months</v>
      </c>
      <c r="Y769" s="1" t="str">
        <f t="shared" si="47"/>
        <v>Low</v>
      </c>
    </row>
    <row r="770" spans="1:25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 t="shared" ref="V770:V833" si="48">IF(U770="Yes",1,0)</f>
        <v>0</v>
      </c>
      <c r="W770">
        <f t="shared" ref="W770:W833" si="49">IF(U770="No",1,0)</f>
        <v>1</v>
      </c>
      <c r="X770" t="str">
        <f t="shared" ref="X770:X833" si="50">IF(F770&lt;=12,"0-12 Months",IF(F770&lt;=24,"13-24 Months",IF(F770&lt;=48,"25-48 Months","49+ Months")))</f>
        <v>25-48 Months</v>
      </c>
      <c r="Y770" s="1" t="str">
        <f t="shared" ref="Y770:Y833" si="51">IF(S770&lt;50,"Low",IF(S770&lt;80,"Medium","High"))</f>
        <v>Medium</v>
      </c>
    </row>
    <row r="771" spans="1:25" x14ac:dyDescent="0.2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 t="shared" si="48"/>
        <v>0</v>
      </c>
      <c r="W771">
        <f t="shared" si="49"/>
        <v>1</v>
      </c>
      <c r="X771" t="str">
        <f t="shared" si="50"/>
        <v>13-24 Months</v>
      </c>
      <c r="Y771" s="1" t="str">
        <f t="shared" si="51"/>
        <v>Medium</v>
      </c>
    </row>
    <row r="772" spans="1:25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 t="shared" si="48"/>
        <v>0</v>
      </c>
      <c r="W772">
        <f t="shared" si="49"/>
        <v>1</v>
      </c>
      <c r="X772" t="str">
        <f t="shared" si="50"/>
        <v>0-12 Months</v>
      </c>
      <c r="Y772" s="1" t="str">
        <f t="shared" si="51"/>
        <v>Low</v>
      </c>
    </row>
    <row r="773" spans="1:25" x14ac:dyDescent="0.2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 t="shared" si="48"/>
        <v>1</v>
      </c>
      <c r="W773">
        <f t="shared" si="49"/>
        <v>0</v>
      </c>
      <c r="X773" t="str">
        <f t="shared" si="50"/>
        <v>13-24 Months</v>
      </c>
      <c r="Y773" s="1" t="str">
        <f t="shared" si="51"/>
        <v>High</v>
      </c>
    </row>
    <row r="774" spans="1:25" x14ac:dyDescent="0.2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 t="shared" si="48"/>
        <v>1</v>
      </c>
      <c r="W774">
        <f t="shared" si="49"/>
        <v>0</v>
      </c>
      <c r="X774" t="str">
        <f t="shared" si="50"/>
        <v>0-12 Months</v>
      </c>
      <c r="Y774" s="1" t="str">
        <f t="shared" si="51"/>
        <v>Low</v>
      </c>
    </row>
    <row r="775" spans="1:25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 t="shared" si="48"/>
        <v>1</v>
      </c>
      <c r="W775">
        <f t="shared" si="49"/>
        <v>0</v>
      </c>
      <c r="X775" t="str">
        <f t="shared" si="50"/>
        <v>0-12 Months</v>
      </c>
      <c r="Y775" s="1" t="str">
        <f t="shared" si="51"/>
        <v>High</v>
      </c>
    </row>
    <row r="776" spans="1:25" x14ac:dyDescent="0.2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 t="shared" si="48"/>
        <v>1</v>
      </c>
      <c r="W776">
        <f t="shared" si="49"/>
        <v>0</v>
      </c>
      <c r="X776" t="str">
        <f t="shared" si="50"/>
        <v>25-48 Months</v>
      </c>
      <c r="Y776" s="1" t="str">
        <f t="shared" si="51"/>
        <v>High</v>
      </c>
    </row>
    <row r="777" spans="1:25" x14ac:dyDescent="0.2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 t="shared" si="48"/>
        <v>0</v>
      </c>
      <c r="W777">
        <f t="shared" si="49"/>
        <v>1</v>
      </c>
      <c r="X777" t="str">
        <f t="shared" si="50"/>
        <v>49+ Months</v>
      </c>
      <c r="Y777" s="1" t="str">
        <f t="shared" si="51"/>
        <v>High</v>
      </c>
    </row>
    <row r="778" spans="1:25" x14ac:dyDescent="0.2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 t="shared" si="48"/>
        <v>0</v>
      </c>
      <c r="W778">
        <f t="shared" si="49"/>
        <v>1</v>
      </c>
      <c r="X778" t="str">
        <f t="shared" si="50"/>
        <v>0-12 Months</v>
      </c>
      <c r="Y778" s="1" t="str">
        <f t="shared" si="51"/>
        <v>Low</v>
      </c>
    </row>
    <row r="779" spans="1:25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 t="shared" si="48"/>
        <v>1</v>
      </c>
      <c r="W779">
        <f t="shared" si="49"/>
        <v>0</v>
      </c>
      <c r="X779" t="str">
        <f t="shared" si="50"/>
        <v>0-12 Months</v>
      </c>
      <c r="Y779" s="1" t="str">
        <f t="shared" si="51"/>
        <v>High</v>
      </c>
    </row>
    <row r="780" spans="1:25" x14ac:dyDescent="0.2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 t="shared" si="48"/>
        <v>0</v>
      </c>
      <c r="W780">
        <f t="shared" si="49"/>
        <v>1</v>
      </c>
      <c r="X780" t="str">
        <f t="shared" si="50"/>
        <v>49+ Months</v>
      </c>
      <c r="Y780" s="1" t="str">
        <f t="shared" si="51"/>
        <v>High</v>
      </c>
    </row>
    <row r="781" spans="1:25" x14ac:dyDescent="0.2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 t="shared" si="48"/>
        <v>1</v>
      </c>
      <c r="W781">
        <f t="shared" si="49"/>
        <v>0</v>
      </c>
      <c r="X781" t="str">
        <f t="shared" si="50"/>
        <v>0-12 Months</v>
      </c>
      <c r="Y781" s="1" t="str">
        <f t="shared" si="51"/>
        <v>Low</v>
      </c>
    </row>
    <row r="782" spans="1:25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 t="shared" si="48"/>
        <v>0</v>
      </c>
      <c r="W782">
        <f t="shared" si="49"/>
        <v>1</v>
      </c>
      <c r="X782" t="str">
        <f t="shared" si="50"/>
        <v>49+ Months</v>
      </c>
      <c r="Y782" s="1" t="str">
        <f t="shared" si="51"/>
        <v>Medium</v>
      </c>
    </row>
    <row r="783" spans="1:25" x14ac:dyDescent="0.2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 t="shared" si="48"/>
        <v>0</v>
      </c>
      <c r="W783">
        <f t="shared" si="49"/>
        <v>1</v>
      </c>
      <c r="X783" t="str">
        <f t="shared" si="50"/>
        <v>0-12 Months</v>
      </c>
      <c r="Y783" s="1" t="str">
        <f t="shared" si="51"/>
        <v>Low</v>
      </c>
    </row>
    <row r="784" spans="1:25" x14ac:dyDescent="0.2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 t="shared" si="48"/>
        <v>0</v>
      </c>
      <c r="W784">
        <f t="shared" si="49"/>
        <v>1</v>
      </c>
      <c r="X784" t="str">
        <f t="shared" si="50"/>
        <v>25-48 Months</v>
      </c>
      <c r="Y784" s="1" t="str">
        <f t="shared" si="51"/>
        <v>Medium</v>
      </c>
    </row>
    <row r="785" spans="1:25" x14ac:dyDescent="0.2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 t="shared" si="48"/>
        <v>1</v>
      </c>
      <c r="W785">
        <f t="shared" si="49"/>
        <v>0</v>
      </c>
      <c r="X785" t="str">
        <f t="shared" si="50"/>
        <v>0-12 Months</v>
      </c>
      <c r="Y785" s="1" t="str">
        <f t="shared" si="51"/>
        <v>Medium</v>
      </c>
    </row>
    <row r="786" spans="1:25" x14ac:dyDescent="0.2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 t="shared" si="48"/>
        <v>0</v>
      </c>
      <c r="W786">
        <f t="shared" si="49"/>
        <v>1</v>
      </c>
      <c r="X786" t="str">
        <f t="shared" si="50"/>
        <v>49+ Months</v>
      </c>
      <c r="Y786" s="1" t="str">
        <f t="shared" si="51"/>
        <v>Low</v>
      </c>
    </row>
    <row r="787" spans="1:25" x14ac:dyDescent="0.2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 t="shared" si="48"/>
        <v>1</v>
      </c>
      <c r="W787">
        <f t="shared" si="49"/>
        <v>0</v>
      </c>
      <c r="X787" t="str">
        <f t="shared" si="50"/>
        <v>25-48 Months</v>
      </c>
      <c r="Y787" s="1" t="str">
        <f t="shared" si="51"/>
        <v>High</v>
      </c>
    </row>
    <row r="788" spans="1:25" x14ac:dyDescent="0.2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 t="shared" si="48"/>
        <v>0</v>
      </c>
      <c r="W788">
        <f t="shared" si="49"/>
        <v>1</v>
      </c>
      <c r="X788" t="str">
        <f t="shared" si="50"/>
        <v>49+ Months</v>
      </c>
      <c r="Y788" s="1" t="str">
        <f t="shared" si="51"/>
        <v>Medium</v>
      </c>
    </row>
    <row r="789" spans="1:25" x14ac:dyDescent="0.2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 t="shared" si="48"/>
        <v>0</v>
      </c>
      <c r="W789">
        <f t="shared" si="49"/>
        <v>1</v>
      </c>
      <c r="X789" t="str">
        <f t="shared" si="50"/>
        <v>25-48 Months</v>
      </c>
      <c r="Y789" s="1" t="str">
        <f t="shared" si="51"/>
        <v>Medium</v>
      </c>
    </row>
    <row r="790" spans="1:25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 t="shared" si="48"/>
        <v>0</v>
      </c>
      <c r="W790">
        <f t="shared" si="49"/>
        <v>1</v>
      </c>
      <c r="X790" t="str">
        <f t="shared" si="50"/>
        <v>13-24 Months</v>
      </c>
      <c r="Y790" s="1" t="str">
        <f t="shared" si="51"/>
        <v>Medium</v>
      </c>
    </row>
    <row r="791" spans="1:25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 t="shared" si="48"/>
        <v>0</v>
      </c>
      <c r="W791">
        <f t="shared" si="49"/>
        <v>1</v>
      </c>
      <c r="X791" t="str">
        <f t="shared" si="50"/>
        <v>49+ Months</v>
      </c>
      <c r="Y791" s="1" t="str">
        <f t="shared" si="51"/>
        <v>Medium</v>
      </c>
    </row>
    <row r="792" spans="1:25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 t="shared" si="48"/>
        <v>0</v>
      </c>
      <c r="W792">
        <f t="shared" si="49"/>
        <v>1</v>
      </c>
      <c r="X792" t="str">
        <f t="shared" si="50"/>
        <v>49+ Months</v>
      </c>
      <c r="Y792" s="1" t="str">
        <f t="shared" si="51"/>
        <v>Medium</v>
      </c>
    </row>
    <row r="793" spans="1:25" x14ac:dyDescent="0.2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 t="shared" si="48"/>
        <v>0</v>
      </c>
      <c r="W793">
        <f t="shared" si="49"/>
        <v>1</v>
      </c>
      <c r="X793" t="str">
        <f t="shared" si="50"/>
        <v>49+ Months</v>
      </c>
      <c r="Y793" s="1" t="str">
        <f t="shared" si="51"/>
        <v>Medium</v>
      </c>
    </row>
    <row r="794" spans="1:25" x14ac:dyDescent="0.2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 t="shared" si="48"/>
        <v>0</v>
      </c>
      <c r="W794">
        <f t="shared" si="49"/>
        <v>1</v>
      </c>
      <c r="X794" t="str">
        <f t="shared" si="50"/>
        <v>0-12 Months</v>
      </c>
      <c r="Y794" s="1" t="str">
        <f t="shared" si="51"/>
        <v>Low</v>
      </c>
    </row>
    <row r="795" spans="1:25" x14ac:dyDescent="0.2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 t="shared" si="48"/>
        <v>0</v>
      </c>
      <c r="W795">
        <f t="shared" si="49"/>
        <v>1</v>
      </c>
      <c r="X795" t="str">
        <f t="shared" si="50"/>
        <v>25-48 Months</v>
      </c>
      <c r="Y795" s="1" t="str">
        <f t="shared" si="51"/>
        <v>Medium</v>
      </c>
    </row>
    <row r="796" spans="1:25" x14ac:dyDescent="0.2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 t="shared" si="48"/>
        <v>0</v>
      </c>
      <c r="W796">
        <f t="shared" si="49"/>
        <v>1</v>
      </c>
      <c r="X796" t="str">
        <f t="shared" si="50"/>
        <v>0-12 Months</v>
      </c>
      <c r="Y796" s="1" t="str">
        <f t="shared" si="51"/>
        <v>Low</v>
      </c>
    </row>
    <row r="797" spans="1:25" x14ac:dyDescent="0.2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 t="shared" si="48"/>
        <v>0</v>
      </c>
      <c r="W797">
        <f t="shared" si="49"/>
        <v>1</v>
      </c>
      <c r="X797" t="str">
        <f t="shared" si="50"/>
        <v>0-12 Months</v>
      </c>
      <c r="Y797" s="1" t="str">
        <f t="shared" si="51"/>
        <v>Medium</v>
      </c>
    </row>
    <row r="798" spans="1:25" x14ac:dyDescent="0.2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 t="shared" si="48"/>
        <v>0</v>
      </c>
      <c r="W798">
        <f t="shared" si="49"/>
        <v>1</v>
      </c>
      <c r="X798" t="str">
        <f t="shared" si="50"/>
        <v>25-48 Months</v>
      </c>
      <c r="Y798" s="1" t="str">
        <f t="shared" si="51"/>
        <v>High</v>
      </c>
    </row>
    <row r="799" spans="1:25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 t="shared" si="48"/>
        <v>0</v>
      </c>
      <c r="W799">
        <f t="shared" si="49"/>
        <v>1</v>
      </c>
      <c r="X799" t="str">
        <f t="shared" si="50"/>
        <v>13-24 Months</v>
      </c>
      <c r="Y799" s="1" t="str">
        <f t="shared" si="51"/>
        <v>Low</v>
      </c>
    </row>
    <row r="800" spans="1:25" x14ac:dyDescent="0.2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 t="shared" si="48"/>
        <v>0</v>
      </c>
      <c r="W800">
        <f t="shared" si="49"/>
        <v>1</v>
      </c>
      <c r="X800" t="str">
        <f t="shared" si="50"/>
        <v>0-12 Months</v>
      </c>
      <c r="Y800" s="1" t="str">
        <f t="shared" si="51"/>
        <v>Low</v>
      </c>
    </row>
    <row r="801" spans="1:25" x14ac:dyDescent="0.2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 t="shared" si="48"/>
        <v>1</v>
      </c>
      <c r="W801">
        <f t="shared" si="49"/>
        <v>0</v>
      </c>
      <c r="X801" t="str">
        <f t="shared" si="50"/>
        <v>49+ Months</v>
      </c>
      <c r="Y801" s="1" t="str">
        <f t="shared" si="51"/>
        <v>High</v>
      </c>
    </row>
    <row r="802" spans="1:25" x14ac:dyDescent="0.2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 t="shared" si="48"/>
        <v>0</v>
      </c>
      <c r="W802">
        <f t="shared" si="49"/>
        <v>1</v>
      </c>
      <c r="X802" t="str">
        <f t="shared" si="50"/>
        <v>49+ Months</v>
      </c>
      <c r="Y802" s="1" t="str">
        <f t="shared" si="51"/>
        <v>Medium</v>
      </c>
    </row>
    <row r="803" spans="1:25" x14ac:dyDescent="0.2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 t="shared" si="48"/>
        <v>1</v>
      </c>
      <c r="W803">
        <f t="shared" si="49"/>
        <v>0</v>
      </c>
      <c r="X803" t="str">
        <f t="shared" si="50"/>
        <v>0-12 Months</v>
      </c>
      <c r="Y803" s="1" t="str">
        <f t="shared" si="51"/>
        <v>High</v>
      </c>
    </row>
    <row r="804" spans="1:25" x14ac:dyDescent="0.2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 t="shared" si="48"/>
        <v>0</v>
      </c>
      <c r="W804">
        <f t="shared" si="49"/>
        <v>1</v>
      </c>
      <c r="X804" t="str">
        <f t="shared" si="50"/>
        <v>25-48 Months</v>
      </c>
      <c r="Y804" s="1" t="str">
        <f t="shared" si="51"/>
        <v>Low</v>
      </c>
    </row>
    <row r="805" spans="1:25" x14ac:dyDescent="0.2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 t="shared" si="48"/>
        <v>0</v>
      </c>
      <c r="W805">
        <f t="shared" si="49"/>
        <v>1</v>
      </c>
      <c r="X805" t="str">
        <f t="shared" si="50"/>
        <v>25-48 Months</v>
      </c>
      <c r="Y805" s="1" t="str">
        <f t="shared" si="51"/>
        <v>Medium</v>
      </c>
    </row>
    <row r="806" spans="1:25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 t="shared" si="48"/>
        <v>1</v>
      </c>
      <c r="W806">
        <f t="shared" si="49"/>
        <v>0</v>
      </c>
      <c r="X806" t="str">
        <f t="shared" si="50"/>
        <v>0-12 Months</v>
      </c>
      <c r="Y806" s="1" t="str">
        <f t="shared" si="51"/>
        <v>High</v>
      </c>
    </row>
    <row r="807" spans="1:25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 t="shared" si="48"/>
        <v>0</v>
      </c>
      <c r="W807">
        <f t="shared" si="49"/>
        <v>1</v>
      </c>
      <c r="X807" t="str">
        <f t="shared" si="50"/>
        <v>49+ Months</v>
      </c>
      <c r="Y807" s="1" t="str">
        <f t="shared" si="51"/>
        <v>Medium</v>
      </c>
    </row>
    <row r="808" spans="1:25" x14ac:dyDescent="0.2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 t="shared" si="48"/>
        <v>0</v>
      </c>
      <c r="W808">
        <f t="shared" si="49"/>
        <v>1</v>
      </c>
      <c r="X808" t="str">
        <f t="shared" si="50"/>
        <v>13-24 Months</v>
      </c>
      <c r="Y808" s="1" t="str">
        <f t="shared" si="51"/>
        <v>Medium</v>
      </c>
    </row>
    <row r="809" spans="1:25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 t="shared" si="48"/>
        <v>0</v>
      </c>
      <c r="W809">
        <f t="shared" si="49"/>
        <v>1</v>
      </c>
      <c r="X809" t="str">
        <f t="shared" si="50"/>
        <v>49+ Months</v>
      </c>
      <c r="Y809" s="1" t="str">
        <f t="shared" si="51"/>
        <v>High</v>
      </c>
    </row>
    <row r="810" spans="1:25" x14ac:dyDescent="0.2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 t="shared" si="48"/>
        <v>1</v>
      </c>
      <c r="W810">
        <f t="shared" si="49"/>
        <v>0</v>
      </c>
      <c r="X810" t="str">
        <f t="shared" si="50"/>
        <v>25-48 Months</v>
      </c>
      <c r="Y810" s="1" t="str">
        <f t="shared" si="51"/>
        <v>High</v>
      </c>
    </row>
    <row r="811" spans="1:25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 t="shared" si="48"/>
        <v>1</v>
      </c>
      <c r="W811">
        <f t="shared" si="49"/>
        <v>0</v>
      </c>
      <c r="X811" t="str">
        <f t="shared" si="50"/>
        <v>0-12 Months</v>
      </c>
      <c r="Y811" s="1" t="str">
        <f t="shared" si="51"/>
        <v>Medium</v>
      </c>
    </row>
    <row r="812" spans="1:25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 t="shared" si="48"/>
        <v>1</v>
      </c>
      <c r="W812">
        <f t="shared" si="49"/>
        <v>0</v>
      </c>
      <c r="X812" t="str">
        <f t="shared" si="50"/>
        <v>49+ Months</v>
      </c>
      <c r="Y812" s="1" t="str">
        <f t="shared" si="51"/>
        <v>High</v>
      </c>
    </row>
    <row r="813" spans="1:25" x14ac:dyDescent="0.2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 t="shared" si="48"/>
        <v>1</v>
      </c>
      <c r="W813">
        <f t="shared" si="49"/>
        <v>0</v>
      </c>
      <c r="X813" t="str">
        <f t="shared" si="50"/>
        <v>49+ Months</v>
      </c>
      <c r="Y813" s="1" t="str">
        <f t="shared" si="51"/>
        <v>High</v>
      </c>
    </row>
    <row r="814" spans="1:25" x14ac:dyDescent="0.2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 t="shared" si="48"/>
        <v>0</v>
      </c>
      <c r="W814">
        <f t="shared" si="49"/>
        <v>1</v>
      </c>
      <c r="X814" t="str">
        <f t="shared" si="50"/>
        <v>25-48 Months</v>
      </c>
      <c r="Y814" s="1" t="str">
        <f t="shared" si="51"/>
        <v>Low</v>
      </c>
    </row>
    <row r="815" spans="1:25" x14ac:dyDescent="0.2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 t="shared" si="48"/>
        <v>0</v>
      </c>
      <c r="W815">
        <f t="shared" si="49"/>
        <v>1</v>
      </c>
      <c r="X815" t="str">
        <f t="shared" si="50"/>
        <v>25-48 Months</v>
      </c>
      <c r="Y815" s="1" t="str">
        <f t="shared" si="51"/>
        <v>Low</v>
      </c>
    </row>
    <row r="816" spans="1:25" x14ac:dyDescent="0.2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 t="shared" si="48"/>
        <v>0</v>
      </c>
      <c r="W816">
        <f t="shared" si="49"/>
        <v>1</v>
      </c>
      <c r="X816" t="str">
        <f t="shared" si="50"/>
        <v>0-12 Months</v>
      </c>
      <c r="Y816" s="1" t="str">
        <f t="shared" si="51"/>
        <v>Low</v>
      </c>
    </row>
    <row r="817" spans="1:25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 t="shared" si="48"/>
        <v>0</v>
      </c>
      <c r="W817">
        <f t="shared" si="49"/>
        <v>1</v>
      </c>
      <c r="X817" t="str">
        <f t="shared" si="50"/>
        <v>25-48 Months</v>
      </c>
      <c r="Y817" s="1" t="str">
        <f t="shared" si="51"/>
        <v>High</v>
      </c>
    </row>
    <row r="818" spans="1:25" x14ac:dyDescent="0.2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 t="shared" si="48"/>
        <v>1</v>
      </c>
      <c r="W818">
        <f t="shared" si="49"/>
        <v>0</v>
      </c>
      <c r="X818" t="str">
        <f t="shared" si="50"/>
        <v>0-12 Months</v>
      </c>
      <c r="Y818" s="1" t="str">
        <f t="shared" si="51"/>
        <v>High</v>
      </c>
    </row>
    <row r="819" spans="1:25" x14ac:dyDescent="0.2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 t="shared" si="48"/>
        <v>0</v>
      </c>
      <c r="W819">
        <f t="shared" si="49"/>
        <v>1</v>
      </c>
      <c r="X819" t="str">
        <f t="shared" si="50"/>
        <v>49+ Months</v>
      </c>
      <c r="Y819" s="1" t="str">
        <f t="shared" si="51"/>
        <v>High</v>
      </c>
    </row>
    <row r="820" spans="1:25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 t="shared" si="48"/>
        <v>1</v>
      </c>
      <c r="W820">
        <f t="shared" si="49"/>
        <v>0</v>
      </c>
      <c r="X820" t="str">
        <f t="shared" si="50"/>
        <v>13-24 Months</v>
      </c>
      <c r="Y820" s="1" t="str">
        <f t="shared" si="51"/>
        <v>High</v>
      </c>
    </row>
    <row r="821" spans="1:25" x14ac:dyDescent="0.2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 t="shared" si="48"/>
        <v>0</v>
      </c>
      <c r="W821">
        <f t="shared" si="49"/>
        <v>1</v>
      </c>
      <c r="X821" t="str">
        <f t="shared" si="50"/>
        <v>49+ Months</v>
      </c>
      <c r="Y821" s="1" t="str">
        <f t="shared" si="51"/>
        <v>High</v>
      </c>
    </row>
    <row r="822" spans="1:25" x14ac:dyDescent="0.2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 t="shared" si="48"/>
        <v>0</v>
      </c>
      <c r="W822">
        <f t="shared" si="49"/>
        <v>1</v>
      </c>
      <c r="X822" t="str">
        <f t="shared" si="50"/>
        <v>49+ Months</v>
      </c>
      <c r="Y822" s="1" t="str">
        <f t="shared" si="51"/>
        <v>High</v>
      </c>
    </row>
    <row r="823" spans="1:25" x14ac:dyDescent="0.2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 t="shared" si="48"/>
        <v>0</v>
      </c>
      <c r="W823">
        <f t="shared" si="49"/>
        <v>1</v>
      </c>
      <c r="X823" t="str">
        <f t="shared" si="50"/>
        <v>25-48 Months</v>
      </c>
      <c r="Y823" s="1" t="str">
        <f t="shared" si="51"/>
        <v>Medium</v>
      </c>
    </row>
    <row r="824" spans="1:25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 t="shared" si="48"/>
        <v>0</v>
      </c>
      <c r="W824">
        <f t="shared" si="49"/>
        <v>1</v>
      </c>
      <c r="X824" t="str">
        <f t="shared" si="50"/>
        <v>25-48 Months</v>
      </c>
      <c r="Y824" s="1" t="str">
        <f t="shared" si="51"/>
        <v>High</v>
      </c>
    </row>
    <row r="825" spans="1:25" x14ac:dyDescent="0.2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 t="shared" si="48"/>
        <v>0</v>
      </c>
      <c r="W825">
        <f t="shared" si="49"/>
        <v>1</v>
      </c>
      <c r="X825" t="str">
        <f t="shared" si="50"/>
        <v>0-12 Months</v>
      </c>
      <c r="Y825" s="1" t="str">
        <f t="shared" si="51"/>
        <v>Medium</v>
      </c>
    </row>
    <row r="826" spans="1:25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 t="shared" si="48"/>
        <v>0</v>
      </c>
      <c r="W826">
        <f t="shared" si="49"/>
        <v>1</v>
      </c>
      <c r="X826" t="str">
        <f t="shared" si="50"/>
        <v>49+ Months</v>
      </c>
      <c r="Y826" s="1" t="str">
        <f t="shared" si="51"/>
        <v>Low</v>
      </c>
    </row>
    <row r="827" spans="1:25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 t="shared" si="48"/>
        <v>1</v>
      </c>
      <c r="W827">
        <f t="shared" si="49"/>
        <v>0</v>
      </c>
      <c r="X827" t="str">
        <f t="shared" si="50"/>
        <v>13-24 Months</v>
      </c>
      <c r="Y827" s="1" t="str">
        <f t="shared" si="51"/>
        <v>High</v>
      </c>
    </row>
    <row r="828" spans="1:25" x14ac:dyDescent="0.2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 t="shared" si="48"/>
        <v>1</v>
      </c>
      <c r="W828">
        <f t="shared" si="49"/>
        <v>0</v>
      </c>
      <c r="X828" t="str">
        <f t="shared" si="50"/>
        <v>0-12 Months</v>
      </c>
      <c r="Y828" s="1" t="str">
        <f t="shared" si="51"/>
        <v>High</v>
      </c>
    </row>
    <row r="829" spans="1:25" x14ac:dyDescent="0.2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 t="shared" si="48"/>
        <v>0</v>
      </c>
      <c r="W829">
        <f t="shared" si="49"/>
        <v>1</v>
      </c>
      <c r="X829" t="str">
        <f t="shared" si="50"/>
        <v>13-24 Months</v>
      </c>
      <c r="Y829" s="1" t="str">
        <f t="shared" si="51"/>
        <v>Low</v>
      </c>
    </row>
    <row r="830" spans="1:25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 t="shared" si="48"/>
        <v>1</v>
      </c>
      <c r="W830">
        <f t="shared" si="49"/>
        <v>0</v>
      </c>
      <c r="X830" t="str">
        <f t="shared" si="50"/>
        <v>49+ Months</v>
      </c>
      <c r="Y830" s="1" t="str">
        <f t="shared" si="51"/>
        <v>High</v>
      </c>
    </row>
    <row r="831" spans="1:25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 t="shared" si="48"/>
        <v>0</v>
      </c>
      <c r="W831">
        <f t="shared" si="49"/>
        <v>1</v>
      </c>
      <c r="X831" t="str">
        <f t="shared" si="50"/>
        <v>25-48 Months</v>
      </c>
      <c r="Y831" s="1" t="str">
        <f t="shared" si="51"/>
        <v>Low</v>
      </c>
    </row>
    <row r="832" spans="1:25" x14ac:dyDescent="0.2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 t="shared" si="48"/>
        <v>1</v>
      </c>
      <c r="W832">
        <f t="shared" si="49"/>
        <v>0</v>
      </c>
      <c r="X832" t="str">
        <f t="shared" si="50"/>
        <v>49+ Months</v>
      </c>
      <c r="Y832" s="1" t="str">
        <f t="shared" si="51"/>
        <v>High</v>
      </c>
    </row>
    <row r="833" spans="1:25" x14ac:dyDescent="0.2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 t="shared" si="48"/>
        <v>0</v>
      </c>
      <c r="W833">
        <f t="shared" si="49"/>
        <v>1</v>
      </c>
      <c r="X833" t="str">
        <f t="shared" si="50"/>
        <v>25-48 Months</v>
      </c>
      <c r="Y833" s="1" t="str">
        <f t="shared" si="51"/>
        <v>Low</v>
      </c>
    </row>
    <row r="834" spans="1:25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 t="shared" ref="V834:V897" si="52">IF(U834="Yes",1,0)</f>
        <v>0</v>
      </c>
      <c r="W834">
        <f t="shared" ref="W834:W897" si="53">IF(U834="No",1,0)</f>
        <v>1</v>
      </c>
      <c r="X834" t="str">
        <f t="shared" ref="X834:X897" si="54">IF(F834&lt;=12,"0-12 Months",IF(F834&lt;=24,"13-24 Months",IF(F834&lt;=48,"25-48 Months","49+ Months")))</f>
        <v>49+ Months</v>
      </c>
      <c r="Y834" s="1" t="str">
        <f t="shared" ref="Y834:Y897" si="55">IF(S834&lt;50,"Low",IF(S834&lt;80,"Medium","High"))</f>
        <v>Medium</v>
      </c>
    </row>
    <row r="835" spans="1:25" x14ac:dyDescent="0.2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 t="shared" si="52"/>
        <v>0</v>
      </c>
      <c r="W835">
        <f t="shared" si="53"/>
        <v>1</v>
      </c>
      <c r="X835" t="str">
        <f t="shared" si="54"/>
        <v>25-48 Months</v>
      </c>
      <c r="Y835" s="1" t="str">
        <f t="shared" si="55"/>
        <v>High</v>
      </c>
    </row>
    <row r="836" spans="1:25" x14ac:dyDescent="0.2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 t="shared" si="52"/>
        <v>1</v>
      </c>
      <c r="W836">
        <f t="shared" si="53"/>
        <v>0</v>
      </c>
      <c r="X836" t="str">
        <f t="shared" si="54"/>
        <v>0-12 Months</v>
      </c>
      <c r="Y836" s="1" t="str">
        <f t="shared" si="55"/>
        <v>Medium</v>
      </c>
    </row>
    <row r="837" spans="1:25" x14ac:dyDescent="0.2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 t="shared" si="52"/>
        <v>0</v>
      </c>
      <c r="W837">
        <f t="shared" si="53"/>
        <v>1</v>
      </c>
      <c r="X837" t="str">
        <f t="shared" si="54"/>
        <v>49+ Months</v>
      </c>
      <c r="Y837" s="1" t="str">
        <f t="shared" si="55"/>
        <v>High</v>
      </c>
    </row>
    <row r="838" spans="1:25" x14ac:dyDescent="0.2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 t="shared" si="52"/>
        <v>0</v>
      </c>
      <c r="W838">
        <f t="shared" si="53"/>
        <v>1</v>
      </c>
      <c r="X838" t="str">
        <f t="shared" si="54"/>
        <v>49+ Months</v>
      </c>
      <c r="Y838" s="1" t="str">
        <f t="shared" si="55"/>
        <v>Medium</v>
      </c>
    </row>
    <row r="839" spans="1:25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 t="shared" si="52"/>
        <v>1</v>
      </c>
      <c r="W839">
        <f t="shared" si="53"/>
        <v>0</v>
      </c>
      <c r="X839" t="str">
        <f t="shared" si="54"/>
        <v>0-12 Months</v>
      </c>
      <c r="Y839" s="1" t="str">
        <f t="shared" si="55"/>
        <v>Low</v>
      </c>
    </row>
    <row r="840" spans="1:25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 t="shared" si="52"/>
        <v>0</v>
      </c>
      <c r="W840">
        <f t="shared" si="53"/>
        <v>1</v>
      </c>
      <c r="X840" t="str">
        <f t="shared" si="54"/>
        <v>25-48 Months</v>
      </c>
      <c r="Y840" s="1" t="str">
        <f t="shared" si="55"/>
        <v>Medium</v>
      </c>
    </row>
    <row r="841" spans="1:25" x14ac:dyDescent="0.2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 t="shared" si="52"/>
        <v>0</v>
      </c>
      <c r="W841">
        <f t="shared" si="53"/>
        <v>1</v>
      </c>
      <c r="X841" t="str">
        <f t="shared" si="54"/>
        <v>25-48 Months</v>
      </c>
      <c r="Y841" s="1" t="str">
        <f t="shared" si="55"/>
        <v>Low</v>
      </c>
    </row>
    <row r="842" spans="1:25" x14ac:dyDescent="0.2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 t="shared" si="52"/>
        <v>1</v>
      </c>
      <c r="W842">
        <f t="shared" si="53"/>
        <v>0</v>
      </c>
      <c r="X842" t="str">
        <f t="shared" si="54"/>
        <v>49+ Months</v>
      </c>
      <c r="Y842" s="1" t="str">
        <f t="shared" si="55"/>
        <v>High</v>
      </c>
    </row>
    <row r="843" spans="1:25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 t="shared" si="52"/>
        <v>0</v>
      </c>
      <c r="W843">
        <f t="shared" si="53"/>
        <v>1</v>
      </c>
      <c r="X843" t="str">
        <f t="shared" si="54"/>
        <v>49+ Months</v>
      </c>
      <c r="Y843" s="1" t="str">
        <f t="shared" si="55"/>
        <v>High</v>
      </c>
    </row>
    <row r="844" spans="1:25" x14ac:dyDescent="0.2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 t="shared" si="52"/>
        <v>1</v>
      </c>
      <c r="W844">
        <f t="shared" si="53"/>
        <v>0</v>
      </c>
      <c r="X844" t="str">
        <f t="shared" si="54"/>
        <v>0-12 Months</v>
      </c>
      <c r="Y844" s="1" t="str">
        <f t="shared" si="55"/>
        <v>Low</v>
      </c>
    </row>
    <row r="845" spans="1:25" x14ac:dyDescent="0.2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 t="shared" si="52"/>
        <v>0</v>
      </c>
      <c r="W845">
        <f t="shared" si="53"/>
        <v>1</v>
      </c>
      <c r="X845" t="str">
        <f t="shared" si="54"/>
        <v>13-24 Months</v>
      </c>
      <c r="Y845" s="1" t="str">
        <f t="shared" si="55"/>
        <v>Low</v>
      </c>
    </row>
    <row r="846" spans="1:25" x14ac:dyDescent="0.2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 t="shared" si="52"/>
        <v>1</v>
      </c>
      <c r="W846">
        <f t="shared" si="53"/>
        <v>0</v>
      </c>
      <c r="X846" t="str">
        <f t="shared" si="54"/>
        <v>0-12 Months</v>
      </c>
      <c r="Y846" s="1" t="str">
        <f t="shared" si="55"/>
        <v>High</v>
      </c>
    </row>
    <row r="847" spans="1:25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 t="shared" si="52"/>
        <v>0</v>
      </c>
      <c r="W847">
        <f t="shared" si="53"/>
        <v>1</v>
      </c>
      <c r="X847" t="str">
        <f t="shared" si="54"/>
        <v>13-24 Months</v>
      </c>
      <c r="Y847" s="1" t="str">
        <f t="shared" si="55"/>
        <v>Low</v>
      </c>
    </row>
    <row r="848" spans="1:25" x14ac:dyDescent="0.2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 t="shared" si="52"/>
        <v>0</v>
      </c>
      <c r="W848">
        <f t="shared" si="53"/>
        <v>1</v>
      </c>
      <c r="X848" t="str">
        <f t="shared" si="54"/>
        <v>49+ Months</v>
      </c>
      <c r="Y848" s="1" t="str">
        <f t="shared" si="55"/>
        <v>High</v>
      </c>
    </row>
    <row r="849" spans="1:25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 t="shared" si="52"/>
        <v>0</v>
      </c>
      <c r="W849">
        <f t="shared" si="53"/>
        <v>1</v>
      </c>
      <c r="X849" t="str">
        <f t="shared" si="54"/>
        <v>0-12 Months</v>
      </c>
      <c r="Y849" s="1" t="str">
        <f t="shared" si="55"/>
        <v>Low</v>
      </c>
    </row>
    <row r="850" spans="1:25" x14ac:dyDescent="0.2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 t="shared" si="52"/>
        <v>0</v>
      </c>
      <c r="W850">
        <f t="shared" si="53"/>
        <v>1</v>
      </c>
      <c r="X850" t="str">
        <f t="shared" si="54"/>
        <v>49+ Months</v>
      </c>
      <c r="Y850" s="1" t="str">
        <f t="shared" si="55"/>
        <v>High</v>
      </c>
    </row>
    <row r="851" spans="1:25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 t="shared" si="52"/>
        <v>0</v>
      </c>
      <c r="W851">
        <f t="shared" si="53"/>
        <v>1</v>
      </c>
      <c r="X851" t="str">
        <f t="shared" si="54"/>
        <v>49+ Months</v>
      </c>
      <c r="Y851" s="1" t="str">
        <f t="shared" si="55"/>
        <v>High</v>
      </c>
    </row>
    <row r="852" spans="1:25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 t="shared" si="52"/>
        <v>0</v>
      </c>
      <c r="W852">
        <f t="shared" si="53"/>
        <v>1</v>
      </c>
      <c r="X852" t="str">
        <f t="shared" si="54"/>
        <v>49+ Months</v>
      </c>
      <c r="Y852" s="1" t="str">
        <f t="shared" si="55"/>
        <v>High</v>
      </c>
    </row>
    <row r="853" spans="1:25" x14ac:dyDescent="0.2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 t="shared" si="52"/>
        <v>0</v>
      </c>
      <c r="W853">
        <f t="shared" si="53"/>
        <v>1</v>
      </c>
      <c r="X853" t="str">
        <f t="shared" si="54"/>
        <v>49+ Months</v>
      </c>
      <c r="Y853" s="1" t="str">
        <f t="shared" si="55"/>
        <v>High</v>
      </c>
    </row>
    <row r="854" spans="1:25" x14ac:dyDescent="0.2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 t="shared" si="52"/>
        <v>0</v>
      </c>
      <c r="W854">
        <f t="shared" si="53"/>
        <v>1</v>
      </c>
      <c r="X854" t="str">
        <f t="shared" si="54"/>
        <v>0-12 Months</v>
      </c>
      <c r="Y854" s="1" t="str">
        <f t="shared" si="55"/>
        <v>Low</v>
      </c>
    </row>
    <row r="855" spans="1:25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 t="shared" si="52"/>
        <v>0</v>
      </c>
      <c r="W855">
        <f t="shared" si="53"/>
        <v>1</v>
      </c>
      <c r="X855" t="str">
        <f t="shared" si="54"/>
        <v>0-12 Months</v>
      </c>
      <c r="Y855" s="1" t="str">
        <f t="shared" si="55"/>
        <v>Medium</v>
      </c>
    </row>
    <row r="856" spans="1:25" x14ac:dyDescent="0.2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 t="shared" si="52"/>
        <v>0</v>
      </c>
      <c r="W856">
        <f t="shared" si="53"/>
        <v>1</v>
      </c>
      <c r="X856" t="str">
        <f t="shared" si="54"/>
        <v>49+ Months</v>
      </c>
      <c r="Y856" s="1" t="str">
        <f t="shared" si="55"/>
        <v>Low</v>
      </c>
    </row>
    <row r="857" spans="1:25" x14ac:dyDescent="0.2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 t="shared" si="52"/>
        <v>1</v>
      </c>
      <c r="W857">
        <f t="shared" si="53"/>
        <v>0</v>
      </c>
      <c r="X857" t="str">
        <f t="shared" si="54"/>
        <v>49+ Months</v>
      </c>
      <c r="Y857" s="1" t="str">
        <f t="shared" si="55"/>
        <v>High</v>
      </c>
    </row>
    <row r="858" spans="1:25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 t="shared" si="52"/>
        <v>0</v>
      </c>
      <c r="W858">
        <f t="shared" si="53"/>
        <v>1</v>
      </c>
      <c r="X858" t="str">
        <f t="shared" si="54"/>
        <v>49+ Months</v>
      </c>
      <c r="Y858" s="1" t="str">
        <f t="shared" si="55"/>
        <v>High</v>
      </c>
    </row>
    <row r="859" spans="1:25" x14ac:dyDescent="0.2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 t="shared" si="52"/>
        <v>1</v>
      </c>
      <c r="W859">
        <f t="shared" si="53"/>
        <v>0</v>
      </c>
      <c r="X859" t="str">
        <f t="shared" si="54"/>
        <v>0-12 Months</v>
      </c>
      <c r="Y859" s="1" t="str">
        <f t="shared" si="55"/>
        <v>Medium</v>
      </c>
    </row>
    <row r="860" spans="1:25" x14ac:dyDescent="0.2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 t="shared" si="52"/>
        <v>0</v>
      </c>
      <c r="W860">
        <f t="shared" si="53"/>
        <v>1</v>
      </c>
      <c r="X860" t="str">
        <f t="shared" si="54"/>
        <v>49+ Months</v>
      </c>
      <c r="Y860" s="1" t="str">
        <f t="shared" si="55"/>
        <v>High</v>
      </c>
    </row>
    <row r="861" spans="1:25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 t="shared" si="52"/>
        <v>0</v>
      </c>
      <c r="W861">
        <f t="shared" si="53"/>
        <v>1</v>
      </c>
      <c r="X861" t="str">
        <f t="shared" si="54"/>
        <v>49+ Months</v>
      </c>
      <c r="Y861" s="1" t="str">
        <f t="shared" si="55"/>
        <v>Medium</v>
      </c>
    </row>
    <row r="862" spans="1:25" x14ac:dyDescent="0.2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 t="shared" si="52"/>
        <v>0</v>
      </c>
      <c r="W862">
        <f t="shared" si="53"/>
        <v>1</v>
      </c>
      <c r="X862" t="str">
        <f t="shared" si="54"/>
        <v>25-48 Months</v>
      </c>
      <c r="Y862" s="1" t="str">
        <f t="shared" si="55"/>
        <v>Low</v>
      </c>
    </row>
    <row r="863" spans="1:25" x14ac:dyDescent="0.2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 t="shared" si="52"/>
        <v>0</v>
      </c>
      <c r="W863">
        <f t="shared" si="53"/>
        <v>1</v>
      </c>
      <c r="X863" t="str">
        <f t="shared" si="54"/>
        <v>49+ Months</v>
      </c>
      <c r="Y863" s="1" t="str">
        <f t="shared" si="55"/>
        <v>High</v>
      </c>
    </row>
    <row r="864" spans="1:25" x14ac:dyDescent="0.2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 t="shared" si="52"/>
        <v>1</v>
      </c>
      <c r="W864">
        <f t="shared" si="53"/>
        <v>0</v>
      </c>
      <c r="X864" t="str">
        <f t="shared" si="54"/>
        <v>13-24 Months</v>
      </c>
      <c r="Y864" s="1" t="str">
        <f t="shared" si="55"/>
        <v>Medium</v>
      </c>
    </row>
    <row r="865" spans="1:25" x14ac:dyDescent="0.2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 t="shared" si="52"/>
        <v>1</v>
      </c>
      <c r="W865">
        <f t="shared" si="53"/>
        <v>0</v>
      </c>
      <c r="X865" t="str">
        <f t="shared" si="54"/>
        <v>0-12 Months</v>
      </c>
      <c r="Y865" s="1" t="str">
        <f t="shared" si="55"/>
        <v>High</v>
      </c>
    </row>
    <row r="866" spans="1:25" x14ac:dyDescent="0.2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 t="shared" si="52"/>
        <v>1</v>
      </c>
      <c r="W866">
        <f t="shared" si="53"/>
        <v>0</v>
      </c>
      <c r="X866" t="str">
        <f t="shared" si="54"/>
        <v>13-24 Months</v>
      </c>
      <c r="Y866" s="1" t="str">
        <f t="shared" si="55"/>
        <v>High</v>
      </c>
    </row>
    <row r="867" spans="1:25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 t="shared" si="52"/>
        <v>1</v>
      </c>
      <c r="W867">
        <f t="shared" si="53"/>
        <v>0</v>
      </c>
      <c r="X867" t="str">
        <f t="shared" si="54"/>
        <v>0-12 Months</v>
      </c>
      <c r="Y867" s="1" t="str">
        <f t="shared" si="55"/>
        <v>High</v>
      </c>
    </row>
    <row r="868" spans="1:25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 t="shared" si="52"/>
        <v>0</v>
      </c>
      <c r="W868">
        <f t="shared" si="53"/>
        <v>1</v>
      </c>
      <c r="X868" t="str">
        <f t="shared" si="54"/>
        <v>49+ Months</v>
      </c>
      <c r="Y868" s="1" t="str">
        <f t="shared" si="55"/>
        <v>Low</v>
      </c>
    </row>
    <row r="869" spans="1:25" x14ac:dyDescent="0.2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 t="shared" si="52"/>
        <v>0</v>
      </c>
      <c r="W869">
        <f t="shared" si="53"/>
        <v>1</v>
      </c>
      <c r="X869" t="str">
        <f t="shared" si="54"/>
        <v>0-12 Months</v>
      </c>
      <c r="Y869" s="1" t="str">
        <f t="shared" si="55"/>
        <v>Low</v>
      </c>
    </row>
    <row r="870" spans="1:25" x14ac:dyDescent="0.2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 t="shared" si="52"/>
        <v>1</v>
      </c>
      <c r="W870">
        <f t="shared" si="53"/>
        <v>0</v>
      </c>
      <c r="X870" t="str">
        <f t="shared" si="54"/>
        <v>49+ Months</v>
      </c>
      <c r="Y870" s="1" t="str">
        <f t="shared" si="55"/>
        <v>High</v>
      </c>
    </row>
    <row r="871" spans="1:25" x14ac:dyDescent="0.2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 t="shared" si="52"/>
        <v>0</v>
      </c>
      <c r="W871">
        <f t="shared" si="53"/>
        <v>1</v>
      </c>
      <c r="X871" t="str">
        <f t="shared" si="54"/>
        <v>0-12 Months</v>
      </c>
      <c r="Y871" s="1" t="str">
        <f t="shared" si="55"/>
        <v>Low</v>
      </c>
    </row>
    <row r="872" spans="1:25" x14ac:dyDescent="0.2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 t="shared" si="52"/>
        <v>0</v>
      </c>
      <c r="W872">
        <f t="shared" si="53"/>
        <v>1</v>
      </c>
      <c r="X872" t="str">
        <f t="shared" si="54"/>
        <v>49+ Months</v>
      </c>
      <c r="Y872" s="1" t="str">
        <f t="shared" si="55"/>
        <v>High</v>
      </c>
    </row>
    <row r="873" spans="1:25" x14ac:dyDescent="0.2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 t="shared" si="52"/>
        <v>0</v>
      </c>
      <c r="W873">
        <f t="shared" si="53"/>
        <v>1</v>
      </c>
      <c r="X873" t="str">
        <f t="shared" si="54"/>
        <v>49+ Months</v>
      </c>
      <c r="Y873" s="1" t="str">
        <f t="shared" si="55"/>
        <v>High</v>
      </c>
    </row>
    <row r="874" spans="1:25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 t="shared" si="52"/>
        <v>0</v>
      </c>
      <c r="W874">
        <f t="shared" si="53"/>
        <v>1</v>
      </c>
      <c r="X874" t="str">
        <f t="shared" si="54"/>
        <v>49+ Months</v>
      </c>
      <c r="Y874" s="1" t="str">
        <f t="shared" si="55"/>
        <v>Low</v>
      </c>
    </row>
    <row r="875" spans="1:25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 t="shared" si="52"/>
        <v>1</v>
      </c>
      <c r="W875">
        <f t="shared" si="53"/>
        <v>0</v>
      </c>
      <c r="X875" t="str">
        <f t="shared" si="54"/>
        <v>49+ Months</v>
      </c>
      <c r="Y875" s="1" t="str">
        <f t="shared" si="55"/>
        <v>Medium</v>
      </c>
    </row>
    <row r="876" spans="1:25" x14ac:dyDescent="0.2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 t="shared" si="52"/>
        <v>0</v>
      </c>
      <c r="W876">
        <f t="shared" si="53"/>
        <v>1</v>
      </c>
      <c r="X876" t="str">
        <f t="shared" si="54"/>
        <v>25-48 Months</v>
      </c>
      <c r="Y876" s="1" t="str">
        <f t="shared" si="55"/>
        <v>High</v>
      </c>
    </row>
    <row r="877" spans="1:25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 t="shared" si="52"/>
        <v>0</v>
      </c>
      <c r="W877">
        <f t="shared" si="53"/>
        <v>1</v>
      </c>
      <c r="X877" t="str">
        <f t="shared" si="54"/>
        <v>0-12 Months</v>
      </c>
      <c r="Y877" s="1" t="str">
        <f t="shared" si="55"/>
        <v>Low</v>
      </c>
    </row>
    <row r="878" spans="1:25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 t="shared" si="52"/>
        <v>1</v>
      </c>
      <c r="W878">
        <f t="shared" si="53"/>
        <v>0</v>
      </c>
      <c r="X878" t="str">
        <f t="shared" si="54"/>
        <v>13-24 Months</v>
      </c>
      <c r="Y878" s="1" t="str">
        <f t="shared" si="55"/>
        <v>High</v>
      </c>
    </row>
    <row r="879" spans="1:25" x14ac:dyDescent="0.2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 t="shared" si="52"/>
        <v>0</v>
      </c>
      <c r="W879">
        <f t="shared" si="53"/>
        <v>1</v>
      </c>
      <c r="X879" t="str">
        <f t="shared" si="54"/>
        <v>49+ Months</v>
      </c>
      <c r="Y879" s="1" t="str">
        <f t="shared" si="55"/>
        <v>Medium</v>
      </c>
    </row>
    <row r="880" spans="1:25" x14ac:dyDescent="0.2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 t="shared" si="52"/>
        <v>0</v>
      </c>
      <c r="W880">
        <f t="shared" si="53"/>
        <v>1</v>
      </c>
      <c r="X880" t="str">
        <f t="shared" si="54"/>
        <v>49+ Months</v>
      </c>
      <c r="Y880" s="1" t="str">
        <f t="shared" si="55"/>
        <v>Medium</v>
      </c>
    </row>
    <row r="881" spans="1:25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 t="shared" si="52"/>
        <v>0</v>
      </c>
      <c r="W881">
        <f t="shared" si="53"/>
        <v>1</v>
      </c>
      <c r="X881" t="str">
        <f t="shared" si="54"/>
        <v>25-48 Months</v>
      </c>
      <c r="Y881" s="1" t="str">
        <f t="shared" si="55"/>
        <v>Medium</v>
      </c>
    </row>
    <row r="882" spans="1:25" x14ac:dyDescent="0.2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 t="shared" si="52"/>
        <v>1</v>
      </c>
      <c r="W882">
        <f t="shared" si="53"/>
        <v>0</v>
      </c>
      <c r="X882" t="str">
        <f t="shared" si="54"/>
        <v>0-12 Months</v>
      </c>
      <c r="Y882" s="1" t="str">
        <f t="shared" si="55"/>
        <v>High</v>
      </c>
    </row>
    <row r="883" spans="1:25" x14ac:dyDescent="0.2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 t="shared" si="52"/>
        <v>0</v>
      </c>
      <c r="W883">
        <f t="shared" si="53"/>
        <v>1</v>
      </c>
      <c r="X883" t="str">
        <f t="shared" si="54"/>
        <v>25-48 Months</v>
      </c>
      <c r="Y883" s="1" t="str">
        <f t="shared" si="55"/>
        <v>Low</v>
      </c>
    </row>
    <row r="884" spans="1:25" x14ac:dyDescent="0.2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 t="shared" si="52"/>
        <v>1</v>
      </c>
      <c r="W884">
        <f t="shared" si="53"/>
        <v>0</v>
      </c>
      <c r="X884" t="str">
        <f t="shared" si="54"/>
        <v>0-12 Months</v>
      </c>
      <c r="Y884" s="1" t="str">
        <f t="shared" si="55"/>
        <v>High</v>
      </c>
    </row>
    <row r="885" spans="1:25" x14ac:dyDescent="0.2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 t="shared" si="52"/>
        <v>0</v>
      </c>
      <c r="W885">
        <f t="shared" si="53"/>
        <v>1</v>
      </c>
      <c r="X885" t="str">
        <f t="shared" si="54"/>
        <v>49+ Months</v>
      </c>
      <c r="Y885" s="1" t="str">
        <f t="shared" si="55"/>
        <v>High</v>
      </c>
    </row>
    <row r="886" spans="1:25" x14ac:dyDescent="0.2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 t="shared" si="52"/>
        <v>0</v>
      </c>
      <c r="W886">
        <f t="shared" si="53"/>
        <v>1</v>
      </c>
      <c r="X886" t="str">
        <f t="shared" si="54"/>
        <v>49+ Months</v>
      </c>
      <c r="Y886" s="1" t="str">
        <f t="shared" si="55"/>
        <v>Low</v>
      </c>
    </row>
    <row r="887" spans="1:25" x14ac:dyDescent="0.2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 t="shared" si="52"/>
        <v>0</v>
      </c>
      <c r="W887">
        <f t="shared" si="53"/>
        <v>1</v>
      </c>
      <c r="X887" t="str">
        <f t="shared" si="54"/>
        <v>0-12 Months</v>
      </c>
      <c r="Y887" s="1" t="str">
        <f t="shared" si="55"/>
        <v>Low</v>
      </c>
    </row>
    <row r="888" spans="1:25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 t="shared" si="52"/>
        <v>0</v>
      </c>
      <c r="W888">
        <f t="shared" si="53"/>
        <v>1</v>
      </c>
      <c r="X888" t="str">
        <f t="shared" si="54"/>
        <v>0-12 Months</v>
      </c>
      <c r="Y888" s="1" t="str">
        <f t="shared" si="55"/>
        <v>High</v>
      </c>
    </row>
    <row r="889" spans="1:25" x14ac:dyDescent="0.2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 t="shared" si="52"/>
        <v>0</v>
      </c>
      <c r="W889">
        <f t="shared" si="53"/>
        <v>1</v>
      </c>
      <c r="X889" t="str">
        <f t="shared" si="54"/>
        <v>25-48 Months</v>
      </c>
      <c r="Y889" s="1" t="str">
        <f t="shared" si="55"/>
        <v>High</v>
      </c>
    </row>
    <row r="890" spans="1:25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 t="shared" si="52"/>
        <v>0</v>
      </c>
      <c r="W890">
        <f t="shared" si="53"/>
        <v>1</v>
      </c>
      <c r="X890" t="str">
        <f t="shared" si="54"/>
        <v>25-48 Months</v>
      </c>
      <c r="Y890" s="1" t="str">
        <f t="shared" si="55"/>
        <v>High</v>
      </c>
    </row>
    <row r="891" spans="1:25" x14ac:dyDescent="0.2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 t="shared" si="52"/>
        <v>1</v>
      </c>
      <c r="W891">
        <f t="shared" si="53"/>
        <v>0</v>
      </c>
      <c r="X891" t="str">
        <f t="shared" si="54"/>
        <v>49+ Months</v>
      </c>
      <c r="Y891" s="1" t="str">
        <f t="shared" si="55"/>
        <v>High</v>
      </c>
    </row>
    <row r="892" spans="1:25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 t="shared" si="52"/>
        <v>0</v>
      </c>
      <c r="W892">
        <f t="shared" si="53"/>
        <v>1</v>
      </c>
      <c r="X892" t="str">
        <f t="shared" si="54"/>
        <v>25-48 Months</v>
      </c>
      <c r="Y892" s="1" t="str">
        <f t="shared" si="55"/>
        <v>High</v>
      </c>
    </row>
    <row r="893" spans="1:25" x14ac:dyDescent="0.2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 t="shared" si="52"/>
        <v>1</v>
      </c>
      <c r="W893">
        <f t="shared" si="53"/>
        <v>0</v>
      </c>
      <c r="X893" t="str">
        <f t="shared" si="54"/>
        <v>49+ Months</v>
      </c>
      <c r="Y893" s="1" t="str">
        <f t="shared" si="55"/>
        <v>High</v>
      </c>
    </row>
    <row r="894" spans="1:25" x14ac:dyDescent="0.2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 t="shared" si="52"/>
        <v>0</v>
      </c>
      <c r="W894">
        <f t="shared" si="53"/>
        <v>1</v>
      </c>
      <c r="X894" t="str">
        <f t="shared" si="54"/>
        <v>25-48 Months</v>
      </c>
      <c r="Y894" s="1" t="str">
        <f t="shared" si="55"/>
        <v>High</v>
      </c>
    </row>
    <row r="895" spans="1:25" x14ac:dyDescent="0.2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 t="shared" si="52"/>
        <v>1</v>
      </c>
      <c r="W895">
        <f t="shared" si="53"/>
        <v>0</v>
      </c>
      <c r="X895" t="str">
        <f t="shared" si="54"/>
        <v>0-12 Months</v>
      </c>
      <c r="Y895" s="1" t="str">
        <f t="shared" si="55"/>
        <v>Low</v>
      </c>
    </row>
    <row r="896" spans="1:25" x14ac:dyDescent="0.2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 t="shared" si="52"/>
        <v>0</v>
      </c>
      <c r="W896">
        <f t="shared" si="53"/>
        <v>1</v>
      </c>
      <c r="X896" t="str">
        <f t="shared" si="54"/>
        <v>49+ Months</v>
      </c>
      <c r="Y896" s="1" t="str">
        <f t="shared" si="55"/>
        <v>High</v>
      </c>
    </row>
    <row r="897" spans="1:25" x14ac:dyDescent="0.2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 t="shared" si="52"/>
        <v>0</v>
      </c>
      <c r="W897">
        <f t="shared" si="53"/>
        <v>1</v>
      </c>
      <c r="X897" t="str">
        <f t="shared" si="54"/>
        <v>25-48 Months</v>
      </c>
      <c r="Y897" s="1" t="str">
        <f t="shared" si="55"/>
        <v>High</v>
      </c>
    </row>
    <row r="898" spans="1:25" x14ac:dyDescent="0.2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 t="shared" ref="V898:V961" si="56">IF(U898="Yes",1,0)</f>
        <v>0</v>
      </c>
      <c r="W898">
        <f t="shared" ref="W898:W961" si="57">IF(U898="No",1,0)</f>
        <v>1</v>
      </c>
      <c r="X898" t="str">
        <f t="shared" ref="X898:X961" si="58">IF(F898&lt;=12,"0-12 Months",IF(F898&lt;=24,"13-24 Months",IF(F898&lt;=48,"25-48 Months","49+ Months")))</f>
        <v>49+ Months</v>
      </c>
      <c r="Y898" s="1" t="str">
        <f t="shared" ref="Y898:Y961" si="59">IF(S898&lt;50,"Low",IF(S898&lt;80,"Medium","High"))</f>
        <v>High</v>
      </c>
    </row>
    <row r="899" spans="1:25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 t="shared" si="56"/>
        <v>0</v>
      </c>
      <c r="W899">
        <f t="shared" si="57"/>
        <v>1</v>
      </c>
      <c r="X899" t="str">
        <f t="shared" si="58"/>
        <v>49+ Months</v>
      </c>
      <c r="Y899" s="1" t="str">
        <f t="shared" si="59"/>
        <v>High</v>
      </c>
    </row>
    <row r="900" spans="1:25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 t="shared" si="56"/>
        <v>1</v>
      </c>
      <c r="W900">
        <f t="shared" si="57"/>
        <v>0</v>
      </c>
      <c r="X900" t="str">
        <f t="shared" si="58"/>
        <v>0-12 Months</v>
      </c>
      <c r="Y900" s="1" t="str">
        <f t="shared" si="59"/>
        <v>High</v>
      </c>
    </row>
    <row r="901" spans="1:25" x14ac:dyDescent="0.2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 t="shared" si="56"/>
        <v>0</v>
      </c>
      <c r="W901">
        <f t="shared" si="57"/>
        <v>1</v>
      </c>
      <c r="X901" t="str">
        <f t="shared" si="58"/>
        <v>49+ Months</v>
      </c>
      <c r="Y901" s="1" t="str">
        <f t="shared" si="59"/>
        <v>High</v>
      </c>
    </row>
    <row r="902" spans="1:25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 t="shared" si="56"/>
        <v>0</v>
      </c>
      <c r="W902">
        <f t="shared" si="57"/>
        <v>1</v>
      </c>
      <c r="X902" t="str">
        <f t="shared" si="58"/>
        <v>0-12 Months</v>
      </c>
      <c r="Y902" s="1" t="str">
        <f t="shared" si="59"/>
        <v>Low</v>
      </c>
    </row>
    <row r="903" spans="1:25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 t="shared" si="56"/>
        <v>1</v>
      </c>
      <c r="W903">
        <f t="shared" si="57"/>
        <v>0</v>
      </c>
      <c r="X903" t="str">
        <f t="shared" si="58"/>
        <v>0-12 Months</v>
      </c>
      <c r="Y903" s="1" t="str">
        <f t="shared" si="59"/>
        <v>High</v>
      </c>
    </row>
    <row r="904" spans="1:25" x14ac:dyDescent="0.2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 t="shared" si="56"/>
        <v>1</v>
      </c>
      <c r="W904">
        <f t="shared" si="57"/>
        <v>0</v>
      </c>
      <c r="X904" t="str">
        <f t="shared" si="58"/>
        <v>13-24 Months</v>
      </c>
      <c r="Y904" s="1" t="str">
        <f t="shared" si="59"/>
        <v>High</v>
      </c>
    </row>
    <row r="905" spans="1:25" x14ac:dyDescent="0.2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 t="shared" si="56"/>
        <v>0</v>
      </c>
      <c r="W905">
        <f t="shared" si="57"/>
        <v>1</v>
      </c>
      <c r="X905" t="str">
        <f t="shared" si="58"/>
        <v>49+ Months</v>
      </c>
      <c r="Y905" s="1" t="str">
        <f t="shared" si="59"/>
        <v>High</v>
      </c>
    </row>
    <row r="906" spans="1:25" x14ac:dyDescent="0.2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 t="shared" si="56"/>
        <v>0</v>
      </c>
      <c r="W906">
        <f t="shared" si="57"/>
        <v>1</v>
      </c>
      <c r="X906" t="str">
        <f t="shared" si="58"/>
        <v>49+ Months</v>
      </c>
      <c r="Y906" s="1" t="str">
        <f t="shared" si="59"/>
        <v>High</v>
      </c>
    </row>
    <row r="907" spans="1:25" x14ac:dyDescent="0.2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 t="shared" si="56"/>
        <v>1</v>
      </c>
      <c r="W907">
        <f t="shared" si="57"/>
        <v>0</v>
      </c>
      <c r="X907" t="str">
        <f t="shared" si="58"/>
        <v>0-12 Months</v>
      </c>
      <c r="Y907" s="1" t="str">
        <f t="shared" si="59"/>
        <v>High</v>
      </c>
    </row>
    <row r="908" spans="1:25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 t="shared" si="56"/>
        <v>0</v>
      </c>
      <c r="W908">
        <f t="shared" si="57"/>
        <v>1</v>
      </c>
      <c r="X908" t="str">
        <f t="shared" si="58"/>
        <v>0-12 Months</v>
      </c>
      <c r="Y908" s="1" t="str">
        <f t="shared" si="59"/>
        <v>Medium</v>
      </c>
    </row>
    <row r="909" spans="1:25" x14ac:dyDescent="0.2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 t="shared" si="56"/>
        <v>0</v>
      </c>
      <c r="W909">
        <f t="shared" si="57"/>
        <v>1</v>
      </c>
      <c r="X909" t="str">
        <f t="shared" si="58"/>
        <v>13-24 Months</v>
      </c>
      <c r="Y909" s="1" t="str">
        <f t="shared" si="59"/>
        <v>Medium</v>
      </c>
    </row>
    <row r="910" spans="1:25" x14ac:dyDescent="0.2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 t="shared" si="56"/>
        <v>0</v>
      </c>
      <c r="W910">
        <f t="shared" si="57"/>
        <v>1</v>
      </c>
      <c r="X910" t="str">
        <f t="shared" si="58"/>
        <v>0-12 Months</v>
      </c>
      <c r="Y910" s="1" t="str">
        <f t="shared" si="59"/>
        <v>Low</v>
      </c>
    </row>
    <row r="911" spans="1:25" x14ac:dyDescent="0.2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 t="shared" si="56"/>
        <v>0</v>
      </c>
      <c r="W911">
        <f t="shared" si="57"/>
        <v>1</v>
      </c>
      <c r="X911" t="str">
        <f t="shared" si="58"/>
        <v>49+ Months</v>
      </c>
      <c r="Y911" s="1" t="str">
        <f t="shared" si="59"/>
        <v>High</v>
      </c>
    </row>
    <row r="912" spans="1:25" x14ac:dyDescent="0.2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 t="shared" si="56"/>
        <v>1</v>
      </c>
      <c r="W912">
        <f t="shared" si="57"/>
        <v>0</v>
      </c>
      <c r="X912" t="str">
        <f t="shared" si="58"/>
        <v>0-12 Months</v>
      </c>
      <c r="Y912" s="1" t="str">
        <f t="shared" si="59"/>
        <v>Medium</v>
      </c>
    </row>
    <row r="913" spans="1:25" x14ac:dyDescent="0.2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 t="shared" si="56"/>
        <v>0</v>
      </c>
      <c r="W913">
        <f t="shared" si="57"/>
        <v>1</v>
      </c>
      <c r="X913" t="str">
        <f t="shared" si="58"/>
        <v>13-24 Months</v>
      </c>
      <c r="Y913" s="1" t="str">
        <f t="shared" si="59"/>
        <v>High</v>
      </c>
    </row>
    <row r="914" spans="1:25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 t="shared" si="56"/>
        <v>0</v>
      </c>
      <c r="W914">
        <f t="shared" si="57"/>
        <v>1</v>
      </c>
      <c r="X914" t="str">
        <f t="shared" si="58"/>
        <v>49+ Months</v>
      </c>
      <c r="Y914" s="1" t="str">
        <f t="shared" si="59"/>
        <v>High</v>
      </c>
    </row>
    <row r="915" spans="1:25" x14ac:dyDescent="0.2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 t="shared" si="56"/>
        <v>0</v>
      </c>
      <c r="W915">
        <f t="shared" si="57"/>
        <v>1</v>
      </c>
      <c r="X915" t="str">
        <f t="shared" si="58"/>
        <v>0-12 Months</v>
      </c>
      <c r="Y915" s="1" t="str">
        <f t="shared" si="59"/>
        <v>Low</v>
      </c>
    </row>
    <row r="916" spans="1:25" x14ac:dyDescent="0.2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 t="shared" si="56"/>
        <v>0</v>
      </c>
      <c r="W916">
        <f t="shared" si="57"/>
        <v>1</v>
      </c>
      <c r="X916" t="str">
        <f t="shared" si="58"/>
        <v>49+ Months</v>
      </c>
      <c r="Y916" s="1" t="str">
        <f t="shared" si="59"/>
        <v>Low</v>
      </c>
    </row>
    <row r="917" spans="1:25" x14ac:dyDescent="0.2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 t="shared" si="56"/>
        <v>1</v>
      </c>
      <c r="W917">
        <f t="shared" si="57"/>
        <v>0</v>
      </c>
      <c r="X917" t="str">
        <f t="shared" si="58"/>
        <v>0-12 Months</v>
      </c>
      <c r="Y917" s="1" t="str">
        <f t="shared" si="59"/>
        <v>Medium</v>
      </c>
    </row>
    <row r="918" spans="1:25" x14ac:dyDescent="0.2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 t="shared" si="56"/>
        <v>0</v>
      </c>
      <c r="W918">
        <f t="shared" si="57"/>
        <v>1</v>
      </c>
      <c r="X918" t="str">
        <f t="shared" si="58"/>
        <v>13-24 Months</v>
      </c>
      <c r="Y918" s="1" t="str">
        <f t="shared" si="59"/>
        <v>Medium</v>
      </c>
    </row>
    <row r="919" spans="1:25" x14ac:dyDescent="0.2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 t="shared" si="56"/>
        <v>0</v>
      </c>
      <c r="W919">
        <f t="shared" si="57"/>
        <v>1</v>
      </c>
      <c r="X919" t="str">
        <f t="shared" si="58"/>
        <v>49+ Months</v>
      </c>
      <c r="Y919" s="1" t="str">
        <f t="shared" si="59"/>
        <v>Medium</v>
      </c>
    </row>
    <row r="920" spans="1:25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 t="shared" si="56"/>
        <v>0</v>
      </c>
      <c r="W920">
        <f t="shared" si="57"/>
        <v>1</v>
      </c>
      <c r="X920" t="str">
        <f t="shared" si="58"/>
        <v>25-48 Months</v>
      </c>
      <c r="Y920" s="1" t="str">
        <f t="shared" si="59"/>
        <v>High</v>
      </c>
    </row>
    <row r="921" spans="1:25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 t="shared" si="56"/>
        <v>0</v>
      </c>
      <c r="W921">
        <f t="shared" si="57"/>
        <v>1</v>
      </c>
      <c r="X921" t="str">
        <f t="shared" si="58"/>
        <v>13-24 Months</v>
      </c>
      <c r="Y921" s="1" t="str">
        <f t="shared" si="59"/>
        <v>High</v>
      </c>
    </row>
    <row r="922" spans="1:25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 t="shared" si="56"/>
        <v>0</v>
      </c>
      <c r="W922">
        <f t="shared" si="57"/>
        <v>1</v>
      </c>
      <c r="X922" t="str">
        <f t="shared" si="58"/>
        <v>49+ Months</v>
      </c>
      <c r="Y922" s="1" t="str">
        <f t="shared" si="59"/>
        <v>Low</v>
      </c>
    </row>
    <row r="923" spans="1:25" x14ac:dyDescent="0.2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 t="shared" si="56"/>
        <v>0</v>
      </c>
      <c r="W923">
        <f t="shared" si="57"/>
        <v>1</v>
      </c>
      <c r="X923" t="str">
        <f t="shared" si="58"/>
        <v>0-12 Months</v>
      </c>
      <c r="Y923" s="1" t="str">
        <f t="shared" si="59"/>
        <v>Low</v>
      </c>
    </row>
    <row r="924" spans="1:25" x14ac:dyDescent="0.2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 t="shared" si="56"/>
        <v>0</v>
      </c>
      <c r="W924">
        <f t="shared" si="57"/>
        <v>1</v>
      </c>
      <c r="X924" t="str">
        <f t="shared" si="58"/>
        <v>13-24 Months</v>
      </c>
      <c r="Y924" s="1" t="str">
        <f t="shared" si="59"/>
        <v>Medium</v>
      </c>
    </row>
    <row r="925" spans="1:25" x14ac:dyDescent="0.2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 t="shared" si="56"/>
        <v>0</v>
      </c>
      <c r="W925">
        <f t="shared" si="57"/>
        <v>1</v>
      </c>
      <c r="X925" t="str">
        <f t="shared" si="58"/>
        <v>49+ Months</v>
      </c>
      <c r="Y925" s="1" t="str">
        <f t="shared" si="59"/>
        <v>Medium</v>
      </c>
    </row>
    <row r="926" spans="1:25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 t="shared" si="56"/>
        <v>0</v>
      </c>
      <c r="W926">
        <f t="shared" si="57"/>
        <v>1</v>
      </c>
      <c r="X926" t="str">
        <f t="shared" si="58"/>
        <v>13-24 Months</v>
      </c>
      <c r="Y926" s="1" t="str">
        <f t="shared" si="59"/>
        <v>High</v>
      </c>
    </row>
    <row r="927" spans="1:25" x14ac:dyDescent="0.2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 t="shared" si="56"/>
        <v>0</v>
      </c>
      <c r="W927">
        <f t="shared" si="57"/>
        <v>1</v>
      </c>
      <c r="X927" t="str">
        <f t="shared" si="58"/>
        <v>25-48 Months</v>
      </c>
      <c r="Y927" s="1" t="str">
        <f t="shared" si="59"/>
        <v>Medium</v>
      </c>
    </row>
    <row r="928" spans="1:25" x14ac:dyDescent="0.2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 t="shared" si="56"/>
        <v>1</v>
      </c>
      <c r="W928">
        <f t="shared" si="57"/>
        <v>0</v>
      </c>
      <c r="X928" t="str">
        <f t="shared" si="58"/>
        <v>0-12 Months</v>
      </c>
      <c r="Y928" s="1" t="str">
        <f t="shared" si="59"/>
        <v>Medium</v>
      </c>
    </row>
    <row r="929" spans="1:25" x14ac:dyDescent="0.2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 t="shared" si="56"/>
        <v>1</v>
      </c>
      <c r="W929">
        <f t="shared" si="57"/>
        <v>0</v>
      </c>
      <c r="X929" t="str">
        <f t="shared" si="58"/>
        <v>13-24 Months</v>
      </c>
      <c r="Y929" s="1" t="str">
        <f t="shared" si="59"/>
        <v>High</v>
      </c>
    </row>
    <row r="930" spans="1:25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 t="shared" si="56"/>
        <v>0</v>
      </c>
      <c r="W930">
        <f t="shared" si="57"/>
        <v>1</v>
      </c>
      <c r="X930" t="str">
        <f t="shared" si="58"/>
        <v>49+ Months</v>
      </c>
      <c r="Y930" s="1" t="str">
        <f t="shared" si="59"/>
        <v>High</v>
      </c>
    </row>
    <row r="931" spans="1:25" x14ac:dyDescent="0.2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 t="shared" si="56"/>
        <v>0</v>
      </c>
      <c r="W931">
        <f t="shared" si="57"/>
        <v>1</v>
      </c>
      <c r="X931" t="str">
        <f t="shared" si="58"/>
        <v>25-48 Months</v>
      </c>
      <c r="Y931" s="1" t="str">
        <f t="shared" si="59"/>
        <v>High</v>
      </c>
    </row>
    <row r="932" spans="1:25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 t="shared" si="56"/>
        <v>0</v>
      </c>
      <c r="W932">
        <f t="shared" si="57"/>
        <v>1</v>
      </c>
      <c r="X932" t="str">
        <f t="shared" si="58"/>
        <v>13-24 Months</v>
      </c>
      <c r="Y932" s="1" t="str">
        <f t="shared" si="59"/>
        <v>Medium</v>
      </c>
    </row>
    <row r="933" spans="1:25" x14ac:dyDescent="0.2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 t="shared" si="56"/>
        <v>0</v>
      </c>
      <c r="W933">
        <f t="shared" si="57"/>
        <v>1</v>
      </c>
      <c r="X933" t="str">
        <f t="shared" si="58"/>
        <v>25-48 Months</v>
      </c>
      <c r="Y933" s="1" t="str">
        <f t="shared" si="59"/>
        <v>High</v>
      </c>
    </row>
    <row r="934" spans="1:25" x14ac:dyDescent="0.2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 t="shared" si="56"/>
        <v>0</v>
      </c>
      <c r="W934">
        <f t="shared" si="57"/>
        <v>1</v>
      </c>
      <c r="X934" t="str">
        <f t="shared" si="58"/>
        <v>49+ Months</v>
      </c>
      <c r="Y934" s="1" t="str">
        <f t="shared" si="59"/>
        <v>Low</v>
      </c>
    </row>
    <row r="935" spans="1:25" x14ac:dyDescent="0.2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 t="shared" si="56"/>
        <v>1</v>
      </c>
      <c r="W935">
        <f t="shared" si="57"/>
        <v>0</v>
      </c>
      <c r="X935" t="str">
        <f t="shared" si="58"/>
        <v>0-12 Months</v>
      </c>
      <c r="Y935" s="1" t="str">
        <f t="shared" si="59"/>
        <v>High</v>
      </c>
    </row>
    <row r="936" spans="1:25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 t="shared" si="56"/>
        <v>0</v>
      </c>
      <c r="W936">
        <f t="shared" si="57"/>
        <v>1</v>
      </c>
      <c r="X936" t="str">
        <f t="shared" si="58"/>
        <v>0-12 Months</v>
      </c>
      <c r="Y936" s="1" t="str">
        <f t="shared" si="59"/>
        <v>Low</v>
      </c>
    </row>
    <row r="937" spans="1:25" x14ac:dyDescent="0.2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 t="shared" si="56"/>
        <v>0</v>
      </c>
      <c r="W937">
        <f t="shared" si="57"/>
        <v>1</v>
      </c>
      <c r="X937" t="str">
        <f t="shared" si="58"/>
        <v>0-12 Months</v>
      </c>
      <c r="Y937" s="1" t="str">
        <f t="shared" si="59"/>
        <v>High</v>
      </c>
    </row>
    <row r="938" spans="1:25" x14ac:dyDescent="0.2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>
        <f t="shared" si="56"/>
        <v>0</v>
      </c>
      <c r="W938">
        <f t="shared" si="57"/>
        <v>1</v>
      </c>
      <c r="X938" t="str">
        <f t="shared" si="58"/>
        <v>0-12 Months</v>
      </c>
      <c r="Y938" s="1" t="str">
        <f t="shared" si="59"/>
        <v>High</v>
      </c>
    </row>
    <row r="939" spans="1:25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 t="shared" si="56"/>
        <v>1</v>
      </c>
      <c r="W939">
        <f t="shared" si="57"/>
        <v>0</v>
      </c>
      <c r="X939" t="str">
        <f t="shared" si="58"/>
        <v>0-12 Months</v>
      </c>
      <c r="Y939" s="1" t="str">
        <f t="shared" si="59"/>
        <v>Medium</v>
      </c>
    </row>
    <row r="940" spans="1:25" x14ac:dyDescent="0.2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 t="shared" si="56"/>
        <v>0</v>
      </c>
      <c r="W940">
        <f t="shared" si="57"/>
        <v>1</v>
      </c>
      <c r="X940" t="str">
        <f t="shared" si="58"/>
        <v>49+ Months</v>
      </c>
      <c r="Y940" s="1" t="str">
        <f t="shared" si="59"/>
        <v>High</v>
      </c>
    </row>
    <row r="941" spans="1:25" x14ac:dyDescent="0.2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 t="shared" si="56"/>
        <v>0</v>
      </c>
      <c r="W941">
        <f t="shared" si="57"/>
        <v>1</v>
      </c>
      <c r="X941" t="str">
        <f t="shared" si="58"/>
        <v>13-24 Months</v>
      </c>
      <c r="Y941" s="1" t="str">
        <f t="shared" si="59"/>
        <v>Low</v>
      </c>
    </row>
    <row r="942" spans="1:25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 t="shared" si="56"/>
        <v>0</v>
      </c>
      <c r="W942">
        <f t="shared" si="57"/>
        <v>1</v>
      </c>
      <c r="X942" t="str">
        <f t="shared" si="58"/>
        <v>13-24 Months</v>
      </c>
      <c r="Y942" s="1" t="str">
        <f t="shared" si="59"/>
        <v>Low</v>
      </c>
    </row>
    <row r="943" spans="1:25" x14ac:dyDescent="0.2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 t="shared" si="56"/>
        <v>0</v>
      </c>
      <c r="W943">
        <f t="shared" si="57"/>
        <v>1</v>
      </c>
      <c r="X943" t="str">
        <f t="shared" si="58"/>
        <v>13-24 Months</v>
      </c>
      <c r="Y943" s="1" t="str">
        <f t="shared" si="59"/>
        <v>Low</v>
      </c>
    </row>
    <row r="944" spans="1:25" x14ac:dyDescent="0.2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 t="shared" si="56"/>
        <v>0</v>
      </c>
      <c r="W944">
        <f t="shared" si="57"/>
        <v>1</v>
      </c>
      <c r="X944" t="str">
        <f t="shared" si="58"/>
        <v>13-24 Months</v>
      </c>
      <c r="Y944" s="1" t="str">
        <f t="shared" si="59"/>
        <v>Medium</v>
      </c>
    </row>
    <row r="945" spans="1:25" x14ac:dyDescent="0.2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 t="shared" si="56"/>
        <v>0</v>
      </c>
      <c r="W945">
        <f t="shared" si="57"/>
        <v>1</v>
      </c>
      <c r="X945" t="str">
        <f t="shared" si="58"/>
        <v>49+ Months</v>
      </c>
      <c r="Y945" s="1" t="str">
        <f t="shared" si="59"/>
        <v>Medium</v>
      </c>
    </row>
    <row r="946" spans="1:25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 t="shared" si="56"/>
        <v>0</v>
      </c>
      <c r="W946">
        <f t="shared" si="57"/>
        <v>1</v>
      </c>
      <c r="X946" t="str">
        <f t="shared" si="58"/>
        <v>49+ Months</v>
      </c>
      <c r="Y946" s="1" t="str">
        <f t="shared" si="59"/>
        <v>High</v>
      </c>
    </row>
    <row r="947" spans="1:25" x14ac:dyDescent="0.2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 t="shared" si="56"/>
        <v>1</v>
      </c>
      <c r="W947">
        <f t="shared" si="57"/>
        <v>0</v>
      </c>
      <c r="X947" t="str">
        <f t="shared" si="58"/>
        <v>0-12 Months</v>
      </c>
      <c r="Y947" s="1" t="str">
        <f t="shared" si="59"/>
        <v>Medium</v>
      </c>
    </row>
    <row r="948" spans="1:25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 t="shared" si="56"/>
        <v>0</v>
      </c>
      <c r="W948">
        <f t="shared" si="57"/>
        <v>1</v>
      </c>
      <c r="X948" t="str">
        <f t="shared" si="58"/>
        <v>0-12 Months</v>
      </c>
      <c r="Y948" s="1" t="str">
        <f t="shared" si="59"/>
        <v>Low</v>
      </c>
    </row>
    <row r="949" spans="1:25" x14ac:dyDescent="0.2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 t="shared" si="56"/>
        <v>0</v>
      </c>
      <c r="W949">
        <f t="shared" si="57"/>
        <v>1</v>
      </c>
      <c r="X949" t="str">
        <f t="shared" si="58"/>
        <v>25-48 Months</v>
      </c>
      <c r="Y949" s="1" t="str">
        <f t="shared" si="59"/>
        <v>High</v>
      </c>
    </row>
    <row r="950" spans="1:25" x14ac:dyDescent="0.2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 t="shared" si="56"/>
        <v>1</v>
      </c>
      <c r="W950">
        <f t="shared" si="57"/>
        <v>0</v>
      </c>
      <c r="X950" t="str">
        <f t="shared" si="58"/>
        <v>25-48 Months</v>
      </c>
      <c r="Y950" s="1" t="str">
        <f t="shared" si="59"/>
        <v>High</v>
      </c>
    </row>
    <row r="951" spans="1:25" x14ac:dyDescent="0.2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 t="shared" si="56"/>
        <v>0</v>
      </c>
      <c r="W951">
        <f t="shared" si="57"/>
        <v>1</v>
      </c>
      <c r="X951" t="str">
        <f t="shared" si="58"/>
        <v>25-48 Months</v>
      </c>
      <c r="Y951" s="1" t="str">
        <f t="shared" si="59"/>
        <v>Low</v>
      </c>
    </row>
    <row r="952" spans="1:25" x14ac:dyDescent="0.2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 t="shared" si="56"/>
        <v>1</v>
      </c>
      <c r="W952">
        <f t="shared" si="57"/>
        <v>0</v>
      </c>
      <c r="X952" t="str">
        <f t="shared" si="58"/>
        <v>0-12 Months</v>
      </c>
      <c r="Y952" s="1" t="str">
        <f t="shared" si="59"/>
        <v>Low</v>
      </c>
    </row>
    <row r="953" spans="1:25" x14ac:dyDescent="0.2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 t="shared" si="56"/>
        <v>0</v>
      </c>
      <c r="W953">
        <f t="shared" si="57"/>
        <v>1</v>
      </c>
      <c r="X953" t="str">
        <f t="shared" si="58"/>
        <v>0-12 Months</v>
      </c>
      <c r="Y953" s="1" t="str">
        <f t="shared" si="59"/>
        <v>Medium</v>
      </c>
    </row>
    <row r="954" spans="1:25" x14ac:dyDescent="0.2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 t="shared" si="56"/>
        <v>0</v>
      </c>
      <c r="W954">
        <f t="shared" si="57"/>
        <v>1</v>
      </c>
      <c r="X954" t="str">
        <f t="shared" si="58"/>
        <v>13-24 Months</v>
      </c>
      <c r="Y954" s="1" t="str">
        <f t="shared" si="59"/>
        <v>Medium</v>
      </c>
    </row>
    <row r="955" spans="1:25" x14ac:dyDescent="0.2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 t="shared" si="56"/>
        <v>0</v>
      </c>
      <c r="W955">
        <f t="shared" si="57"/>
        <v>1</v>
      </c>
      <c r="X955" t="str">
        <f t="shared" si="58"/>
        <v>13-24 Months</v>
      </c>
      <c r="Y955" s="1" t="str">
        <f t="shared" si="59"/>
        <v>Medium</v>
      </c>
    </row>
    <row r="956" spans="1:25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 t="shared" si="56"/>
        <v>0</v>
      </c>
      <c r="W956">
        <f t="shared" si="57"/>
        <v>1</v>
      </c>
      <c r="X956" t="str">
        <f t="shared" si="58"/>
        <v>13-24 Months</v>
      </c>
      <c r="Y956" s="1" t="str">
        <f t="shared" si="59"/>
        <v>High</v>
      </c>
    </row>
    <row r="957" spans="1:25" x14ac:dyDescent="0.2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 t="shared" si="56"/>
        <v>1</v>
      </c>
      <c r="W957">
        <f t="shared" si="57"/>
        <v>0</v>
      </c>
      <c r="X957" t="str">
        <f t="shared" si="58"/>
        <v>0-12 Months</v>
      </c>
      <c r="Y957" s="1" t="str">
        <f t="shared" si="59"/>
        <v>Low</v>
      </c>
    </row>
    <row r="958" spans="1:25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 t="shared" si="56"/>
        <v>0</v>
      </c>
      <c r="W958">
        <f t="shared" si="57"/>
        <v>1</v>
      </c>
      <c r="X958" t="str">
        <f t="shared" si="58"/>
        <v>49+ Months</v>
      </c>
      <c r="Y958" s="1" t="str">
        <f t="shared" si="59"/>
        <v>Low</v>
      </c>
    </row>
    <row r="959" spans="1:25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 t="shared" si="56"/>
        <v>0</v>
      </c>
      <c r="W959">
        <f t="shared" si="57"/>
        <v>1</v>
      </c>
      <c r="X959" t="str">
        <f t="shared" si="58"/>
        <v>0-12 Months</v>
      </c>
      <c r="Y959" s="1" t="str">
        <f t="shared" si="59"/>
        <v>Medium</v>
      </c>
    </row>
    <row r="960" spans="1:25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 t="shared" si="56"/>
        <v>0</v>
      </c>
      <c r="W960">
        <f t="shared" si="57"/>
        <v>1</v>
      </c>
      <c r="X960" t="str">
        <f t="shared" si="58"/>
        <v>25-48 Months</v>
      </c>
      <c r="Y960" s="1" t="str">
        <f t="shared" si="59"/>
        <v>High</v>
      </c>
    </row>
    <row r="961" spans="1:25" x14ac:dyDescent="0.2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 t="shared" si="56"/>
        <v>0</v>
      </c>
      <c r="W961">
        <f t="shared" si="57"/>
        <v>1</v>
      </c>
      <c r="X961" t="str">
        <f t="shared" si="58"/>
        <v>25-48 Months</v>
      </c>
      <c r="Y961" s="1" t="str">
        <f t="shared" si="59"/>
        <v>High</v>
      </c>
    </row>
    <row r="962" spans="1:25" x14ac:dyDescent="0.2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 t="shared" ref="V962:V1025" si="60">IF(U962="Yes",1,0)</f>
        <v>0</v>
      </c>
      <c r="W962">
        <f t="shared" ref="W962:W1025" si="61">IF(U962="No",1,0)</f>
        <v>1</v>
      </c>
      <c r="X962" t="str">
        <f t="shared" ref="X962:X1025" si="62">IF(F962&lt;=12,"0-12 Months",IF(F962&lt;=24,"13-24 Months",IF(F962&lt;=48,"25-48 Months","49+ Months")))</f>
        <v>0-12 Months</v>
      </c>
      <c r="Y962" s="1" t="str">
        <f t="shared" ref="Y962:Y1025" si="63">IF(S962&lt;50,"Low",IF(S962&lt;80,"Medium","High"))</f>
        <v>Low</v>
      </c>
    </row>
    <row r="963" spans="1:25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 t="shared" si="60"/>
        <v>0</v>
      </c>
      <c r="W963">
        <f t="shared" si="61"/>
        <v>1</v>
      </c>
      <c r="X963" t="str">
        <f t="shared" si="62"/>
        <v>13-24 Months</v>
      </c>
      <c r="Y963" s="1" t="str">
        <f t="shared" si="63"/>
        <v>Low</v>
      </c>
    </row>
    <row r="964" spans="1:25" x14ac:dyDescent="0.2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 t="shared" si="60"/>
        <v>0</v>
      </c>
      <c r="W964">
        <f t="shared" si="61"/>
        <v>1</v>
      </c>
      <c r="X964" t="str">
        <f t="shared" si="62"/>
        <v>0-12 Months</v>
      </c>
      <c r="Y964" s="1" t="str">
        <f t="shared" si="63"/>
        <v>Medium</v>
      </c>
    </row>
    <row r="965" spans="1:25" x14ac:dyDescent="0.2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 t="shared" si="60"/>
        <v>0</v>
      </c>
      <c r="W965">
        <f t="shared" si="61"/>
        <v>1</v>
      </c>
      <c r="X965" t="str">
        <f t="shared" si="62"/>
        <v>49+ Months</v>
      </c>
      <c r="Y965" s="1" t="str">
        <f t="shared" si="63"/>
        <v>Medium</v>
      </c>
    </row>
    <row r="966" spans="1:25" x14ac:dyDescent="0.2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 t="shared" si="60"/>
        <v>1</v>
      </c>
      <c r="W966">
        <f t="shared" si="61"/>
        <v>0</v>
      </c>
      <c r="X966" t="str">
        <f t="shared" si="62"/>
        <v>0-12 Months</v>
      </c>
      <c r="Y966" s="1" t="str">
        <f t="shared" si="63"/>
        <v>Low</v>
      </c>
    </row>
    <row r="967" spans="1:25" x14ac:dyDescent="0.2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 t="shared" si="60"/>
        <v>1</v>
      </c>
      <c r="W967">
        <f t="shared" si="61"/>
        <v>0</v>
      </c>
      <c r="X967" t="str">
        <f t="shared" si="62"/>
        <v>0-12 Months</v>
      </c>
      <c r="Y967" s="1" t="str">
        <f t="shared" si="63"/>
        <v>High</v>
      </c>
    </row>
    <row r="968" spans="1:25" x14ac:dyDescent="0.2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 t="shared" si="60"/>
        <v>1</v>
      </c>
      <c r="W968">
        <f t="shared" si="61"/>
        <v>0</v>
      </c>
      <c r="X968" t="str">
        <f t="shared" si="62"/>
        <v>0-12 Months</v>
      </c>
      <c r="Y968" s="1" t="str">
        <f t="shared" si="63"/>
        <v>Low</v>
      </c>
    </row>
    <row r="969" spans="1:25" x14ac:dyDescent="0.2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 t="shared" si="60"/>
        <v>0</v>
      </c>
      <c r="W969">
        <f t="shared" si="61"/>
        <v>1</v>
      </c>
      <c r="X969" t="str">
        <f t="shared" si="62"/>
        <v>0-12 Months</v>
      </c>
      <c r="Y969" s="1" t="str">
        <f t="shared" si="63"/>
        <v>Low</v>
      </c>
    </row>
    <row r="970" spans="1:25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 t="shared" si="60"/>
        <v>0</v>
      </c>
      <c r="W970">
        <f t="shared" si="61"/>
        <v>1</v>
      </c>
      <c r="X970" t="str">
        <f t="shared" si="62"/>
        <v>49+ Months</v>
      </c>
      <c r="Y970" s="1" t="str">
        <f t="shared" si="63"/>
        <v>Medium</v>
      </c>
    </row>
    <row r="971" spans="1:25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 t="shared" si="60"/>
        <v>1</v>
      </c>
      <c r="W971">
        <f t="shared" si="61"/>
        <v>0</v>
      </c>
      <c r="X971" t="str">
        <f t="shared" si="62"/>
        <v>0-12 Months</v>
      </c>
      <c r="Y971" s="1" t="str">
        <f t="shared" si="63"/>
        <v>High</v>
      </c>
    </row>
    <row r="972" spans="1:25" x14ac:dyDescent="0.2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 t="shared" si="60"/>
        <v>1</v>
      </c>
      <c r="W972">
        <f t="shared" si="61"/>
        <v>0</v>
      </c>
      <c r="X972" t="str">
        <f t="shared" si="62"/>
        <v>0-12 Months</v>
      </c>
      <c r="Y972" s="1" t="str">
        <f t="shared" si="63"/>
        <v>High</v>
      </c>
    </row>
    <row r="973" spans="1:25" x14ac:dyDescent="0.2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 t="shared" si="60"/>
        <v>0</v>
      </c>
      <c r="W973">
        <f t="shared" si="61"/>
        <v>1</v>
      </c>
      <c r="X973" t="str">
        <f t="shared" si="62"/>
        <v>49+ Months</v>
      </c>
      <c r="Y973" s="1" t="str">
        <f t="shared" si="63"/>
        <v>High</v>
      </c>
    </row>
    <row r="974" spans="1:25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 t="shared" si="60"/>
        <v>0</v>
      </c>
      <c r="W974">
        <f t="shared" si="61"/>
        <v>1</v>
      </c>
      <c r="X974" t="str">
        <f t="shared" si="62"/>
        <v>49+ Months</v>
      </c>
      <c r="Y974" s="1" t="str">
        <f t="shared" si="63"/>
        <v>Medium</v>
      </c>
    </row>
    <row r="975" spans="1:25" x14ac:dyDescent="0.2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 t="shared" si="60"/>
        <v>1</v>
      </c>
      <c r="W975">
        <f t="shared" si="61"/>
        <v>0</v>
      </c>
      <c r="X975" t="str">
        <f t="shared" si="62"/>
        <v>25-48 Months</v>
      </c>
      <c r="Y975" s="1" t="str">
        <f t="shared" si="63"/>
        <v>Low</v>
      </c>
    </row>
    <row r="976" spans="1:25" x14ac:dyDescent="0.2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 t="shared" si="60"/>
        <v>0</v>
      </c>
      <c r="W976">
        <f t="shared" si="61"/>
        <v>1</v>
      </c>
      <c r="X976" t="str">
        <f t="shared" si="62"/>
        <v>49+ Months</v>
      </c>
      <c r="Y976" s="1" t="str">
        <f t="shared" si="63"/>
        <v>Medium</v>
      </c>
    </row>
    <row r="977" spans="1:25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 t="shared" si="60"/>
        <v>1</v>
      </c>
      <c r="W977">
        <f t="shared" si="61"/>
        <v>0</v>
      </c>
      <c r="X977" t="str">
        <f t="shared" si="62"/>
        <v>49+ Months</v>
      </c>
      <c r="Y977" s="1" t="str">
        <f t="shared" si="63"/>
        <v>High</v>
      </c>
    </row>
    <row r="978" spans="1:25" x14ac:dyDescent="0.2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 t="shared" si="60"/>
        <v>1</v>
      </c>
      <c r="W978">
        <f t="shared" si="61"/>
        <v>0</v>
      </c>
      <c r="X978" t="str">
        <f t="shared" si="62"/>
        <v>0-12 Months</v>
      </c>
      <c r="Y978" s="1" t="str">
        <f t="shared" si="63"/>
        <v>Medium</v>
      </c>
    </row>
    <row r="979" spans="1:25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 t="shared" si="60"/>
        <v>0</v>
      </c>
      <c r="W979">
        <f t="shared" si="61"/>
        <v>1</v>
      </c>
      <c r="X979" t="str">
        <f t="shared" si="62"/>
        <v>0-12 Months</v>
      </c>
      <c r="Y979" s="1" t="str">
        <f t="shared" si="63"/>
        <v>Medium</v>
      </c>
    </row>
    <row r="980" spans="1:25" x14ac:dyDescent="0.2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 t="shared" si="60"/>
        <v>1</v>
      </c>
      <c r="W980">
        <f t="shared" si="61"/>
        <v>0</v>
      </c>
      <c r="X980" t="str">
        <f t="shared" si="62"/>
        <v>49+ Months</v>
      </c>
      <c r="Y980" s="1" t="str">
        <f t="shared" si="63"/>
        <v>High</v>
      </c>
    </row>
    <row r="981" spans="1:25" x14ac:dyDescent="0.2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 t="shared" si="60"/>
        <v>0</v>
      </c>
      <c r="W981">
        <f t="shared" si="61"/>
        <v>1</v>
      </c>
      <c r="X981" t="str">
        <f t="shared" si="62"/>
        <v>25-48 Months</v>
      </c>
      <c r="Y981" s="1" t="str">
        <f t="shared" si="63"/>
        <v>Medium</v>
      </c>
    </row>
    <row r="982" spans="1:25" x14ac:dyDescent="0.2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 t="shared" si="60"/>
        <v>0</v>
      </c>
      <c r="W982">
        <f t="shared" si="61"/>
        <v>1</v>
      </c>
      <c r="X982" t="str">
        <f t="shared" si="62"/>
        <v>13-24 Months</v>
      </c>
      <c r="Y982" s="1" t="str">
        <f t="shared" si="63"/>
        <v>Low</v>
      </c>
    </row>
    <row r="983" spans="1:25" x14ac:dyDescent="0.2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 t="shared" si="60"/>
        <v>0</v>
      </c>
      <c r="W983">
        <f t="shared" si="61"/>
        <v>1</v>
      </c>
      <c r="X983" t="str">
        <f t="shared" si="62"/>
        <v>25-48 Months</v>
      </c>
      <c r="Y983" s="1" t="str">
        <f t="shared" si="63"/>
        <v>Low</v>
      </c>
    </row>
    <row r="984" spans="1:25" x14ac:dyDescent="0.2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 t="shared" si="60"/>
        <v>0</v>
      </c>
      <c r="W984">
        <f t="shared" si="61"/>
        <v>1</v>
      </c>
      <c r="X984" t="str">
        <f t="shared" si="62"/>
        <v>25-48 Months</v>
      </c>
      <c r="Y984" s="1" t="str">
        <f t="shared" si="63"/>
        <v>Low</v>
      </c>
    </row>
    <row r="985" spans="1:25" x14ac:dyDescent="0.2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 t="shared" si="60"/>
        <v>1</v>
      </c>
      <c r="W985">
        <f t="shared" si="61"/>
        <v>0</v>
      </c>
      <c r="X985" t="str">
        <f t="shared" si="62"/>
        <v>0-12 Months</v>
      </c>
      <c r="Y985" s="1" t="str">
        <f t="shared" si="63"/>
        <v>High</v>
      </c>
    </row>
    <row r="986" spans="1:25" x14ac:dyDescent="0.2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 t="shared" si="60"/>
        <v>0</v>
      </c>
      <c r="W986">
        <f t="shared" si="61"/>
        <v>1</v>
      </c>
      <c r="X986" t="str">
        <f t="shared" si="62"/>
        <v>49+ Months</v>
      </c>
      <c r="Y986" s="1" t="str">
        <f t="shared" si="63"/>
        <v>Low</v>
      </c>
    </row>
    <row r="987" spans="1:25" x14ac:dyDescent="0.2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 t="shared" si="60"/>
        <v>1</v>
      </c>
      <c r="W987">
        <f t="shared" si="61"/>
        <v>0</v>
      </c>
      <c r="X987" t="str">
        <f t="shared" si="62"/>
        <v>25-48 Months</v>
      </c>
      <c r="Y987" s="1" t="str">
        <f t="shared" si="63"/>
        <v>High</v>
      </c>
    </row>
    <row r="988" spans="1:25" x14ac:dyDescent="0.2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 t="shared" si="60"/>
        <v>0</v>
      </c>
      <c r="W988">
        <f t="shared" si="61"/>
        <v>1</v>
      </c>
      <c r="X988" t="str">
        <f t="shared" si="62"/>
        <v>0-12 Months</v>
      </c>
      <c r="Y988" s="1" t="str">
        <f t="shared" si="63"/>
        <v>Low</v>
      </c>
    </row>
    <row r="989" spans="1:25" x14ac:dyDescent="0.2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 t="shared" si="60"/>
        <v>0</v>
      </c>
      <c r="W989">
        <f t="shared" si="61"/>
        <v>1</v>
      </c>
      <c r="X989" t="str">
        <f t="shared" si="62"/>
        <v>0-12 Months</v>
      </c>
      <c r="Y989" s="1" t="str">
        <f t="shared" si="63"/>
        <v>Low</v>
      </c>
    </row>
    <row r="990" spans="1:25" x14ac:dyDescent="0.2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 t="shared" si="60"/>
        <v>0</v>
      </c>
      <c r="W990">
        <f t="shared" si="61"/>
        <v>1</v>
      </c>
      <c r="X990" t="str">
        <f t="shared" si="62"/>
        <v>25-48 Months</v>
      </c>
      <c r="Y990" s="1" t="str">
        <f t="shared" si="63"/>
        <v>Low</v>
      </c>
    </row>
    <row r="991" spans="1:25" x14ac:dyDescent="0.2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 t="shared" si="60"/>
        <v>0</v>
      </c>
      <c r="W991">
        <f t="shared" si="61"/>
        <v>1</v>
      </c>
      <c r="X991" t="str">
        <f t="shared" si="62"/>
        <v>25-48 Months</v>
      </c>
      <c r="Y991" s="1" t="str">
        <f t="shared" si="63"/>
        <v>Low</v>
      </c>
    </row>
    <row r="992" spans="1:25" x14ac:dyDescent="0.2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 t="shared" si="60"/>
        <v>0</v>
      </c>
      <c r="W992">
        <f t="shared" si="61"/>
        <v>1</v>
      </c>
      <c r="X992" t="str">
        <f t="shared" si="62"/>
        <v>49+ Months</v>
      </c>
      <c r="Y992" s="1" t="str">
        <f t="shared" si="63"/>
        <v>High</v>
      </c>
    </row>
    <row r="993" spans="1:25" x14ac:dyDescent="0.2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 t="shared" si="60"/>
        <v>0</v>
      </c>
      <c r="W993">
        <f t="shared" si="61"/>
        <v>1</v>
      </c>
      <c r="X993" t="str">
        <f t="shared" si="62"/>
        <v>49+ Months</v>
      </c>
      <c r="Y993" s="1" t="str">
        <f t="shared" si="63"/>
        <v>Low</v>
      </c>
    </row>
    <row r="994" spans="1:25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 t="shared" si="60"/>
        <v>0</v>
      </c>
      <c r="W994">
        <f t="shared" si="61"/>
        <v>1</v>
      </c>
      <c r="X994" t="str">
        <f t="shared" si="62"/>
        <v>13-24 Months</v>
      </c>
      <c r="Y994" s="1" t="str">
        <f t="shared" si="63"/>
        <v>Low</v>
      </c>
    </row>
    <row r="995" spans="1:25" x14ac:dyDescent="0.2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 t="shared" si="60"/>
        <v>0</v>
      </c>
      <c r="W995">
        <f t="shared" si="61"/>
        <v>1</v>
      </c>
      <c r="X995" t="str">
        <f t="shared" si="62"/>
        <v>0-12 Months</v>
      </c>
      <c r="Y995" s="1" t="str">
        <f t="shared" si="63"/>
        <v>Low</v>
      </c>
    </row>
    <row r="996" spans="1:25" x14ac:dyDescent="0.2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 t="shared" si="60"/>
        <v>0</v>
      </c>
      <c r="W996">
        <f t="shared" si="61"/>
        <v>1</v>
      </c>
      <c r="X996" t="str">
        <f t="shared" si="62"/>
        <v>13-24 Months</v>
      </c>
      <c r="Y996" s="1" t="str">
        <f t="shared" si="63"/>
        <v>Low</v>
      </c>
    </row>
    <row r="997" spans="1:25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 t="shared" si="60"/>
        <v>1</v>
      </c>
      <c r="W997">
        <f t="shared" si="61"/>
        <v>0</v>
      </c>
      <c r="X997" t="str">
        <f t="shared" si="62"/>
        <v>25-48 Months</v>
      </c>
      <c r="Y997" s="1" t="str">
        <f t="shared" si="63"/>
        <v>High</v>
      </c>
    </row>
    <row r="998" spans="1:25" x14ac:dyDescent="0.2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 t="shared" si="60"/>
        <v>1</v>
      </c>
      <c r="W998">
        <f t="shared" si="61"/>
        <v>0</v>
      </c>
      <c r="X998" t="str">
        <f t="shared" si="62"/>
        <v>25-48 Months</v>
      </c>
      <c r="Y998" s="1" t="str">
        <f t="shared" si="63"/>
        <v>Medium</v>
      </c>
    </row>
    <row r="999" spans="1:25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 t="shared" si="60"/>
        <v>1</v>
      </c>
      <c r="W999">
        <f t="shared" si="61"/>
        <v>0</v>
      </c>
      <c r="X999" t="str">
        <f t="shared" si="62"/>
        <v>0-12 Months</v>
      </c>
      <c r="Y999" s="1" t="str">
        <f t="shared" si="63"/>
        <v>High</v>
      </c>
    </row>
    <row r="1000" spans="1:25" x14ac:dyDescent="0.2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 t="shared" si="60"/>
        <v>0</v>
      </c>
      <c r="W1000">
        <f t="shared" si="61"/>
        <v>1</v>
      </c>
      <c r="X1000" t="str">
        <f t="shared" si="62"/>
        <v>49+ Months</v>
      </c>
      <c r="Y1000" s="1" t="str">
        <f t="shared" si="63"/>
        <v>Low</v>
      </c>
    </row>
    <row r="1001" spans="1:25" x14ac:dyDescent="0.2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 t="shared" si="60"/>
        <v>0</v>
      </c>
      <c r="W1001">
        <f t="shared" si="61"/>
        <v>1</v>
      </c>
      <c r="X1001" t="str">
        <f t="shared" si="62"/>
        <v>0-12 Months</v>
      </c>
      <c r="Y1001" s="1" t="str">
        <f t="shared" si="63"/>
        <v>Medium</v>
      </c>
    </row>
    <row r="1002" spans="1:25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 t="shared" si="60"/>
        <v>1</v>
      </c>
      <c r="W1002">
        <f t="shared" si="61"/>
        <v>0</v>
      </c>
      <c r="X1002" t="str">
        <f t="shared" si="62"/>
        <v>0-12 Months</v>
      </c>
      <c r="Y1002" s="1" t="str">
        <f t="shared" si="63"/>
        <v>High</v>
      </c>
    </row>
    <row r="1003" spans="1:25" x14ac:dyDescent="0.2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 t="shared" si="60"/>
        <v>1</v>
      </c>
      <c r="W1003">
        <f t="shared" si="61"/>
        <v>0</v>
      </c>
      <c r="X1003" t="str">
        <f t="shared" si="62"/>
        <v>25-48 Months</v>
      </c>
      <c r="Y1003" s="1" t="str">
        <f t="shared" si="63"/>
        <v>Medium</v>
      </c>
    </row>
    <row r="1004" spans="1:25" x14ac:dyDescent="0.2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 t="shared" si="60"/>
        <v>0</v>
      </c>
      <c r="W1004">
        <f t="shared" si="61"/>
        <v>1</v>
      </c>
      <c r="X1004" t="str">
        <f t="shared" si="62"/>
        <v>0-12 Months</v>
      </c>
      <c r="Y1004" s="1" t="str">
        <f t="shared" si="63"/>
        <v>Medium</v>
      </c>
    </row>
    <row r="1005" spans="1:25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 t="shared" si="60"/>
        <v>0</v>
      </c>
      <c r="W1005">
        <f t="shared" si="61"/>
        <v>1</v>
      </c>
      <c r="X1005" t="str">
        <f t="shared" si="62"/>
        <v>25-48 Months</v>
      </c>
      <c r="Y1005" s="1" t="str">
        <f t="shared" si="63"/>
        <v>Low</v>
      </c>
    </row>
    <row r="1006" spans="1:25" x14ac:dyDescent="0.2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 t="shared" si="60"/>
        <v>0</v>
      </c>
      <c r="W1006">
        <f t="shared" si="61"/>
        <v>1</v>
      </c>
      <c r="X1006" t="str">
        <f t="shared" si="62"/>
        <v>13-24 Months</v>
      </c>
      <c r="Y1006" s="1" t="str">
        <f t="shared" si="63"/>
        <v>Low</v>
      </c>
    </row>
    <row r="1007" spans="1:25" x14ac:dyDescent="0.2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 t="shared" si="60"/>
        <v>0</v>
      </c>
      <c r="W1007">
        <f t="shared" si="61"/>
        <v>1</v>
      </c>
      <c r="X1007" t="str">
        <f t="shared" si="62"/>
        <v>49+ Months</v>
      </c>
      <c r="Y1007" s="1" t="str">
        <f t="shared" si="63"/>
        <v>High</v>
      </c>
    </row>
    <row r="1008" spans="1:25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 t="shared" si="60"/>
        <v>1</v>
      </c>
      <c r="W1008">
        <f t="shared" si="61"/>
        <v>0</v>
      </c>
      <c r="X1008" t="str">
        <f t="shared" si="62"/>
        <v>13-24 Months</v>
      </c>
      <c r="Y1008" s="1" t="str">
        <f t="shared" si="63"/>
        <v>High</v>
      </c>
    </row>
    <row r="1009" spans="1:25" x14ac:dyDescent="0.2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 t="shared" si="60"/>
        <v>1</v>
      </c>
      <c r="W1009">
        <f t="shared" si="61"/>
        <v>0</v>
      </c>
      <c r="X1009" t="str">
        <f t="shared" si="62"/>
        <v>0-12 Months</v>
      </c>
      <c r="Y1009" s="1" t="str">
        <f t="shared" si="63"/>
        <v>Medium</v>
      </c>
    </row>
    <row r="1010" spans="1:25" x14ac:dyDescent="0.2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 t="shared" si="60"/>
        <v>1</v>
      </c>
      <c r="W1010">
        <f t="shared" si="61"/>
        <v>0</v>
      </c>
      <c r="X1010" t="str">
        <f t="shared" si="62"/>
        <v>25-48 Months</v>
      </c>
      <c r="Y1010" s="1" t="str">
        <f t="shared" si="63"/>
        <v>High</v>
      </c>
    </row>
    <row r="1011" spans="1:25" x14ac:dyDescent="0.2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 t="shared" si="60"/>
        <v>0</v>
      </c>
      <c r="W1011">
        <f t="shared" si="61"/>
        <v>1</v>
      </c>
      <c r="X1011" t="str">
        <f t="shared" si="62"/>
        <v>13-24 Months</v>
      </c>
      <c r="Y1011" s="1" t="str">
        <f t="shared" si="63"/>
        <v>Low</v>
      </c>
    </row>
    <row r="1012" spans="1:25" x14ac:dyDescent="0.2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 t="shared" si="60"/>
        <v>0</v>
      </c>
      <c r="W1012">
        <f t="shared" si="61"/>
        <v>1</v>
      </c>
      <c r="X1012" t="str">
        <f t="shared" si="62"/>
        <v>0-12 Months</v>
      </c>
      <c r="Y1012" s="1" t="str">
        <f t="shared" si="63"/>
        <v>Medium</v>
      </c>
    </row>
    <row r="1013" spans="1:25" x14ac:dyDescent="0.2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 t="shared" si="60"/>
        <v>0</v>
      </c>
      <c r="W1013">
        <f t="shared" si="61"/>
        <v>1</v>
      </c>
      <c r="X1013" t="str">
        <f t="shared" si="62"/>
        <v>49+ Months</v>
      </c>
      <c r="Y1013" s="1" t="str">
        <f t="shared" si="63"/>
        <v>Medium</v>
      </c>
    </row>
    <row r="1014" spans="1:25" x14ac:dyDescent="0.2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 t="shared" si="60"/>
        <v>0</v>
      </c>
      <c r="W1014">
        <f t="shared" si="61"/>
        <v>1</v>
      </c>
      <c r="X1014" t="str">
        <f t="shared" si="62"/>
        <v>0-12 Months</v>
      </c>
      <c r="Y1014" s="1" t="str">
        <f t="shared" si="63"/>
        <v>High</v>
      </c>
    </row>
    <row r="1015" spans="1:25" x14ac:dyDescent="0.2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 t="shared" si="60"/>
        <v>0</v>
      </c>
      <c r="W1015">
        <f t="shared" si="61"/>
        <v>1</v>
      </c>
      <c r="X1015" t="str">
        <f t="shared" si="62"/>
        <v>0-12 Months</v>
      </c>
      <c r="Y1015" s="1" t="str">
        <f t="shared" si="63"/>
        <v>Low</v>
      </c>
    </row>
    <row r="1016" spans="1:25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 t="shared" si="60"/>
        <v>1</v>
      </c>
      <c r="W1016">
        <f t="shared" si="61"/>
        <v>0</v>
      </c>
      <c r="X1016" t="str">
        <f t="shared" si="62"/>
        <v>13-24 Months</v>
      </c>
      <c r="Y1016" s="1" t="str">
        <f t="shared" si="63"/>
        <v>Medium</v>
      </c>
    </row>
    <row r="1017" spans="1:25" x14ac:dyDescent="0.2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 t="shared" si="60"/>
        <v>1</v>
      </c>
      <c r="W1017">
        <f t="shared" si="61"/>
        <v>0</v>
      </c>
      <c r="X1017" t="str">
        <f t="shared" si="62"/>
        <v>0-12 Months</v>
      </c>
      <c r="Y1017" s="1" t="str">
        <f t="shared" si="63"/>
        <v>Medium</v>
      </c>
    </row>
    <row r="1018" spans="1:25" x14ac:dyDescent="0.2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 t="shared" si="60"/>
        <v>0</v>
      </c>
      <c r="W1018">
        <f t="shared" si="61"/>
        <v>1</v>
      </c>
      <c r="X1018" t="str">
        <f t="shared" si="62"/>
        <v>49+ Months</v>
      </c>
      <c r="Y1018" s="1" t="str">
        <f t="shared" si="63"/>
        <v>High</v>
      </c>
    </row>
    <row r="1019" spans="1:25" x14ac:dyDescent="0.2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 t="shared" si="60"/>
        <v>0</v>
      </c>
      <c r="W1019">
        <f t="shared" si="61"/>
        <v>1</v>
      </c>
      <c r="X1019" t="str">
        <f t="shared" si="62"/>
        <v>49+ Months</v>
      </c>
      <c r="Y1019" s="1" t="str">
        <f t="shared" si="63"/>
        <v>Low</v>
      </c>
    </row>
    <row r="1020" spans="1:25" x14ac:dyDescent="0.2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 t="shared" si="60"/>
        <v>0</v>
      </c>
      <c r="W1020">
        <f t="shared" si="61"/>
        <v>1</v>
      </c>
      <c r="X1020" t="str">
        <f t="shared" si="62"/>
        <v>0-12 Months</v>
      </c>
      <c r="Y1020" s="1" t="str">
        <f t="shared" si="63"/>
        <v>Low</v>
      </c>
    </row>
    <row r="1021" spans="1:25" x14ac:dyDescent="0.2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 t="shared" si="60"/>
        <v>0</v>
      </c>
      <c r="W1021">
        <f t="shared" si="61"/>
        <v>1</v>
      </c>
      <c r="X1021" t="str">
        <f t="shared" si="62"/>
        <v>13-24 Months</v>
      </c>
      <c r="Y1021" s="1" t="str">
        <f t="shared" si="63"/>
        <v>Low</v>
      </c>
    </row>
    <row r="1022" spans="1:25" x14ac:dyDescent="0.2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 t="shared" si="60"/>
        <v>0</v>
      </c>
      <c r="W1022">
        <f t="shared" si="61"/>
        <v>1</v>
      </c>
      <c r="X1022" t="str">
        <f t="shared" si="62"/>
        <v>25-48 Months</v>
      </c>
      <c r="Y1022" s="1" t="str">
        <f t="shared" si="63"/>
        <v>Medium</v>
      </c>
    </row>
    <row r="1023" spans="1:25" x14ac:dyDescent="0.2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 t="shared" si="60"/>
        <v>0</v>
      </c>
      <c r="W1023">
        <f t="shared" si="61"/>
        <v>1</v>
      </c>
      <c r="X1023" t="str">
        <f t="shared" si="62"/>
        <v>25-48 Months</v>
      </c>
      <c r="Y1023" s="1" t="str">
        <f t="shared" si="63"/>
        <v>Medium</v>
      </c>
    </row>
    <row r="1024" spans="1:25" x14ac:dyDescent="0.2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 t="shared" si="60"/>
        <v>0</v>
      </c>
      <c r="W1024">
        <f t="shared" si="61"/>
        <v>1</v>
      </c>
      <c r="X1024" t="str">
        <f t="shared" si="62"/>
        <v>0-12 Months</v>
      </c>
      <c r="Y1024" s="1" t="str">
        <f t="shared" si="63"/>
        <v>High</v>
      </c>
    </row>
    <row r="1025" spans="1:25" x14ac:dyDescent="0.2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 t="shared" si="60"/>
        <v>0</v>
      </c>
      <c r="W1025">
        <f t="shared" si="61"/>
        <v>1</v>
      </c>
      <c r="X1025" t="str">
        <f t="shared" si="62"/>
        <v>25-48 Months</v>
      </c>
      <c r="Y1025" s="1" t="str">
        <f t="shared" si="63"/>
        <v>High</v>
      </c>
    </row>
    <row r="1026" spans="1:25" x14ac:dyDescent="0.2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 t="shared" ref="V1026:V1089" si="64">IF(U1026="Yes",1,0)</f>
        <v>0</v>
      </c>
      <c r="W1026">
        <f t="shared" ref="W1026:W1089" si="65">IF(U1026="No",1,0)</f>
        <v>1</v>
      </c>
      <c r="X1026" t="str">
        <f t="shared" ref="X1026:X1089" si="66">IF(F1026&lt;=12,"0-12 Months",IF(F1026&lt;=24,"13-24 Months",IF(F1026&lt;=48,"25-48 Months","49+ Months")))</f>
        <v>25-48 Months</v>
      </c>
      <c r="Y1026" s="1" t="str">
        <f t="shared" ref="Y1026:Y1089" si="67">IF(S1026&lt;50,"Low",IF(S1026&lt;80,"Medium","High"))</f>
        <v>Medium</v>
      </c>
    </row>
    <row r="1027" spans="1:25" x14ac:dyDescent="0.2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 t="shared" si="64"/>
        <v>0</v>
      </c>
      <c r="W1027">
        <f t="shared" si="65"/>
        <v>1</v>
      </c>
      <c r="X1027" t="str">
        <f t="shared" si="66"/>
        <v>49+ Months</v>
      </c>
      <c r="Y1027" s="1" t="str">
        <f t="shared" si="67"/>
        <v>High</v>
      </c>
    </row>
    <row r="1028" spans="1:25" x14ac:dyDescent="0.2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 t="shared" si="64"/>
        <v>1</v>
      </c>
      <c r="W1028">
        <f t="shared" si="65"/>
        <v>0</v>
      </c>
      <c r="X1028" t="str">
        <f t="shared" si="66"/>
        <v>0-12 Months</v>
      </c>
      <c r="Y1028" s="1" t="str">
        <f t="shared" si="67"/>
        <v>High</v>
      </c>
    </row>
    <row r="1029" spans="1:25" x14ac:dyDescent="0.2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 t="shared" si="64"/>
        <v>0</v>
      </c>
      <c r="W1029">
        <f t="shared" si="65"/>
        <v>1</v>
      </c>
      <c r="X1029" t="str">
        <f t="shared" si="66"/>
        <v>25-48 Months</v>
      </c>
      <c r="Y1029" s="1" t="str">
        <f t="shared" si="67"/>
        <v>High</v>
      </c>
    </row>
    <row r="1030" spans="1:25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 t="shared" si="64"/>
        <v>1</v>
      </c>
      <c r="W1030">
        <f t="shared" si="65"/>
        <v>0</v>
      </c>
      <c r="X1030" t="str">
        <f t="shared" si="66"/>
        <v>25-48 Months</v>
      </c>
      <c r="Y1030" s="1" t="str">
        <f t="shared" si="67"/>
        <v>High</v>
      </c>
    </row>
    <row r="1031" spans="1:25" x14ac:dyDescent="0.2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 t="shared" si="64"/>
        <v>1</v>
      </c>
      <c r="W1031">
        <f t="shared" si="65"/>
        <v>0</v>
      </c>
      <c r="X1031" t="str">
        <f t="shared" si="66"/>
        <v>0-12 Months</v>
      </c>
      <c r="Y1031" s="1" t="str">
        <f t="shared" si="67"/>
        <v>High</v>
      </c>
    </row>
    <row r="1032" spans="1:25" x14ac:dyDescent="0.2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 t="shared" si="64"/>
        <v>0</v>
      </c>
      <c r="W1032">
        <f t="shared" si="65"/>
        <v>1</v>
      </c>
      <c r="X1032" t="str">
        <f t="shared" si="66"/>
        <v>49+ Months</v>
      </c>
      <c r="Y1032" s="1" t="str">
        <f t="shared" si="67"/>
        <v>Medium</v>
      </c>
    </row>
    <row r="1033" spans="1:25" x14ac:dyDescent="0.2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 t="shared" si="64"/>
        <v>0</v>
      </c>
      <c r="W1033">
        <f t="shared" si="65"/>
        <v>1</v>
      </c>
      <c r="X1033" t="str">
        <f t="shared" si="66"/>
        <v>25-48 Months</v>
      </c>
      <c r="Y1033" s="1" t="str">
        <f t="shared" si="67"/>
        <v>Medium</v>
      </c>
    </row>
    <row r="1034" spans="1:25" x14ac:dyDescent="0.2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 t="shared" si="64"/>
        <v>1</v>
      </c>
      <c r="W1034">
        <f t="shared" si="65"/>
        <v>0</v>
      </c>
      <c r="X1034" t="str">
        <f t="shared" si="66"/>
        <v>0-12 Months</v>
      </c>
      <c r="Y1034" s="1" t="str">
        <f t="shared" si="67"/>
        <v>High</v>
      </c>
    </row>
    <row r="1035" spans="1:25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 t="shared" si="64"/>
        <v>0</v>
      </c>
      <c r="W1035">
        <f t="shared" si="65"/>
        <v>1</v>
      </c>
      <c r="X1035" t="str">
        <f t="shared" si="66"/>
        <v>49+ Months</v>
      </c>
      <c r="Y1035" s="1" t="str">
        <f t="shared" si="67"/>
        <v>Low</v>
      </c>
    </row>
    <row r="1036" spans="1:25" x14ac:dyDescent="0.2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 t="shared" si="64"/>
        <v>0</v>
      </c>
      <c r="W1036">
        <f t="shared" si="65"/>
        <v>1</v>
      </c>
      <c r="X1036" t="str">
        <f t="shared" si="66"/>
        <v>49+ Months</v>
      </c>
      <c r="Y1036" s="1" t="str">
        <f t="shared" si="67"/>
        <v>High</v>
      </c>
    </row>
    <row r="1037" spans="1:25" x14ac:dyDescent="0.2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 t="shared" si="64"/>
        <v>0</v>
      </c>
      <c r="W1037">
        <f t="shared" si="65"/>
        <v>1</v>
      </c>
      <c r="X1037" t="str">
        <f t="shared" si="66"/>
        <v>49+ Months</v>
      </c>
      <c r="Y1037" s="1" t="str">
        <f t="shared" si="67"/>
        <v>Low</v>
      </c>
    </row>
    <row r="1038" spans="1:25" x14ac:dyDescent="0.2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 t="shared" si="64"/>
        <v>0</v>
      </c>
      <c r="W1038">
        <f t="shared" si="65"/>
        <v>1</v>
      </c>
      <c r="X1038" t="str">
        <f t="shared" si="66"/>
        <v>49+ Months</v>
      </c>
      <c r="Y1038" s="1" t="str">
        <f t="shared" si="67"/>
        <v>High</v>
      </c>
    </row>
    <row r="1039" spans="1:25" x14ac:dyDescent="0.2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 t="shared" si="64"/>
        <v>0</v>
      </c>
      <c r="W1039">
        <f t="shared" si="65"/>
        <v>1</v>
      </c>
      <c r="X1039" t="str">
        <f t="shared" si="66"/>
        <v>13-24 Months</v>
      </c>
      <c r="Y1039" s="1" t="str">
        <f t="shared" si="67"/>
        <v>Low</v>
      </c>
    </row>
    <row r="1040" spans="1:25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 t="shared" si="64"/>
        <v>0</v>
      </c>
      <c r="W1040">
        <f t="shared" si="65"/>
        <v>1</v>
      </c>
      <c r="X1040" t="str">
        <f t="shared" si="66"/>
        <v>49+ Months</v>
      </c>
      <c r="Y1040" s="1" t="str">
        <f t="shared" si="67"/>
        <v>High</v>
      </c>
    </row>
    <row r="1041" spans="1:25" x14ac:dyDescent="0.2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 t="shared" si="64"/>
        <v>1</v>
      </c>
      <c r="W1041">
        <f t="shared" si="65"/>
        <v>0</v>
      </c>
      <c r="X1041" t="str">
        <f t="shared" si="66"/>
        <v>25-48 Months</v>
      </c>
      <c r="Y1041" s="1" t="str">
        <f t="shared" si="67"/>
        <v>Medium</v>
      </c>
    </row>
    <row r="1042" spans="1:25" x14ac:dyDescent="0.2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 t="shared" si="64"/>
        <v>1</v>
      </c>
      <c r="W1042">
        <f t="shared" si="65"/>
        <v>0</v>
      </c>
      <c r="X1042" t="str">
        <f t="shared" si="66"/>
        <v>13-24 Months</v>
      </c>
      <c r="Y1042" s="1" t="str">
        <f t="shared" si="67"/>
        <v>High</v>
      </c>
    </row>
    <row r="1043" spans="1:25" x14ac:dyDescent="0.2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 t="shared" si="64"/>
        <v>0</v>
      </c>
      <c r="W1043">
        <f t="shared" si="65"/>
        <v>1</v>
      </c>
      <c r="X1043" t="str">
        <f t="shared" si="66"/>
        <v>13-24 Months</v>
      </c>
      <c r="Y1043" s="1" t="str">
        <f t="shared" si="67"/>
        <v>Low</v>
      </c>
    </row>
    <row r="1044" spans="1:25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 t="shared" si="64"/>
        <v>0</v>
      </c>
      <c r="W1044">
        <f t="shared" si="65"/>
        <v>1</v>
      </c>
      <c r="X1044" t="str">
        <f t="shared" si="66"/>
        <v>13-24 Months</v>
      </c>
      <c r="Y1044" s="1" t="str">
        <f t="shared" si="67"/>
        <v>Medium</v>
      </c>
    </row>
    <row r="1045" spans="1:25" x14ac:dyDescent="0.2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 t="shared" si="64"/>
        <v>1</v>
      </c>
      <c r="W1045">
        <f t="shared" si="65"/>
        <v>0</v>
      </c>
      <c r="X1045" t="str">
        <f t="shared" si="66"/>
        <v>25-48 Months</v>
      </c>
      <c r="Y1045" s="1" t="str">
        <f t="shared" si="67"/>
        <v>Medium</v>
      </c>
    </row>
    <row r="1046" spans="1:25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 t="shared" si="64"/>
        <v>0</v>
      </c>
      <c r="W1046">
        <f t="shared" si="65"/>
        <v>1</v>
      </c>
      <c r="X1046" t="str">
        <f t="shared" si="66"/>
        <v>0-12 Months</v>
      </c>
      <c r="Y1046" s="1" t="str">
        <f t="shared" si="67"/>
        <v>Medium</v>
      </c>
    </row>
    <row r="1047" spans="1:25" x14ac:dyDescent="0.2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 t="shared" si="64"/>
        <v>0</v>
      </c>
      <c r="W1047">
        <f t="shared" si="65"/>
        <v>1</v>
      </c>
      <c r="X1047" t="str">
        <f t="shared" si="66"/>
        <v>25-48 Months</v>
      </c>
      <c r="Y1047" s="1" t="str">
        <f t="shared" si="67"/>
        <v>High</v>
      </c>
    </row>
    <row r="1048" spans="1:25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 t="shared" si="64"/>
        <v>0</v>
      </c>
      <c r="W1048">
        <f t="shared" si="65"/>
        <v>1</v>
      </c>
      <c r="X1048" t="str">
        <f t="shared" si="66"/>
        <v>49+ Months</v>
      </c>
      <c r="Y1048" s="1" t="str">
        <f t="shared" si="67"/>
        <v>Medium</v>
      </c>
    </row>
    <row r="1049" spans="1:25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 t="shared" si="64"/>
        <v>0</v>
      </c>
      <c r="W1049">
        <f t="shared" si="65"/>
        <v>1</v>
      </c>
      <c r="X1049" t="str">
        <f t="shared" si="66"/>
        <v>0-12 Months</v>
      </c>
      <c r="Y1049" s="1" t="str">
        <f t="shared" si="67"/>
        <v>Medium</v>
      </c>
    </row>
    <row r="1050" spans="1:25" x14ac:dyDescent="0.2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 t="shared" si="64"/>
        <v>0</v>
      </c>
      <c r="W1050">
        <f t="shared" si="65"/>
        <v>1</v>
      </c>
      <c r="X1050" t="str">
        <f t="shared" si="66"/>
        <v>25-48 Months</v>
      </c>
      <c r="Y1050" s="1" t="str">
        <f t="shared" si="67"/>
        <v>Low</v>
      </c>
    </row>
    <row r="1051" spans="1:25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 t="shared" si="64"/>
        <v>1</v>
      </c>
      <c r="W1051">
        <f t="shared" si="65"/>
        <v>0</v>
      </c>
      <c r="X1051" t="str">
        <f t="shared" si="66"/>
        <v>0-12 Months</v>
      </c>
      <c r="Y1051" s="1" t="str">
        <f t="shared" si="67"/>
        <v>Low</v>
      </c>
    </row>
    <row r="1052" spans="1:25" x14ac:dyDescent="0.2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 t="shared" si="64"/>
        <v>1</v>
      </c>
      <c r="W1052">
        <f t="shared" si="65"/>
        <v>0</v>
      </c>
      <c r="X1052" t="str">
        <f t="shared" si="66"/>
        <v>0-12 Months</v>
      </c>
      <c r="Y1052" s="1" t="str">
        <f t="shared" si="67"/>
        <v>Low</v>
      </c>
    </row>
    <row r="1053" spans="1:25" x14ac:dyDescent="0.2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 t="shared" si="64"/>
        <v>0</v>
      </c>
      <c r="W1053">
        <f t="shared" si="65"/>
        <v>1</v>
      </c>
      <c r="X1053" t="str">
        <f t="shared" si="66"/>
        <v>13-24 Months</v>
      </c>
      <c r="Y1053" s="1" t="str">
        <f t="shared" si="67"/>
        <v>Low</v>
      </c>
    </row>
    <row r="1054" spans="1:25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 t="shared" si="64"/>
        <v>0</v>
      </c>
      <c r="W1054">
        <f t="shared" si="65"/>
        <v>1</v>
      </c>
      <c r="X1054" t="str">
        <f t="shared" si="66"/>
        <v>25-48 Months</v>
      </c>
      <c r="Y1054" s="1" t="str">
        <f t="shared" si="67"/>
        <v>High</v>
      </c>
    </row>
    <row r="1055" spans="1:25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 t="shared" si="64"/>
        <v>1</v>
      </c>
      <c r="W1055">
        <f t="shared" si="65"/>
        <v>0</v>
      </c>
      <c r="X1055" t="str">
        <f t="shared" si="66"/>
        <v>0-12 Months</v>
      </c>
      <c r="Y1055" s="1" t="str">
        <f t="shared" si="67"/>
        <v>Low</v>
      </c>
    </row>
    <row r="1056" spans="1:25" x14ac:dyDescent="0.2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 t="shared" si="64"/>
        <v>1</v>
      </c>
      <c r="W1056">
        <f t="shared" si="65"/>
        <v>0</v>
      </c>
      <c r="X1056" t="str">
        <f t="shared" si="66"/>
        <v>25-48 Months</v>
      </c>
      <c r="Y1056" s="1" t="str">
        <f t="shared" si="67"/>
        <v>High</v>
      </c>
    </row>
    <row r="1057" spans="1:25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 t="shared" si="64"/>
        <v>0</v>
      </c>
      <c r="W1057">
        <f t="shared" si="65"/>
        <v>1</v>
      </c>
      <c r="X1057" t="str">
        <f t="shared" si="66"/>
        <v>25-48 Months</v>
      </c>
      <c r="Y1057" s="1" t="str">
        <f t="shared" si="67"/>
        <v>Low</v>
      </c>
    </row>
    <row r="1058" spans="1:25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 t="shared" si="64"/>
        <v>1</v>
      </c>
      <c r="W1058">
        <f t="shared" si="65"/>
        <v>0</v>
      </c>
      <c r="X1058" t="str">
        <f t="shared" si="66"/>
        <v>0-12 Months</v>
      </c>
      <c r="Y1058" s="1" t="str">
        <f t="shared" si="67"/>
        <v>High</v>
      </c>
    </row>
    <row r="1059" spans="1:25" x14ac:dyDescent="0.2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 t="shared" si="64"/>
        <v>1</v>
      </c>
      <c r="W1059">
        <f t="shared" si="65"/>
        <v>0</v>
      </c>
      <c r="X1059" t="str">
        <f t="shared" si="66"/>
        <v>0-12 Months</v>
      </c>
      <c r="Y1059" s="1" t="str">
        <f t="shared" si="67"/>
        <v>High</v>
      </c>
    </row>
    <row r="1060" spans="1:25" x14ac:dyDescent="0.2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 t="shared" si="64"/>
        <v>1</v>
      </c>
      <c r="W1060">
        <f t="shared" si="65"/>
        <v>0</v>
      </c>
      <c r="X1060" t="str">
        <f t="shared" si="66"/>
        <v>0-12 Months</v>
      </c>
      <c r="Y1060" s="1" t="str">
        <f t="shared" si="67"/>
        <v>High</v>
      </c>
    </row>
    <row r="1061" spans="1:25" x14ac:dyDescent="0.2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 t="shared" si="64"/>
        <v>1</v>
      </c>
      <c r="W1061">
        <f t="shared" si="65"/>
        <v>0</v>
      </c>
      <c r="X1061" t="str">
        <f t="shared" si="66"/>
        <v>13-24 Months</v>
      </c>
      <c r="Y1061" s="1" t="str">
        <f t="shared" si="67"/>
        <v>High</v>
      </c>
    </row>
    <row r="1062" spans="1:25" x14ac:dyDescent="0.2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 t="shared" si="64"/>
        <v>0</v>
      </c>
      <c r="W1062">
        <f t="shared" si="65"/>
        <v>1</v>
      </c>
      <c r="X1062" t="str">
        <f t="shared" si="66"/>
        <v>25-48 Months</v>
      </c>
      <c r="Y1062" s="1" t="str">
        <f t="shared" si="67"/>
        <v>Low</v>
      </c>
    </row>
    <row r="1063" spans="1:25" x14ac:dyDescent="0.2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 t="shared" si="64"/>
        <v>0</v>
      </c>
      <c r="W1063">
        <f t="shared" si="65"/>
        <v>1</v>
      </c>
      <c r="X1063" t="str">
        <f t="shared" si="66"/>
        <v>49+ Months</v>
      </c>
      <c r="Y1063" s="1" t="str">
        <f t="shared" si="67"/>
        <v>High</v>
      </c>
    </row>
    <row r="1064" spans="1:25" x14ac:dyDescent="0.2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 t="shared" si="64"/>
        <v>0</v>
      </c>
      <c r="W1064">
        <f t="shared" si="65"/>
        <v>1</v>
      </c>
      <c r="X1064" t="str">
        <f t="shared" si="66"/>
        <v>25-48 Months</v>
      </c>
      <c r="Y1064" s="1" t="str">
        <f t="shared" si="67"/>
        <v>Medium</v>
      </c>
    </row>
    <row r="1065" spans="1:25" x14ac:dyDescent="0.2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 t="shared" si="64"/>
        <v>0</v>
      </c>
      <c r="W1065">
        <f t="shared" si="65"/>
        <v>1</v>
      </c>
      <c r="X1065" t="str">
        <f t="shared" si="66"/>
        <v>0-12 Months</v>
      </c>
      <c r="Y1065" s="1" t="str">
        <f t="shared" si="67"/>
        <v>Medium</v>
      </c>
    </row>
    <row r="1066" spans="1:25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 t="shared" si="64"/>
        <v>0</v>
      </c>
      <c r="W1066">
        <f t="shared" si="65"/>
        <v>1</v>
      </c>
      <c r="X1066" t="str">
        <f t="shared" si="66"/>
        <v>13-24 Months</v>
      </c>
      <c r="Y1066" s="1" t="str">
        <f t="shared" si="67"/>
        <v>Medium</v>
      </c>
    </row>
    <row r="1067" spans="1:25" x14ac:dyDescent="0.2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 t="shared" si="64"/>
        <v>1</v>
      </c>
      <c r="W1067">
        <f t="shared" si="65"/>
        <v>0</v>
      </c>
      <c r="X1067" t="str">
        <f t="shared" si="66"/>
        <v>13-24 Months</v>
      </c>
      <c r="Y1067" s="1" t="str">
        <f t="shared" si="67"/>
        <v>High</v>
      </c>
    </row>
    <row r="1068" spans="1:25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 t="shared" si="64"/>
        <v>0</v>
      </c>
      <c r="W1068">
        <f t="shared" si="65"/>
        <v>1</v>
      </c>
      <c r="X1068" t="str">
        <f t="shared" si="66"/>
        <v>25-48 Months</v>
      </c>
      <c r="Y1068" s="1" t="str">
        <f t="shared" si="67"/>
        <v>Low</v>
      </c>
    </row>
    <row r="1069" spans="1:25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 t="shared" si="64"/>
        <v>0</v>
      </c>
      <c r="W1069">
        <f t="shared" si="65"/>
        <v>1</v>
      </c>
      <c r="X1069" t="str">
        <f t="shared" si="66"/>
        <v>13-24 Months</v>
      </c>
      <c r="Y1069" s="1" t="str">
        <f t="shared" si="67"/>
        <v>High</v>
      </c>
    </row>
    <row r="1070" spans="1:25" x14ac:dyDescent="0.2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 t="shared" si="64"/>
        <v>1</v>
      </c>
      <c r="W1070">
        <f t="shared" si="65"/>
        <v>0</v>
      </c>
      <c r="X1070" t="str">
        <f t="shared" si="66"/>
        <v>49+ Months</v>
      </c>
      <c r="Y1070" s="1" t="str">
        <f t="shared" si="67"/>
        <v>High</v>
      </c>
    </row>
    <row r="1071" spans="1:25" x14ac:dyDescent="0.2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 t="shared" si="64"/>
        <v>0</v>
      </c>
      <c r="W1071">
        <f t="shared" si="65"/>
        <v>1</v>
      </c>
      <c r="X1071" t="str">
        <f t="shared" si="66"/>
        <v>13-24 Months</v>
      </c>
      <c r="Y1071" s="1" t="str">
        <f t="shared" si="67"/>
        <v>Medium</v>
      </c>
    </row>
    <row r="1072" spans="1:25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 t="shared" si="64"/>
        <v>1</v>
      </c>
      <c r="W1072">
        <f t="shared" si="65"/>
        <v>0</v>
      </c>
      <c r="X1072" t="str">
        <f t="shared" si="66"/>
        <v>0-12 Months</v>
      </c>
      <c r="Y1072" s="1" t="str">
        <f t="shared" si="67"/>
        <v>Medium</v>
      </c>
    </row>
    <row r="1073" spans="1:25" x14ac:dyDescent="0.2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 t="shared" si="64"/>
        <v>1</v>
      </c>
      <c r="W1073">
        <f t="shared" si="65"/>
        <v>0</v>
      </c>
      <c r="X1073" t="str">
        <f t="shared" si="66"/>
        <v>0-12 Months</v>
      </c>
      <c r="Y1073" s="1" t="str">
        <f t="shared" si="67"/>
        <v>Low</v>
      </c>
    </row>
    <row r="1074" spans="1:25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 t="shared" si="64"/>
        <v>0</v>
      </c>
      <c r="W1074">
        <f t="shared" si="65"/>
        <v>1</v>
      </c>
      <c r="X1074" t="str">
        <f t="shared" si="66"/>
        <v>13-24 Months</v>
      </c>
      <c r="Y1074" s="1" t="str">
        <f t="shared" si="67"/>
        <v>Medium</v>
      </c>
    </row>
    <row r="1075" spans="1:25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 t="shared" si="64"/>
        <v>1</v>
      </c>
      <c r="W1075">
        <f t="shared" si="65"/>
        <v>0</v>
      </c>
      <c r="X1075" t="str">
        <f t="shared" si="66"/>
        <v>0-12 Months</v>
      </c>
      <c r="Y1075" s="1" t="str">
        <f t="shared" si="67"/>
        <v>High</v>
      </c>
    </row>
    <row r="1076" spans="1:25" x14ac:dyDescent="0.2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 t="shared" si="64"/>
        <v>0</v>
      </c>
      <c r="W1076">
        <f t="shared" si="65"/>
        <v>1</v>
      </c>
      <c r="X1076" t="str">
        <f t="shared" si="66"/>
        <v>0-12 Months</v>
      </c>
      <c r="Y1076" s="1" t="str">
        <f t="shared" si="67"/>
        <v>Low</v>
      </c>
    </row>
    <row r="1077" spans="1:25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 t="shared" si="64"/>
        <v>0</v>
      </c>
      <c r="W1077">
        <f t="shared" si="65"/>
        <v>1</v>
      </c>
      <c r="X1077" t="str">
        <f t="shared" si="66"/>
        <v>49+ Months</v>
      </c>
      <c r="Y1077" s="1" t="str">
        <f t="shared" si="67"/>
        <v>High</v>
      </c>
    </row>
    <row r="1078" spans="1:25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 t="shared" si="64"/>
        <v>0</v>
      </c>
      <c r="W1078">
        <f t="shared" si="65"/>
        <v>1</v>
      </c>
      <c r="X1078" t="str">
        <f t="shared" si="66"/>
        <v>49+ Months</v>
      </c>
      <c r="Y1078" s="1" t="str">
        <f t="shared" si="67"/>
        <v>Low</v>
      </c>
    </row>
    <row r="1079" spans="1:25" x14ac:dyDescent="0.2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 t="shared" si="64"/>
        <v>1</v>
      </c>
      <c r="W1079">
        <f t="shared" si="65"/>
        <v>0</v>
      </c>
      <c r="X1079" t="str">
        <f t="shared" si="66"/>
        <v>25-48 Months</v>
      </c>
      <c r="Y1079" s="1" t="str">
        <f t="shared" si="67"/>
        <v>High</v>
      </c>
    </row>
    <row r="1080" spans="1:25" x14ac:dyDescent="0.2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 t="shared" si="64"/>
        <v>0</v>
      </c>
      <c r="W1080">
        <f t="shared" si="65"/>
        <v>1</v>
      </c>
      <c r="X1080" t="str">
        <f t="shared" si="66"/>
        <v>49+ Months</v>
      </c>
      <c r="Y1080" s="1" t="str">
        <f t="shared" si="67"/>
        <v>Medium</v>
      </c>
    </row>
    <row r="1081" spans="1:25" x14ac:dyDescent="0.2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 t="shared" si="64"/>
        <v>0</v>
      </c>
      <c r="W1081">
        <f t="shared" si="65"/>
        <v>1</v>
      </c>
      <c r="X1081" t="str">
        <f t="shared" si="66"/>
        <v>0-12 Months</v>
      </c>
      <c r="Y1081" s="1" t="str">
        <f t="shared" si="67"/>
        <v>Medium</v>
      </c>
    </row>
    <row r="1082" spans="1:25" x14ac:dyDescent="0.2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 t="shared" si="64"/>
        <v>0</v>
      </c>
      <c r="W1082">
        <f t="shared" si="65"/>
        <v>1</v>
      </c>
      <c r="X1082" t="str">
        <f t="shared" si="66"/>
        <v>25-48 Months</v>
      </c>
      <c r="Y1082" s="1" t="str">
        <f t="shared" si="67"/>
        <v>Low</v>
      </c>
    </row>
    <row r="1083" spans="1:25" x14ac:dyDescent="0.2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 t="shared" si="64"/>
        <v>0</v>
      </c>
      <c r="W1083">
        <f t="shared" si="65"/>
        <v>1</v>
      </c>
      <c r="X1083" t="str">
        <f t="shared" si="66"/>
        <v>25-48 Months</v>
      </c>
      <c r="Y1083" s="1" t="str">
        <f t="shared" si="67"/>
        <v>High</v>
      </c>
    </row>
    <row r="1084" spans="1:25" x14ac:dyDescent="0.2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>
        <f t="shared" si="64"/>
        <v>0</v>
      </c>
      <c r="W1084">
        <f t="shared" si="65"/>
        <v>1</v>
      </c>
      <c r="X1084" t="str">
        <f t="shared" si="66"/>
        <v>0-12 Months</v>
      </c>
      <c r="Y1084" s="1" t="str">
        <f t="shared" si="67"/>
        <v>Low</v>
      </c>
    </row>
    <row r="1085" spans="1:25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 t="shared" si="64"/>
        <v>1</v>
      </c>
      <c r="W1085">
        <f t="shared" si="65"/>
        <v>0</v>
      </c>
      <c r="X1085" t="str">
        <f t="shared" si="66"/>
        <v>0-12 Months</v>
      </c>
      <c r="Y1085" s="1" t="str">
        <f t="shared" si="67"/>
        <v>High</v>
      </c>
    </row>
    <row r="1086" spans="1:25" x14ac:dyDescent="0.2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 t="shared" si="64"/>
        <v>0</v>
      </c>
      <c r="W1086">
        <f t="shared" si="65"/>
        <v>1</v>
      </c>
      <c r="X1086" t="str">
        <f t="shared" si="66"/>
        <v>49+ Months</v>
      </c>
      <c r="Y1086" s="1" t="str">
        <f t="shared" si="67"/>
        <v>Low</v>
      </c>
    </row>
    <row r="1087" spans="1:25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 t="shared" si="64"/>
        <v>1</v>
      </c>
      <c r="W1087">
        <f t="shared" si="65"/>
        <v>0</v>
      </c>
      <c r="X1087" t="str">
        <f t="shared" si="66"/>
        <v>13-24 Months</v>
      </c>
      <c r="Y1087" s="1" t="str">
        <f t="shared" si="67"/>
        <v>Medium</v>
      </c>
    </row>
    <row r="1088" spans="1:25" x14ac:dyDescent="0.2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 t="shared" si="64"/>
        <v>1</v>
      </c>
      <c r="W1088">
        <f t="shared" si="65"/>
        <v>0</v>
      </c>
      <c r="X1088" t="str">
        <f t="shared" si="66"/>
        <v>0-12 Months</v>
      </c>
      <c r="Y1088" s="1" t="str">
        <f t="shared" si="67"/>
        <v>High</v>
      </c>
    </row>
    <row r="1089" spans="1:25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 t="shared" si="64"/>
        <v>0</v>
      </c>
      <c r="W1089">
        <f t="shared" si="65"/>
        <v>1</v>
      </c>
      <c r="X1089" t="str">
        <f t="shared" si="66"/>
        <v>25-48 Months</v>
      </c>
      <c r="Y1089" s="1" t="str">
        <f t="shared" si="67"/>
        <v>High</v>
      </c>
    </row>
    <row r="1090" spans="1:25" x14ac:dyDescent="0.2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 t="shared" ref="V1090:V1153" si="68">IF(U1090="Yes",1,0)</f>
        <v>1</v>
      </c>
      <c r="W1090">
        <f t="shared" ref="W1090:W1153" si="69">IF(U1090="No",1,0)</f>
        <v>0</v>
      </c>
      <c r="X1090" t="str">
        <f t="shared" ref="X1090:X1153" si="70">IF(F1090&lt;=12,"0-12 Months",IF(F1090&lt;=24,"13-24 Months",IF(F1090&lt;=48,"25-48 Months","49+ Months")))</f>
        <v>13-24 Months</v>
      </c>
      <c r="Y1090" s="1" t="str">
        <f t="shared" ref="Y1090:Y1153" si="71">IF(S1090&lt;50,"Low",IF(S1090&lt;80,"Medium","High"))</f>
        <v>High</v>
      </c>
    </row>
    <row r="1091" spans="1:25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 t="shared" si="68"/>
        <v>0</v>
      </c>
      <c r="W1091">
        <f t="shared" si="69"/>
        <v>1</v>
      </c>
      <c r="X1091" t="str">
        <f t="shared" si="70"/>
        <v>13-24 Months</v>
      </c>
      <c r="Y1091" s="1" t="str">
        <f t="shared" si="71"/>
        <v>Medium</v>
      </c>
    </row>
    <row r="1092" spans="1:25" x14ac:dyDescent="0.2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 t="shared" si="68"/>
        <v>0</v>
      </c>
      <c r="W1092">
        <f t="shared" si="69"/>
        <v>1</v>
      </c>
      <c r="X1092" t="str">
        <f t="shared" si="70"/>
        <v>49+ Months</v>
      </c>
      <c r="Y1092" s="1" t="str">
        <f t="shared" si="71"/>
        <v>High</v>
      </c>
    </row>
    <row r="1093" spans="1:25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 t="shared" si="68"/>
        <v>0</v>
      </c>
      <c r="W1093">
        <f t="shared" si="69"/>
        <v>1</v>
      </c>
      <c r="X1093" t="str">
        <f t="shared" si="70"/>
        <v>25-48 Months</v>
      </c>
      <c r="Y1093" s="1" t="str">
        <f t="shared" si="71"/>
        <v>Medium</v>
      </c>
    </row>
    <row r="1094" spans="1:25" x14ac:dyDescent="0.2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 t="shared" si="68"/>
        <v>0</v>
      </c>
      <c r="W1094">
        <f t="shared" si="69"/>
        <v>1</v>
      </c>
      <c r="X1094" t="str">
        <f t="shared" si="70"/>
        <v>49+ Months</v>
      </c>
      <c r="Y1094" s="1" t="str">
        <f t="shared" si="71"/>
        <v>Medium</v>
      </c>
    </row>
    <row r="1095" spans="1:25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 t="shared" si="68"/>
        <v>0</v>
      </c>
      <c r="W1095">
        <f t="shared" si="69"/>
        <v>1</v>
      </c>
      <c r="X1095" t="str">
        <f t="shared" si="70"/>
        <v>49+ Months</v>
      </c>
      <c r="Y1095" s="1" t="str">
        <f t="shared" si="71"/>
        <v>High</v>
      </c>
    </row>
    <row r="1096" spans="1:25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 t="shared" si="68"/>
        <v>0</v>
      </c>
      <c r="W1096">
        <f t="shared" si="69"/>
        <v>1</v>
      </c>
      <c r="X1096" t="str">
        <f t="shared" si="70"/>
        <v>25-48 Months</v>
      </c>
      <c r="Y1096" s="1" t="str">
        <f t="shared" si="71"/>
        <v>Medium</v>
      </c>
    </row>
    <row r="1097" spans="1:25" x14ac:dyDescent="0.2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 t="shared" si="68"/>
        <v>0</v>
      </c>
      <c r="W1097">
        <f t="shared" si="69"/>
        <v>1</v>
      </c>
      <c r="X1097" t="str">
        <f t="shared" si="70"/>
        <v>0-12 Months</v>
      </c>
      <c r="Y1097" s="1" t="str">
        <f t="shared" si="71"/>
        <v>High</v>
      </c>
    </row>
    <row r="1098" spans="1:25" x14ac:dyDescent="0.2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 t="shared" si="68"/>
        <v>0</v>
      </c>
      <c r="W1098">
        <f t="shared" si="69"/>
        <v>1</v>
      </c>
      <c r="X1098" t="str">
        <f t="shared" si="70"/>
        <v>0-12 Months</v>
      </c>
      <c r="Y1098" s="1" t="str">
        <f t="shared" si="71"/>
        <v>High</v>
      </c>
    </row>
    <row r="1099" spans="1:25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 t="shared" si="68"/>
        <v>1</v>
      </c>
      <c r="W1099">
        <f t="shared" si="69"/>
        <v>0</v>
      </c>
      <c r="X1099" t="str">
        <f t="shared" si="70"/>
        <v>25-48 Months</v>
      </c>
      <c r="Y1099" s="1" t="str">
        <f t="shared" si="71"/>
        <v>High</v>
      </c>
    </row>
    <row r="1100" spans="1:25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 t="shared" si="68"/>
        <v>0</v>
      </c>
      <c r="W1100">
        <f t="shared" si="69"/>
        <v>1</v>
      </c>
      <c r="X1100" t="str">
        <f t="shared" si="70"/>
        <v>49+ Months</v>
      </c>
      <c r="Y1100" s="1" t="str">
        <f t="shared" si="71"/>
        <v>High</v>
      </c>
    </row>
    <row r="1101" spans="1:25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 t="shared" si="68"/>
        <v>0</v>
      </c>
      <c r="W1101">
        <f t="shared" si="69"/>
        <v>1</v>
      </c>
      <c r="X1101" t="str">
        <f t="shared" si="70"/>
        <v>0-12 Months</v>
      </c>
      <c r="Y1101" s="1" t="str">
        <f t="shared" si="71"/>
        <v>Medium</v>
      </c>
    </row>
    <row r="1102" spans="1:25" x14ac:dyDescent="0.2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 t="shared" si="68"/>
        <v>0</v>
      </c>
      <c r="W1102">
        <f t="shared" si="69"/>
        <v>1</v>
      </c>
      <c r="X1102" t="str">
        <f t="shared" si="70"/>
        <v>13-24 Months</v>
      </c>
      <c r="Y1102" s="1" t="str">
        <f t="shared" si="71"/>
        <v>Low</v>
      </c>
    </row>
    <row r="1103" spans="1:25" x14ac:dyDescent="0.2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 t="shared" si="68"/>
        <v>0</v>
      </c>
      <c r="W1103">
        <f t="shared" si="69"/>
        <v>1</v>
      </c>
      <c r="X1103" t="str">
        <f t="shared" si="70"/>
        <v>13-24 Months</v>
      </c>
      <c r="Y1103" s="1" t="str">
        <f t="shared" si="71"/>
        <v>Low</v>
      </c>
    </row>
    <row r="1104" spans="1:25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 t="shared" si="68"/>
        <v>1</v>
      </c>
      <c r="W1104">
        <f t="shared" si="69"/>
        <v>0</v>
      </c>
      <c r="X1104" t="str">
        <f t="shared" si="70"/>
        <v>0-12 Months</v>
      </c>
      <c r="Y1104" s="1" t="str">
        <f t="shared" si="71"/>
        <v>Medium</v>
      </c>
    </row>
    <row r="1105" spans="1:25" x14ac:dyDescent="0.2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 t="shared" si="68"/>
        <v>0</v>
      </c>
      <c r="W1105">
        <f t="shared" si="69"/>
        <v>1</v>
      </c>
      <c r="X1105" t="str">
        <f t="shared" si="70"/>
        <v>49+ Months</v>
      </c>
      <c r="Y1105" s="1" t="str">
        <f t="shared" si="71"/>
        <v>High</v>
      </c>
    </row>
    <row r="1106" spans="1:25" x14ac:dyDescent="0.2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 t="shared" si="68"/>
        <v>0</v>
      </c>
      <c r="W1106">
        <f t="shared" si="69"/>
        <v>1</v>
      </c>
      <c r="X1106" t="str">
        <f t="shared" si="70"/>
        <v>25-48 Months</v>
      </c>
      <c r="Y1106" s="1" t="str">
        <f t="shared" si="71"/>
        <v>Low</v>
      </c>
    </row>
    <row r="1107" spans="1:25" x14ac:dyDescent="0.2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 t="shared" si="68"/>
        <v>0</v>
      </c>
      <c r="W1107">
        <f t="shared" si="69"/>
        <v>1</v>
      </c>
      <c r="X1107" t="str">
        <f t="shared" si="70"/>
        <v>0-12 Months</v>
      </c>
      <c r="Y1107" s="1" t="str">
        <f t="shared" si="71"/>
        <v>Medium</v>
      </c>
    </row>
    <row r="1108" spans="1:25" x14ac:dyDescent="0.2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 t="shared" si="68"/>
        <v>0</v>
      </c>
      <c r="W1108">
        <f t="shared" si="69"/>
        <v>1</v>
      </c>
      <c r="X1108" t="str">
        <f t="shared" si="70"/>
        <v>49+ Months</v>
      </c>
      <c r="Y1108" s="1" t="str">
        <f t="shared" si="71"/>
        <v>High</v>
      </c>
    </row>
    <row r="1109" spans="1:25" x14ac:dyDescent="0.2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 t="shared" si="68"/>
        <v>0</v>
      </c>
      <c r="W1109">
        <f t="shared" si="69"/>
        <v>1</v>
      </c>
      <c r="X1109" t="str">
        <f t="shared" si="70"/>
        <v>49+ Months</v>
      </c>
      <c r="Y1109" s="1" t="str">
        <f t="shared" si="71"/>
        <v>Low</v>
      </c>
    </row>
    <row r="1110" spans="1:25" x14ac:dyDescent="0.2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 t="shared" si="68"/>
        <v>0</v>
      </c>
      <c r="W1110">
        <f t="shared" si="69"/>
        <v>1</v>
      </c>
      <c r="X1110" t="str">
        <f t="shared" si="70"/>
        <v>49+ Months</v>
      </c>
      <c r="Y1110" s="1" t="str">
        <f t="shared" si="71"/>
        <v>Low</v>
      </c>
    </row>
    <row r="1111" spans="1:25" x14ac:dyDescent="0.2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 t="shared" si="68"/>
        <v>0</v>
      </c>
      <c r="W1111">
        <f t="shared" si="69"/>
        <v>1</v>
      </c>
      <c r="X1111" t="str">
        <f t="shared" si="70"/>
        <v>25-48 Months</v>
      </c>
      <c r="Y1111" s="1" t="str">
        <f t="shared" si="71"/>
        <v>Medium</v>
      </c>
    </row>
    <row r="1112" spans="1:25" x14ac:dyDescent="0.2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 t="shared" si="68"/>
        <v>0</v>
      </c>
      <c r="W1112">
        <f t="shared" si="69"/>
        <v>1</v>
      </c>
      <c r="X1112" t="str">
        <f t="shared" si="70"/>
        <v>49+ Months</v>
      </c>
      <c r="Y1112" s="1" t="str">
        <f t="shared" si="71"/>
        <v>Low</v>
      </c>
    </row>
    <row r="1113" spans="1:25" x14ac:dyDescent="0.2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 t="shared" si="68"/>
        <v>1</v>
      </c>
      <c r="W1113">
        <f t="shared" si="69"/>
        <v>0</v>
      </c>
      <c r="X1113" t="str">
        <f t="shared" si="70"/>
        <v>0-12 Months</v>
      </c>
      <c r="Y1113" s="1" t="str">
        <f t="shared" si="71"/>
        <v>High</v>
      </c>
    </row>
    <row r="1114" spans="1:25" x14ac:dyDescent="0.2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 t="shared" si="68"/>
        <v>0</v>
      </c>
      <c r="W1114">
        <f t="shared" si="69"/>
        <v>1</v>
      </c>
      <c r="X1114" t="str">
        <f t="shared" si="70"/>
        <v>49+ Months</v>
      </c>
      <c r="Y1114" s="1" t="str">
        <f t="shared" si="71"/>
        <v>High</v>
      </c>
    </row>
    <row r="1115" spans="1:25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 t="shared" si="68"/>
        <v>1</v>
      </c>
      <c r="W1115">
        <f t="shared" si="69"/>
        <v>0</v>
      </c>
      <c r="X1115" t="str">
        <f t="shared" si="70"/>
        <v>25-48 Months</v>
      </c>
      <c r="Y1115" s="1" t="str">
        <f t="shared" si="71"/>
        <v>Medium</v>
      </c>
    </row>
    <row r="1116" spans="1:25" x14ac:dyDescent="0.2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 t="shared" si="68"/>
        <v>0</v>
      </c>
      <c r="W1116">
        <f t="shared" si="69"/>
        <v>1</v>
      </c>
      <c r="X1116" t="str">
        <f t="shared" si="70"/>
        <v>25-48 Months</v>
      </c>
      <c r="Y1116" s="1" t="str">
        <f t="shared" si="71"/>
        <v>High</v>
      </c>
    </row>
    <row r="1117" spans="1:25" x14ac:dyDescent="0.2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 t="shared" si="68"/>
        <v>0</v>
      </c>
      <c r="W1117">
        <f t="shared" si="69"/>
        <v>1</v>
      </c>
      <c r="X1117" t="str">
        <f t="shared" si="70"/>
        <v>25-48 Months</v>
      </c>
      <c r="Y1117" s="1" t="str">
        <f t="shared" si="71"/>
        <v>Medium</v>
      </c>
    </row>
    <row r="1118" spans="1:25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 t="shared" si="68"/>
        <v>0</v>
      </c>
      <c r="W1118">
        <f t="shared" si="69"/>
        <v>1</v>
      </c>
      <c r="X1118" t="str">
        <f t="shared" si="70"/>
        <v>25-48 Months</v>
      </c>
      <c r="Y1118" s="1" t="str">
        <f t="shared" si="71"/>
        <v>Low</v>
      </c>
    </row>
    <row r="1119" spans="1:25" x14ac:dyDescent="0.2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 t="shared" si="68"/>
        <v>0</v>
      </c>
      <c r="W1119">
        <f t="shared" si="69"/>
        <v>1</v>
      </c>
      <c r="X1119" t="str">
        <f t="shared" si="70"/>
        <v>49+ Months</v>
      </c>
      <c r="Y1119" s="1" t="str">
        <f t="shared" si="71"/>
        <v>High</v>
      </c>
    </row>
    <row r="1120" spans="1:25" x14ac:dyDescent="0.2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 t="shared" si="68"/>
        <v>0</v>
      </c>
      <c r="W1120">
        <f t="shared" si="69"/>
        <v>1</v>
      </c>
      <c r="X1120" t="str">
        <f t="shared" si="70"/>
        <v>25-48 Months</v>
      </c>
      <c r="Y1120" s="1" t="str">
        <f t="shared" si="71"/>
        <v>High</v>
      </c>
    </row>
    <row r="1121" spans="1:25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 t="shared" si="68"/>
        <v>0</v>
      </c>
      <c r="W1121">
        <f t="shared" si="69"/>
        <v>1</v>
      </c>
      <c r="X1121" t="str">
        <f t="shared" si="70"/>
        <v>49+ Months</v>
      </c>
      <c r="Y1121" s="1" t="str">
        <f t="shared" si="71"/>
        <v>Medium</v>
      </c>
    </row>
    <row r="1122" spans="1:25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 t="shared" si="68"/>
        <v>0</v>
      </c>
      <c r="W1122">
        <f t="shared" si="69"/>
        <v>1</v>
      </c>
      <c r="X1122" t="str">
        <f t="shared" si="70"/>
        <v>13-24 Months</v>
      </c>
      <c r="Y1122" s="1" t="str">
        <f t="shared" si="71"/>
        <v>Medium</v>
      </c>
    </row>
    <row r="1123" spans="1:25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 t="shared" si="68"/>
        <v>0</v>
      </c>
      <c r="W1123">
        <f t="shared" si="69"/>
        <v>1</v>
      </c>
      <c r="X1123" t="str">
        <f t="shared" si="70"/>
        <v>49+ Months</v>
      </c>
      <c r="Y1123" s="1" t="str">
        <f t="shared" si="71"/>
        <v>High</v>
      </c>
    </row>
    <row r="1124" spans="1:25" x14ac:dyDescent="0.2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 t="shared" si="68"/>
        <v>1</v>
      </c>
      <c r="W1124">
        <f t="shared" si="69"/>
        <v>0</v>
      </c>
      <c r="X1124" t="str">
        <f t="shared" si="70"/>
        <v>13-24 Months</v>
      </c>
      <c r="Y1124" s="1" t="str">
        <f t="shared" si="71"/>
        <v>Low</v>
      </c>
    </row>
    <row r="1125" spans="1:25" x14ac:dyDescent="0.2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 t="shared" si="68"/>
        <v>0</v>
      </c>
      <c r="W1125">
        <f t="shared" si="69"/>
        <v>1</v>
      </c>
      <c r="X1125" t="str">
        <f t="shared" si="70"/>
        <v>25-48 Months</v>
      </c>
      <c r="Y1125" s="1" t="str">
        <f t="shared" si="71"/>
        <v>Medium</v>
      </c>
    </row>
    <row r="1126" spans="1:25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 t="shared" si="68"/>
        <v>0</v>
      </c>
      <c r="W1126">
        <f t="shared" si="69"/>
        <v>1</v>
      </c>
      <c r="X1126" t="str">
        <f t="shared" si="70"/>
        <v>0-12 Months</v>
      </c>
      <c r="Y1126" s="1" t="str">
        <f t="shared" si="71"/>
        <v>Low</v>
      </c>
    </row>
    <row r="1127" spans="1:25" x14ac:dyDescent="0.2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 t="shared" si="68"/>
        <v>1</v>
      </c>
      <c r="W1127">
        <f t="shared" si="69"/>
        <v>0</v>
      </c>
      <c r="X1127" t="str">
        <f t="shared" si="70"/>
        <v>25-48 Months</v>
      </c>
      <c r="Y1127" s="1" t="str">
        <f t="shared" si="71"/>
        <v>High</v>
      </c>
    </row>
    <row r="1128" spans="1:25" x14ac:dyDescent="0.2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 t="shared" si="68"/>
        <v>1</v>
      </c>
      <c r="W1128">
        <f t="shared" si="69"/>
        <v>0</v>
      </c>
      <c r="X1128" t="str">
        <f t="shared" si="70"/>
        <v>0-12 Months</v>
      </c>
      <c r="Y1128" s="1" t="str">
        <f t="shared" si="71"/>
        <v>Medium</v>
      </c>
    </row>
    <row r="1129" spans="1:25" x14ac:dyDescent="0.2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 t="shared" si="68"/>
        <v>0</v>
      </c>
      <c r="W1129">
        <f t="shared" si="69"/>
        <v>1</v>
      </c>
      <c r="X1129" t="str">
        <f t="shared" si="70"/>
        <v>13-24 Months</v>
      </c>
      <c r="Y1129" s="1" t="str">
        <f t="shared" si="71"/>
        <v>Medium</v>
      </c>
    </row>
    <row r="1130" spans="1:25" x14ac:dyDescent="0.2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 t="shared" si="68"/>
        <v>0</v>
      </c>
      <c r="W1130">
        <f t="shared" si="69"/>
        <v>1</v>
      </c>
      <c r="X1130" t="str">
        <f t="shared" si="70"/>
        <v>25-48 Months</v>
      </c>
      <c r="Y1130" s="1" t="str">
        <f t="shared" si="71"/>
        <v>Low</v>
      </c>
    </row>
    <row r="1131" spans="1:25" x14ac:dyDescent="0.2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 t="shared" si="68"/>
        <v>0</v>
      </c>
      <c r="W1131">
        <f t="shared" si="69"/>
        <v>1</v>
      </c>
      <c r="X1131" t="str">
        <f t="shared" si="70"/>
        <v>25-48 Months</v>
      </c>
      <c r="Y1131" s="1" t="str">
        <f t="shared" si="71"/>
        <v>High</v>
      </c>
    </row>
    <row r="1132" spans="1:25" x14ac:dyDescent="0.2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 t="shared" si="68"/>
        <v>0</v>
      </c>
      <c r="W1132">
        <f t="shared" si="69"/>
        <v>1</v>
      </c>
      <c r="X1132" t="str">
        <f t="shared" si="70"/>
        <v>25-48 Months</v>
      </c>
      <c r="Y1132" s="1" t="str">
        <f t="shared" si="71"/>
        <v>Low</v>
      </c>
    </row>
    <row r="1133" spans="1:25" x14ac:dyDescent="0.2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 t="shared" si="68"/>
        <v>1</v>
      </c>
      <c r="W1133">
        <f t="shared" si="69"/>
        <v>0</v>
      </c>
      <c r="X1133" t="str">
        <f t="shared" si="70"/>
        <v>13-24 Months</v>
      </c>
      <c r="Y1133" s="1" t="str">
        <f t="shared" si="71"/>
        <v>Medium</v>
      </c>
    </row>
    <row r="1134" spans="1:25" x14ac:dyDescent="0.2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 t="shared" si="68"/>
        <v>1</v>
      </c>
      <c r="W1134">
        <f t="shared" si="69"/>
        <v>0</v>
      </c>
      <c r="X1134" t="str">
        <f t="shared" si="70"/>
        <v>0-12 Months</v>
      </c>
      <c r="Y1134" s="1" t="str">
        <f t="shared" si="71"/>
        <v>High</v>
      </c>
    </row>
    <row r="1135" spans="1:25" x14ac:dyDescent="0.2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 t="shared" si="68"/>
        <v>0</v>
      </c>
      <c r="W1135">
        <f t="shared" si="69"/>
        <v>1</v>
      </c>
      <c r="X1135" t="str">
        <f t="shared" si="70"/>
        <v>0-12 Months</v>
      </c>
      <c r="Y1135" s="1" t="str">
        <f t="shared" si="71"/>
        <v>Low</v>
      </c>
    </row>
    <row r="1136" spans="1:25" x14ac:dyDescent="0.2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 t="shared" si="68"/>
        <v>0</v>
      </c>
      <c r="W1136">
        <f t="shared" si="69"/>
        <v>1</v>
      </c>
      <c r="X1136" t="str">
        <f t="shared" si="70"/>
        <v>25-48 Months</v>
      </c>
      <c r="Y1136" s="1" t="str">
        <f t="shared" si="71"/>
        <v>High</v>
      </c>
    </row>
    <row r="1137" spans="1:25" x14ac:dyDescent="0.2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 t="shared" si="68"/>
        <v>0</v>
      </c>
      <c r="W1137">
        <f t="shared" si="69"/>
        <v>1</v>
      </c>
      <c r="X1137" t="str">
        <f t="shared" si="70"/>
        <v>49+ Months</v>
      </c>
      <c r="Y1137" s="1" t="str">
        <f t="shared" si="71"/>
        <v>High</v>
      </c>
    </row>
    <row r="1138" spans="1:25" x14ac:dyDescent="0.2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 t="shared" si="68"/>
        <v>0</v>
      </c>
      <c r="W1138">
        <f t="shared" si="69"/>
        <v>1</v>
      </c>
      <c r="X1138" t="str">
        <f t="shared" si="70"/>
        <v>49+ Months</v>
      </c>
      <c r="Y1138" s="1" t="str">
        <f t="shared" si="71"/>
        <v>Low</v>
      </c>
    </row>
    <row r="1139" spans="1:25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 t="shared" si="68"/>
        <v>0</v>
      </c>
      <c r="W1139">
        <f t="shared" si="69"/>
        <v>1</v>
      </c>
      <c r="X1139" t="str">
        <f t="shared" si="70"/>
        <v>49+ Months</v>
      </c>
      <c r="Y1139" s="1" t="str">
        <f t="shared" si="71"/>
        <v>Low</v>
      </c>
    </row>
    <row r="1140" spans="1:25" x14ac:dyDescent="0.2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 t="shared" si="68"/>
        <v>0</v>
      </c>
      <c r="W1140">
        <f t="shared" si="69"/>
        <v>1</v>
      </c>
      <c r="X1140" t="str">
        <f t="shared" si="70"/>
        <v>0-12 Months</v>
      </c>
      <c r="Y1140" s="1" t="str">
        <f t="shared" si="71"/>
        <v>Medium</v>
      </c>
    </row>
    <row r="1141" spans="1:25" x14ac:dyDescent="0.2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 t="shared" si="68"/>
        <v>0</v>
      </c>
      <c r="W1141">
        <f t="shared" si="69"/>
        <v>1</v>
      </c>
      <c r="X1141" t="str">
        <f t="shared" si="70"/>
        <v>13-24 Months</v>
      </c>
      <c r="Y1141" s="1" t="str">
        <f t="shared" si="71"/>
        <v>Low</v>
      </c>
    </row>
    <row r="1142" spans="1:25" x14ac:dyDescent="0.2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 t="shared" si="68"/>
        <v>0</v>
      </c>
      <c r="W1142">
        <f t="shared" si="69"/>
        <v>1</v>
      </c>
      <c r="X1142" t="str">
        <f t="shared" si="70"/>
        <v>13-24 Months</v>
      </c>
      <c r="Y1142" s="1" t="str">
        <f t="shared" si="71"/>
        <v>High</v>
      </c>
    </row>
    <row r="1143" spans="1:25" x14ac:dyDescent="0.2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 t="shared" si="68"/>
        <v>0</v>
      </c>
      <c r="W1143">
        <f t="shared" si="69"/>
        <v>1</v>
      </c>
      <c r="X1143" t="str">
        <f t="shared" si="70"/>
        <v>0-12 Months</v>
      </c>
      <c r="Y1143" s="1" t="str">
        <f t="shared" si="71"/>
        <v>Low</v>
      </c>
    </row>
    <row r="1144" spans="1:25" x14ac:dyDescent="0.2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 t="shared" si="68"/>
        <v>0</v>
      </c>
      <c r="W1144">
        <f t="shared" si="69"/>
        <v>1</v>
      </c>
      <c r="X1144" t="str">
        <f t="shared" si="70"/>
        <v>0-12 Months</v>
      </c>
      <c r="Y1144" s="1" t="str">
        <f t="shared" si="71"/>
        <v>Medium</v>
      </c>
    </row>
    <row r="1145" spans="1:25" x14ac:dyDescent="0.2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 t="shared" si="68"/>
        <v>0</v>
      </c>
      <c r="W1145">
        <f t="shared" si="69"/>
        <v>1</v>
      </c>
      <c r="X1145" t="str">
        <f t="shared" si="70"/>
        <v>13-24 Months</v>
      </c>
      <c r="Y1145" s="1" t="str">
        <f t="shared" si="71"/>
        <v>Medium</v>
      </c>
    </row>
    <row r="1146" spans="1:25" x14ac:dyDescent="0.2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 t="shared" si="68"/>
        <v>1</v>
      </c>
      <c r="W1146">
        <f t="shared" si="69"/>
        <v>0</v>
      </c>
      <c r="X1146" t="str">
        <f t="shared" si="70"/>
        <v>0-12 Months</v>
      </c>
      <c r="Y1146" s="1" t="str">
        <f t="shared" si="71"/>
        <v>Low</v>
      </c>
    </row>
    <row r="1147" spans="1:25" x14ac:dyDescent="0.2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 t="shared" si="68"/>
        <v>0</v>
      </c>
      <c r="W1147">
        <f t="shared" si="69"/>
        <v>1</v>
      </c>
      <c r="X1147" t="str">
        <f t="shared" si="70"/>
        <v>25-48 Months</v>
      </c>
      <c r="Y1147" s="1" t="str">
        <f t="shared" si="71"/>
        <v>Medium</v>
      </c>
    </row>
    <row r="1148" spans="1:25" x14ac:dyDescent="0.2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 t="shared" si="68"/>
        <v>0</v>
      </c>
      <c r="W1148">
        <f t="shared" si="69"/>
        <v>1</v>
      </c>
      <c r="X1148" t="str">
        <f t="shared" si="70"/>
        <v>25-48 Months</v>
      </c>
      <c r="Y1148" s="1" t="str">
        <f t="shared" si="71"/>
        <v>Low</v>
      </c>
    </row>
    <row r="1149" spans="1:25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 t="shared" si="68"/>
        <v>0</v>
      </c>
      <c r="W1149">
        <f t="shared" si="69"/>
        <v>1</v>
      </c>
      <c r="X1149" t="str">
        <f t="shared" si="70"/>
        <v>0-12 Months</v>
      </c>
      <c r="Y1149" s="1" t="str">
        <f t="shared" si="71"/>
        <v>Medium</v>
      </c>
    </row>
    <row r="1150" spans="1:25" x14ac:dyDescent="0.2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 t="shared" si="68"/>
        <v>1</v>
      </c>
      <c r="W1150">
        <f t="shared" si="69"/>
        <v>0</v>
      </c>
      <c r="X1150" t="str">
        <f t="shared" si="70"/>
        <v>0-12 Months</v>
      </c>
      <c r="Y1150" s="1" t="str">
        <f t="shared" si="71"/>
        <v>High</v>
      </c>
    </row>
    <row r="1151" spans="1:25" x14ac:dyDescent="0.2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 t="shared" si="68"/>
        <v>1</v>
      </c>
      <c r="W1151">
        <f t="shared" si="69"/>
        <v>0</v>
      </c>
      <c r="X1151" t="str">
        <f t="shared" si="70"/>
        <v>13-24 Months</v>
      </c>
      <c r="Y1151" s="1" t="str">
        <f t="shared" si="71"/>
        <v>High</v>
      </c>
    </row>
    <row r="1152" spans="1:25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 t="shared" si="68"/>
        <v>0</v>
      </c>
      <c r="W1152">
        <f t="shared" si="69"/>
        <v>1</v>
      </c>
      <c r="X1152" t="str">
        <f t="shared" si="70"/>
        <v>25-48 Months</v>
      </c>
      <c r="Y1152" s="1" t="str">
        <f t="shared" si="71"/>
        <v>Low</v>
      </c>
    </row>
    <row r="1153" spans="1:25" x14ac:dyDescent="0.2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 t="shared" si="68"/>
        <v>0</v>
      </c>
      <c r="W1153">
        <f t="shared" si="69"/>
        <v>1</v>
      </c>
      <c r="X1153" t="str">
        <f t="shared" si="70"/>
        <v>0-12 Months</v>
      </c>
      <c r="Y1153" s="1" t="str">
        <f t="shared" si="71"/>
        <v>Low</v>
      </c>
    </row>
    <row r="1154" spans="1:25" x14ac:dyDescent="0.2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 t="shared" ref="V1154:V1217" si="72">IF(U1154="Yes",1,0)</f>
        <v>0</v>
      </c>
      <c r="W1154">
        <f t="shared" ref="W1154:W1217" si="73">IF(U1154="No",1,0)</f>
        <v>1</v>
      </c>
      <c r="X1154" t="str">
        <f t="shared" ref="X1154:X1217" si="74">IF(F1154&lt;=12,"0-12 Months",IF(F1154&lt;=24,"13-24 Months",IF(F1154&lt;=48,"25-48 Months","49+ Months")))</f>
        <v>0-12 Months</v>
      </c>
      <c r="Y1154" s="1" t="str">
        <f t="shared" ref="Y1154:Y1217" si="75">IF(S1154&lt;50,"Low",IF(S1154&lt;80,"Medium","High"))</f>
        <v>Medium</v>
      </c>
    </row>
    <row r="1155" spans="1:25" x14ac:dyDescent="0.2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 t="shared" si="72"/>
        <v>0</v>
      </c>
      <c r="W1155">
        <f t="shared" si="73"/>
        <v>1</v>
      </c>
      <c r="X1155" t="str">
        <f t="shared" si="74"/>
        <v>49+ Months</v>
      </c>
      <c r="Y1155" s="1" t="str">
        <f t="shared" si="75"/>
        <v>Medium</v>
      </c>
    </row>
    <row r="1156" spans="1:25" x14ac:dyDescent="0.2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 t="shared" si="72"/>
        <v>0</v>
      </c>
      <c r="W1156">
        <f t="shared" si="73"/>
        <v>1</v>
      </c>
      <c r="X1156" t="str">
        <f t="shared" si="74"/>
        <v>25-48 Months</v>
      </c>
      <c r="Y1156" s="1" t="str">
        <f t="shared" si="75"/>
        <v>Low</v>
      </c>
    </row>
    <row r="1157" spans="1:25" x14ac:dyDescent="0.2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 t="shared" si="72"/>
        <v>0</v>
      </c>
      <c r="W1157">
        <f t="shared" si="73"/>
        <v>1</v>
      </c>
      <c r="X1157" t="str">
        <f t="shared" si="74"/>
        <v>49+ Months</v>
      </c>
      <c r="Y1157" s="1" t="str">
        <f t="shared" si="75"/>
        <v>Medium</v>
      </c>
    </row>
    <row r="1158" spans="1:25" x14ac:dyDescent="0.2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 t="shared" si="72"/>
        <v>0</v>
      </c>
      <c r="W1158">
        <f t="shared" si="73"/>
        <v>1</v>
      </c>
      <c r="X1158" t="str">
        <f t="shared" si="74"/>
        <v>49+ Months</v>
      </c>
      <c r="Y1158" s="1" t="str">
        <f t="shared" si="75"/>
        <v>Low</v>
      </c>
    </row>
    <row r="1159" spans="1:25" x14ac:dyDescent="0.2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 t="shared" si="72"/>
        <v>0</v>
      </c>
      <c r="W1159">
        <f t="shared" si="73"/>
        <v>1</v>
      </c>
      <c r="X1159" t="str">
        <f t="shared" si="74"/>
        <v>49+ Months</v>
      </c>
      <c r="Y1159" s="1" t="str">
        <f t="shared" si="75"/>
        <v>High</v>
      </c>
    </row>
    <row r="1160" spans="1:25" x14ac:dyDescent="0.2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 t="shared" si="72"/>
        <v>0</v>
      </c>
      <c r="W1160">
        <f t="shared" si="73"/>
        <v>1</v>
      </c>
      <c r="X1160" t="str">
        <f t="shared" si="74"/>
        <v>49+ Months</v>
      </c>
      <c r="Y1160" s="1" t="str">
        <f t="shared" si="75"/>
        <v>High</v>
      </c>
    </row>
    <row r="1161" spans="1:25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 t="shared" si="72"/>
        <v>1</v>
      </c>
      <c r="W1161">
        <f t="shared" si="73"/>
        <v>0</v>
      </c>
      <c r="X1161" t="str">
        <f t="shared" si="74"/>
        <v>0-12 Months</v>
      </c>
      <c r="Y1161" s="1" t="str">
        <f t="shared" si="75"/>
        <v>High</v>
      </c>
    </row>
    <row r="1162" spans="1:25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 t="shared" si="72"/>
        <v>0</v>
      </c>
      <c r="W1162">
        <f t="shared" si="73"/>
        <v>1</v>
      </c>
      <c r="X1162" t="str">
        <f t="shared" si="74"/>
        <v>13-24 Months</v>
      </c>
      <c r="Y1162" s="1" t="str">
        <f t="shared" si="75"/>
        <v>High</v>
      </c>
    </row>
    <row r="1163" spans="1:25" x14ac:dyDescent="0.2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 t="shared" si="72"/>
        <v>1</v>
      </c>
      <c r="W1163">
        <f t="shared" si="73"/>
        <v>0</v>
      </c>
      <c r="X1163" t="str">
        <f t="shared" si="74"/>
        <v>0-12 Months</v>
      </c>
      <c r="Y1163" s="1" t="str">
        <f t="shared" si="75"/>
        <v>Low</v>
      </c>
    </row>
    <row r="1164" spans="1:25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 t="shared" si="72"/>
        <v>0</v>
      </c>
      <c r="W1164">
        <f t="shared" si="73"/>
        <v>1</v>
      </c>
      <c r="X1164" t="str">
        <f t="shared" si="74"/>
        <v>49+ Months</v>
      </c>
      <c r="Y1164" s="1" t="str">
        <f t="shared" si="75"/>
        <v>Medium</v>
      </c>
    </row>
    <row r="1165" spans="1:25" x14ac:dyDescent="0.2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 t="shared" si="72"/>
        <v>1</v>
      </c>
      <c r="W1165">
        <f t="shared" si="73"/>
        <v>0</v>
      </c>
      <c r="X1165" t="str">
        <f t="shared" si="74"/>
        <v>0-12 Months</v>
      </c>
      <c r="Y1165" s="1" t="str">
        <f t="shared" si="75"/>
        <v>High</v>
      </c>
    </row>
    <row r="1166" spans="1:25" x14ac:dyDescent="0.2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 t="shared" si="72"/>
        <v>0</v>
      </c>
      <c r="W1166">
        <f t="shared" si="73"/>
        <v>1</v>
      </c>
      <c r="X1166" t="str">
        <f t="shared" si="74"/>
        <v>49+ Months</v>
      </c>
      <c r="Y1166" s="1" t="str">
        <f t="shared" si="75"/>
        <v>High</v>
      </c>
    </row>
    <row r="1167" spans="1:25" x14ac:dyDescent="0.2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 t="shared" si="72"/>
        <v>0</v>
      </c>
      <c r="W1167">
        <f t="shared" si="73"/>
        <v>1</v>
      </c>
      <c r="X1167" t="str">
        <f t="shared" si="74"/>
        <v>25-48 Months</v>
      </c>
      <c r="Y1167" s="1" t="str">
        <f t="shared" si="75"/>
        <v>Low</v>
      </c>
    </row>
    <row r="1168" spans="1:25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 t="shared" si="72"/>
        <v>0</v>
      </c>
      <c r="W1168">
        <f t="shared" si="73"/>
        <v>1</v>
      </c>
      <c r="X1168" t="str">
        <f t="shared" si="74"/>
        <v>0-12 Months</v>
      </c>
      <c r="Y1168" s="1" t="str">
        <f t="shared" si="75"/>
        <v>Medium</v>
      </c>
    </row>
    <row r="1169" spans="1:25" x14ac:dyDescent="0.2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 t="shared" si="72"/>
        <v>0</v>
      </c>
      <c r="W1169">
        <f t="shared" si="73"/>
        <v>1</v>
      </c>
      <c r="X1169" t="str">
        <f t="shared" si="74"/>
        <v>25-48 Months</v>
      </c>
      <c r="Y1169" s="1" t="str">
        <f t="shared" si="75"/>
        <v>Medium</v>
      </c>
    </row>
    <row r="1170" spans="1:25" x14ac:dyDescent="0.2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 t="shared" si="72"/>
        <v>0</v>
      </c>
      <c r="W1170">
        <f t="shared" si="73"/>
        <v>1</v>
      </c>
      <c r="X1170" t="str">
        <f t="shared" si="74"/>
        <v>0-12 Months</v>
      </c>
      <c r="Y1170" s="1" t="str">
        <f t="shared" si="75"/>
        <v>Low</v>
      </c>
    </row>
    <row r="1171" spans="1:25" x14ac:dyDescent="0.2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 t="shared" si="72"/>
        <v>0</v>
      </c>
      <c r="W1171">
        <f t="shared" si="73"/>
        <v>1</v>
      </c>
      <c r="X1171" t="str">
        <f t="shared" si="74"/>
        <v>49+ Months</v>
      </c>
      <c r="Y1171" s="1" t="str">
        <f t="shared" si="75"/>
        <v>Low</v>
      </c>
    </row>
    <row r="1172" spans="1:25" x14ac:dyDescent="0.2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 t="shared" si="72"/>
        <v>0</v>
      </c>
      <c r="W1172">
        <f t="shared" si="73"/>
        <v>1</v>
      </c>
      <c r="X1172" t="str">
        <f t="shared" si="74"/>
        <v>49+ Months</v>
      </c>
      <c r="Y1172" s="1" t="str">
        <f t="shared" si="75"/>
        <v>High</v>
      </c>
    </row>
    <row r="1173" spans="1:25" x14ac:dyDescent="0.2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 t="shared" si="72"/>
        <v>1</v>
      </c>
      <c r="W1173">
        <f t="shared" si="73"/>
        <v>0</v>
      </c>
      <c r="X1173" t="str">
        <f t="shared" si="74"/>
        <v>49+ Months</v>
      </c>
      <c r="Y1173" s="1" t="str">
        <f t="shared" si="75"/>
        <v>High</v>
      </c>
    </row>
    <row r="1174" spans="1:25" x14ac:dyDescent="0.2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 t="shared" si="72"/>
        <v>0</v>
      </c>
      <c r="W1174">
        <f t="shared" si="73"/>
        <v>1</v>
      </c>
      <c r="X1174" t="str">
        <f t="shared" si="74"/>
        <v>25-48 Months</v>
      </c>
      <c r="Y1174" s="1" t="str">
        <f t="shared" si="75"/>
        <v>High</v>
      </c>
    </row>
    <row r="1175" spans="1:25" x14ac:dyDescent="0.2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 t="shared" si="72"/>
        <v>1</v>
      </c>
      <c r="W1175">
        <f t="shared" si="73"/>
        <v>0</v>
      </c>
      <c r="X1175" t="str">
        <f t="shared" si="74"/>
        <v>0-12 Months</v>
      </c>
      <c r="Y1175" s="1" t="str">
        <f t="shared" si="75"/>
        <v>Low</v>
      </c>
    </row>
    <row r="1176" spans="1:25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 t="shared" si="72"/>
        <v>0</v>
      </c>
      <c r="W1176">
        <f t="shared" si="73"/>
        <v>1</v>
      </c>
      <c r="X1176" t="str">
        <f t="shared" si="74"/>
        <v>13-24 Months</v>
      </c>
      <c r="Y1176" s="1" t="str">
        <f t="shared" si="75"/>
        <v>Medium</v>
      </c>
    </row>
    <row r="1177" spans="1:25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 t="shared" si="72"/>
        <v>0</v>
      </c>
      <c r="W1177">
        <f t="shared" si="73"/>
        <v>1</v>
      </c>
      <c r="X1177" t="str">
        <f t="shared" si="74"/>
        <v>13-24 Months</v>
      </c>
      <c r="Y1177" s="1" t="str">
        <f t="shared" si="75"/>
        <v>High</v>
      </c>
    </row>
    <row r="1178" spans="1:25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 t="shared" si="72"/>
        <v>1</v>
      </c>
      <c r="W1178">
        <f t="shared" si="73"/>
        <v>0</v>
      </c>
      <c r="X1178" t="str">
        <f t="shared" si="74"/>
        <v>0-12 Months</v>
      </c>
      <c r="Y1178" s="1" t="str">
        <f t="shared" si="75"/>
        <v>High</v>
      </c>
    </row>
    <row r="1179" spans="1:25" x14ac:dyDescent="0.2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 t="shared" si="72"/>
        <v>0</v>
      </c>
      <c r="W1179">
        <f t="shared" si="73"/>
        <v>1</v>
      </c>
      <c r="X1179" t="str">
        <f t="shared" si="74"/>
        <v>25-48 Months</v>
      </c>
      <c r="Y1179" s="1" t="str">
        <f t="shared" si="75"/>
        <v>Medium</v>
      </c>
    </row>
    <row r="1180" spans="1:25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 t="shared" si="72"/>
        <v>1</v>
      </c>
      <c r="W1180">
        <f t="shared" si="73"/>
        <v>0</v>
      </c>
      <c r="X1180" t="str">
        <f t="shared" si="74"/>
        <v>13-24 Months</v>
      </c>
      <c r="Y1180" s="1" t="str">
        <f t="shared" si="75"/>
        <v>High</v>
      </c>
    </row>
    <row r="1181" spans="1:25" x14ac:dyDescent="0.2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 t="shared" si="72"/>
        <v>0</v>
      </c>
      <c r="W1181">
        <f t="shared" si="73"/>
        <v>1</v>
      </c>
      <c r="X1181" t="str">
        <f t="shared" si="74"/>
        <v>25-48 Months</v>
      </c>
      <c r="Y1181" s="1" t="str">
        <f t="shared" si="75"/>
        <v>High</v>
      </c>
    </row>
    <row r="1182" spans="1:25" x14ac:dyDescent="0.2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 t="shared" si="72"/>
        <v>0</v>
      </c>
      <c r="W1182">
        <f t="shared" si="73"/>
        <v>1</v>
      </c>
      <c r="X1182" t="str">
        <f t="shared" si="74"/>
        <v>25-48 Months</v>
      </c>
      <c r="Y1182" s="1" t="str">
        <f t="shared" si="75"/>
        <v>Low</v>
      </c>
    </row>
    <row r="1183" spans="1:25" x14ac:dyDescent="0.2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 t="shared" si="72"/>
        <v>1</v>
      </c>
      <c r="W1183">
        <f t="shared" si="73"/>
        <v>0</v>
      </c>
      <c r="X1183" t="str">
        <f t="shared" si="74"/>
        <v>13-24 Months</v>
      </c>
      <c r="Y1183" s="1" t="str">
        <f t="shared" si="75"/>
        <v>Medium</v>
      </c>
    </row>
    <row r="1184" spans="1:25" x14ac:dyDescent="0.2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 t="shared" si="72"/>
        <v>0</v>
      </c>
      <c r="W1184">
        <f t="shared" si="73"/>
        <v>1</v>
      </c>
      <c r="X1184" t="str">
        <f t="shared" si="74"/>
        <v>49+ Months</v>
      </c>
      <c r="Y1184" s="1" t="str">
        <f t="shared" si="75"/>
        <v>Medium</v>
      </c>
    </row>
    <row r="1185" spans="1:25" x14ac:dyDescent="0.2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 t="shared" si="72"/>
        <v>0</v>
      </c>
      <c r="W1185">
        <f t="shared" si="73"/>
        <v>1</v>
      </c>
      <c r="X1185" t="str">
        <f t="shared" si="74"/>
        <v>49+ Months</v>
      </c>
      <c r="Y1185" s="1" t="str">
        <f t="shared" si="75"/>
        <v>High</v>
      </c>
    </row>
    <row r="1186" spans="1:25" x14ac:dyDescent="0.2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 t="shared" si="72"/>
        <v>0</v>
      </c>
      <c r="W1186">
        <f t="shared" si="73"/>
        <v>1</v>
      </c>
      <c r="X1186" t="str">
        <f t="shared" si="74"/>
        <v>13-24 Months</v>
      </c>
      <c r="Y1186" s="1" t="str">
        <f t="shared" si="75"/>
        <v>High</v>
      </c>
    </row>
    <row r="1187" spans="1:25" x14ac:dyDescent="0.2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 t="shared" si="72"/>
        <v>1</v>
      </c>
      <c r="W1187">
        <f t="shared" si="73"/>
        <v>0</v>
      </c>
      <c r="X1187" t="str">
        <f t="shared" si="74"/>
        <v>0-12 Months</v>
      </c>
      <c r="Y1187" s="1" t="str">
        <f t="shared" si="75"/>
        <v>Medium</v>
      </c>
    </row>
    <row r="1188" spans="1:25" x14ac:dyDescent="0.2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 t="shared" si="72"/>
        <v>0</v>
      </c>
      <c r="W1188">
        <f t="shared" si="73"/>
        <v>1</v>
      </c>
      <c r="X1188" t="str">
        <f t="shared" si="74"/>
        <v>49+ Months</v>
      </c>
      <c r="Y1188" s="1" t="str">
        <f t="shared" si="75"/>
        <v>Medium</v>
      </c>
    </row>
    <row r="1189" spans="1:25" x14ac:dyDescent="0.2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 t="shared" si="72"/>
        <v>0</v>
      </c>
      <c r="W1189">
        <f t="shared" si="73"/>
        <v>1</v>
      </c>
      <c r="X1189" t="str">
        <f t="shared" si="74"/>
        <v>49+ Months</v>
      </c>
      <c r="Y1189" s="1" t="str">
        <f t="shared" si="75"/>
        <v>High</v>
      </c>
    </row>
    <row r="1190" spans="1:25" x14ac:dyDescent="0.2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 t="shared" si="72"/>
        <v>0</v>
      </c>
      <c r="W1190">
        <f t="shared" si="73"/>
        <v>1</v>
      </c>
      <c r="X1190" t="str">
        <f t="shared" si="74"/>
        <v>25-48 Months</v>
      </c>
      <c r="Y1190" s="1" t="str">
        <f t="shared" si="75"/>
        <v>High</v>
      </c>
    </row>
    <row r="1191" spans="1:25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 t="shared" si="72"/>
        <v>0</v>
      </c>
      <c r="W1191">
        <f t="shared" si="73"/>
        <v>1</v>
      </c>
      <c r="X1191" t="str">
        <f t="shared" si="74"/>
        <v>0-12 Months</v>
      </c>
      <c r="Y1191" s="1" t="str">
        <f t="shared" si="75"/>
        <v>High</v>
      </c>
    </row>
    <row r="1192" spans="1:25" x14ac:dyDescent="0.2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 t="shared" si="72"/>
        <v>0</v>
      </c>
      <c r="W1192">
        <f t="shared" si="73"/>
        <v>1</v>
      </c>
      <c r="X1192" t="str">
        <f t="shared" si="74"/>
        <v>25-48 Months</v>
      </c>
      <c r="Y1192" s="1" t="str">
        <f t="shared" si="75"/>
        <v>High</v>
      </c>
    </row>
    <row r="1193" spans="1:25" x14ac:dyDescent="0.2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 t="shared" si="72"/>
        <v>0</v>
      </c>
      <c r="W1193">
        <f t="shared" si="73"/>
        <v>1</v>
      </c>
      <c r="X1193" t="str">
        <f t="shared" si="74"/>
        <v>25-48 Months</v>
      </c>
      <c r="Y1193" s="1" t="str">
        <f t="shared" si="75"/>
        <v>Medium</v>
      </c>
    </row>
    <row r="1194" spans="1:25" x14ac:dyDescent="0.2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 t="shared" si="72"/>
        <v>1</v>
      </c>
      <c r="W1194">
        <f t="shared" si="73"/>
        <v>0</v>
      </c>
      <c r="X1194" t="str">
        <f t="shared" si="74"/>
        <v>0-12 Months</v>
      </c>
      <c r="Y1194" s="1" t="str">
        <f t="shared" si="75"/>
        <v>High</v>
      </c>
    </row>
    <row r="1195" spans="1:25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 t="shared" si="72"/>
        <v>0</v>
      </c>
      <c r="W1195">
        <f t="shared" si="73"/>
        <v>1</v>
      </c>
      <c r="X1195" t="str">
        <f t="shared" si="74"/>
        <v>25-48 Months</v>
      </c>
      <c r="Y1195" s="1" t="str">
        <f t="shared" si="75"/>
        <v>Medium</v>
      </c>
    </row>
    <row r="1196" spans="1:25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 t="shared" si="72"/>
        <v>0</v>
      </c>
      <c r="W1196">
        <f t="shared" si="73"/>
        <v>1</v>
      </c>
      <c r="X1196" t="str">
        <f t="shared" si="74"/>
        <v>13-24 Months</v>
      </c>
      <c r="Y1196" s="1" t="str">
        <f t="shared" si="75"/>
        <v>Medium</v>
      </c>
    </row>
    <row r="1197" spans="1:25" x14ac:dyDescent="0.2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 t="shared" si="72"/>
        <v>0</v>
      </c>
      <c r="W1197">
        <f t="shared" si="73"/>
        <v>1</v>
      </c>
      <c r="X1197" t="str">
        <f t="shared" si="74"/>
        <v>13-24 Months</v>
      </c>
      <c r="Y1197" s="1" t="str">
        <f t="shared" si="75"/>
        <v>Medium</v>
      </c>
    </row>
    <row r="1198" spans="1:25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 t="shared" si="72"/>
        <v>0</v>
      </c>
      <c r="W1198">
        <f t="shared" si="73"/>
        <v>1</v>
      </c>
      <c r="X1198" t="str">
        <f t="shared" si="74"/>
        <v>49+ Months</v>
      </c>
      <c r="Y1198" s="1" t="str">
        <f t="shared" si="75"/>
        <v>High</v>
      </c>
    </row>
    <row r="1199" spans="1:25" x14ac:dyDescent="0.2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 t="shared" si="72"/>
        <v>0</v>
      </c>
      <c r="W1199">
        <f t="shared" si="73"/>
        <v>1</v>
      </c>
      <c r="X1199" t="str">
        <f t="shared" si="74"/>
        <v>13-24 Months</v>
      </c>
      <c r="Y1199" s="1" t="str">
        <f t="shared" si="75"/>
        <v>Low</v>
      </c>
    </row>
    <row r="1200" spans="1:25" x14ac:dyDescent="0.2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 t="shared" si="72"/>
        <v>0</v>
      </c>
      <c r="W1200">
        <f t="shared" si="73"/>
        <v>1</v>
      </c>
      <c r="X1200" t="str">
        <f t="shared" si="74"/>
        <v>25-48 Months</v>
      </c>
      <c r="Y1200" s="1" t="str">
        <f t="shared" si="75"/>
        <v>Low</v>
      </c>
    </row>
    <row r="1201" spans="1:25" x14ac:dyDescent="0.2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 t="shared" si="72"/>
        <v>0</v>
      </c>
      <c r="W1201">
        <f t="shared" si="73"/>
        <v>1</v>
      </c>
      <c r="X1201" t="str">
        <f t="shared" si="74"/>
        <v>13-24 Months</v>
      </c>
      <c r="Y1201" s="1" t="str">
        <f t="shared" si="75"/>
        <v>Medium</v>
      </c>
    </row>
    <row r="1202" spans="1:25" x14ac:dyDescent="0.2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 t="shared" si="72"/>
        <v>0</v>
      </c>
      <c r="W1202">
        <f t="shared" si="73"/>
        <v>1</v>
      </c>
      <c r="X1202" t="str">
        <f t="shared" si="74"/>
        <v>25-48 Months</v>
      </c>
      <c r="Y1202" s="1" t="str">
        <f t="shared" si="75"/>
        <v>High</v>
      </c>
    </row>
    <row r="1203" spans="1:25" x14ac:dyDescent="0.2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 t="shared" si="72"/>
        <v>0</v>
      </c>
      <c r="W1203">
        <f t="shared" si="73"/>
        <v>1</v>
      </c>
      <c r="X1203" t="str">
        <f t="shared" si="74"/>
        <v>0-12 Months</v>
      </c>
      <c r="Y1203" s="1" t="str">
        <f t="shared" si="75"/>
        <v>Low</v>
      </c>
    </row>
    <row r="1204" spans="1:25" x14ac:dyDescent="0.2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 t="shared" si="72"/>
        <v>1</v>
      </c>
      <c r="W1204">
        <f t="shared" si="73"/>
        <v>0</v>
      </c>
      <c r="X1204" t="str">
        <f t="shared" si="74"/>
        <v>49+ Months</v>
      </c>
      <c r="Y1204" s="1" t="str">
        <f t="shared" si="75"/>
        <v>High</v>
      </c>
    </row>
    <row r="1205" spans="1:25" x14ac:dyDescent="0.2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 t="shared" si="72"/>
        <v>0</v>
      </c>
      <c r="W1205">
        <f t="shared" si="73"/>
        <v>1</v>
      </c>
      <c r="X1205" t="str">
        <f t="shared" si="74"/>
        <v>49+ Months</v>
      </c>
      <c r="Y1205" s="1" t="str">
        <f t="shared" si="75"/>
        <v>Low</v>
      </c>
    </row>
    <row r="1206" spans="1:25" x14ac:dyDescent="0.2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 t="shared" si="72"/>
        <v>0</v>
      </c>
      <c r="W1206">
        <f t="shared" si="73"/>
        <v>1</v>
      </c>
      <c r="X1206" t="str">
        <f t="shared" si="74"/>
        <v>13-24 Months</v>
      </c>
      <c r="Y1206" s="1" t="str">
        <f t="shared" si="75"/>
        <v>Low</v>
      </c>
    </row>
    <row r="1207" spans="1:25" x14ac:dyDescent="0.2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 t="shared" si="72"/>
        <v>1</v>
      </c>
      <c r="W1207">
        <f t="shared" si="73"/>
        <v>0</v>
      </c>
      <c r="X1207" t="str">
        <f t="shared" si="74"/>
        <v>0-12 Months</v>
      </c>
      <c r="Y1207" s="1" t="str">
        <f t="shared" si="75"/>
        <v>Medium</v>
      </c>
    </row>
    <row r="1208" spans="1:25" x14ac:dyDescent="0.2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 t="shared" si="72"/>
        <v>0</v>
      </c>
      <c r="W1208">
        <f t="shared" si="73"/>
        <v>1</v>
      </c>
      <c r="X1208" t="str">
        <f t="shared" si="74"/>
        <v>0-12 Months</v>
      </c>
      <c r="Y1208" s="1" t="str">
        <f t="shared" si="75"/>
        <v>Medium</v>
      </c>
    </row>
    <row r="1209" spans="1:25" x14ac:dyDescent="0.2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 t="shared" si="72"/>
        <v>0</v>
      </c>
      <c r="W1209">
        <f t="shared" si="73"/>
        <v>1</v>
      </c>
      <c r="X1209" t="str">
        <f t="shared" si="74"/>
        <v>0-12 Months</v>
      </c>
      <c r="Y1209" s="1" t="str">
        <f t="shared" si="75"/>
        <v>Medium</v>
      </c>
    </row>
    <row r="1210" spans="1:25" x14ac:dyDescent="0.2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 t="shared" si="72"/>
        <v>1</v>
      </c>
      <c r="W1210">
        <f t="shared" si="73"/>
        <v>0</v>
      </c>
      <c r="X1210" t="str">
        <f t="shared" si="74"/>
        <v>0-12 Months</v>
      </c>
      <c r="Y1210" s="1" t="str">
        <f t="shared" si="75"/>
        <v>High</v>
      </c>
    </row>
    <row r="1211" spans="1:25" x14ac:dyDescent="0.2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 t="shared" si="72"/>
        <v>0</v>
      </c>
      <c r="W1211">
        <f t="shared" si="73"/>
        <v>1</v>
      </c>
      <c r="X1211" t="str">
        <f t="shared" si="74"/>
        <v>49+ Months</v>
      </c>
      <c r="Y1211" s="1" t="str">
        <f t="shared" si="75"/>
        <v>High</v>
      </c>
    </row>
    <row r="1212" spans="1:25" x14ac:dyDescent="0.2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 t="shared" si="72"/>
        <v>1</v>
      </c>
      <c r="W1212">
        <f t="shared" si="73"/>
        <v>0</v>
      </c>
      <c r="X1212" t="str">
        <f t="shared" si="74"/>
        <v>13-24 Months</v>
      </c>
      <c r="Y1212" s="1" t="str">
        <f t="shared" si="75"/>
        <v>Medium</v>
      </c>
    </row>
    <row r="1213" spans="1:25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 t="shared" si="72"/>
        <v>1</v>
      </c>
      <c r="W1213">
        <f t="shared" si="73"/>
        <v>0</v>
      </c>
      <c r="X1213" t="str">
        <f t="shared" si="74"/>
        <v>0-12 Months</v>
      </c>
      <c r="Y1213" s="1" t="str">
        <f t="shared" si="75"/>
        <v>Medium</v>
      </c>
    </row>
    <row r="1214" spans="1:25" x14ac:dyDescent="0.2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 t="shared" si="72"/>
        <v>0</v>
      </c>
      <c r="W1214">
        <f t="shared" si="73"/>
        <v>1</v>
      </c>
      <c r="X1214" t="str">
        <f t="shared" si="74"/>
        <v>0-12 Months</v>
      </c>
      <c r="Y1214" s="1" t="str">
        <f t="shared" si="75"/>
        <v>Medium</v>
      </c>
    </row>
    <row r="1215" spans="1:25" x14ac:dyDescent="0.2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 t="shared" si="72"/>
        <v>0</v>
      </c>
      <c r="W1215">
        <f t="shared" si="73"/>
        <v>1</v>
      </c>
      <c r="X1215" t="str">
        <f t="shared" si="74"/>
        <v>49+ Months</v>
      </c>
      <c r="Y1215" s="1" t="str">
        <f t="shared" si="75"/>
        <v>Low</v>
      </c>
    </row>
    <row r="1216" spans="1:25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 t="shared" si="72"/>
        <v>1</v>
      </c>
      <c r="W1216">
        <f t="shared" si="73"/>
        <v>0</v>
      </c>
      <c r="X1216" t="str">
        <f t="shared" si="74"/>
        <v>13-24 Months</v>
      </c>
      <c r="Y1216" s="1" t="str">
        <f t="shared" si="75"/>
        <v>High</v>
      </c>
    </row>
    <row r="1217" spans="1:25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 t="shared" si="72"/>
        <v>1</v>
      </c>
      <c r="W1217">
        <f t="shared" si="73"/>
        <v>0</v>
      </c>
      <c r="X1217" t="str">
        <f t="shared" si="74"/>
        <v>0-12 Months</v>
      </c>
      <c r="Y1217" s="1" t="str">
        <f t="shared" si="75"/>
        <v>High</v>
      </c>
    </row>
    <row r="1218" spans="1:25" x14ac:dyDescent="0.2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 t="shared" ref="V1218:V1281" si="76">IF(U1218="Yes",1,0)</f>
        <v>0</v>
      </c>
      <c r="W1218">
        <f t="shared" ref="W1218:W1281" si="77">IF(U1218="No",1,0)</f>
        <v>1</v>
      </c>
      <c r="X1218" t="str">
        <f t="shared" ref="X1218:X1281" si="78">IF(F1218&lt;=12,"0-12 Months",IF(F1218&lt;=24,"13-24 Months",IF(F1218&lt;=48,"25-48 Months","49+ Months")))</f>
        <v>49+ Months</v>
      </c>
      <c r="Y1218" s="1" t="str">
        <f t="shared" ref="Y1218:Y1281" si="79">IF(S1218&lt;50,"Low",IF(S1218&lt;80,"Medium","High"))</f>
        <v>Low</v>
      </c>
    </row>
    <row r="1219" spans="1:25" x14ac:dyDescent="0.2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 t="shared" si="76"/>
        <v>0</v>
      </c>
      <c r="W1219">
        <f t="shared" si="77"/>
        <v>1</v>
      </c>
      <c r="X1219" t="str">
        <f t="shared" si="78"/>
        <v>49+ Months</v>
      </c>
      <c r="Y1219" s="1" t="str">
        <f t="shared" si="79"/>
        <v>Low</v>
      </c>
    </row>
    <row r="1220" spans="1:25" x14ac:dyDescent="0.2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 t="shared" si="76"/>
        <v>1</v>
      </c>
      <c r="W1220">
        <f t="shared" si="77"/>
        <v>0</v>
      </c>
      <c r="X1220" t="str">
        <f t="shared" si="78"/>
        <v>13-24 Months</v>
      </c>
      <c r="Y1220" s="1" t="str">
        <f t="shared" si="79"/>
        <v>High</v>
      </c>
    </row>
    <row r="1221" spans="1:25" x14ac:dyDescent="0.2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 t="shared" si="76"/>
        <v>0</v>
      </c>
      <c r="W1221">
        <f t="shared" si="77"/>
        <v>1</v>
      </c>
      <c r="X1221" t="str">
        <f t="shared" si="78"/>
        <v>49+ Months</v>
      </c>
      <c r="Y1221" s="1" t="str">
        <f t="shared" si="79"/>
        <v>Medium</v>
      </c>
    </row>
    <row r="1222" spans="1:25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 t="shared" si="76"/>
        <v>0</v>
      </c>
      <c r="W1222">
        <f t="shared" si="77"/>
        <v>1</v>
      </c>
      <c r="X1222" t="str">
        <f t="shared" si="78"/>
        <v>13-24 Months</v>
      </c>
      <c r="Y1222" s="1" t="str">
        <f t="shared" si="79"/>
        <v>Medium</v>
      </c>
    </row>
    <row r="1223" spans="1:25" x14ac:dyDescent="0.2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 t="shared" si="76"/>
        <v>0</v>
      </c>
      <c r="W1223">
        <f t="shared" si="77"/>
        <v>1</v>
      </c>
      <c r="X1223" t="str">
        <f t="shared" si="78"/>
        <v>0-12 Months</v>
      </c>
      <c r="Y1223" s="1" t="str">
        <f t="shared" si="79"/>
        <v>Low</v>
      </c>
    </row>
    <row r="1224" spans="1:25" x14ac:dyDescent="0.2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 t="shared" si="76"/>
        <v>0</v>
      </c>
      <c r="W1224">
        <f t="shared" si="77"/>
        <v>1</v>
      </c>
      <c r="X1224" t="str">
        <f t="shared" si="78"/>
        <v>49+ Months</v>
      </c>
      <c r="Y1224" s="1" t="str">
        <f t="shared" si="79"/>
        <v>Medium</v>
      </c>
    </row>
    <row r="1225" spans="1:25" x14ac:dyDescent="0.2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 t="shared" si="76"/>
        <v>1</v>
      </c>
      <c r="W1225">
        <f t="shared" si="77"/>
        <v>0</v>
      </c>
      <c r="X1225" t="str">
        <f t="shared" si="78"/>
        <v>0-12 Months</v>
      </c>
      <c r="Y1225" s="1" t="str">
        <f t="shared" si="79"/>
        <v>Medium</v>
      </c>
    </row>
    <row r="1226" spans="1:25" x14ac:dyDescent="0.2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 t="shared" si="76"/>
        <v>1</v>
      </c>
      <c r="W1226">
        <f t="shared" si="77"/>
        <v>0</v>
      </c>
      <c r="X1226" t="str">
        <f t="shared" si="78"/>
        <v>0-12 Months</v>
      </c>
      <c r="Y1226" s="1" t="str">
        <f t="shared" si="79"/>
        <v>Low</v>
      </c>
    </row>
    <row r="1227" spans="1:25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 t="shared" si="76"/>
        <v>1</v>
      </c>
      <c r="W1227">
        <f t="shared" si="77"/>
        <v>0</v>
      </c>
      <c r="X1227" t="str">
        <f t="shared" si="78"/>
        <v>13-24 Months</v>
      </c>
      <c r="Y1227" s="1" t="str">
        <f t="shared" si="79"/>
        <v>Low</v>
      </c>
    </row>
    <row r="1228" spans="1:25" x14ac:dyDescent="0.2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 t="shared" si="76"/>
        <v>0</v>
      </c>
      <c r="W1228">
        <f t="shared" si="77"/>
        <v>1</v>
      </c>
      <c r="X1228" t="str">
        <f t="shared" si="78"/>
        <v>49+ Months</v>
      </c>
      <c r="Y1228" s="1" t="str">
        <f t="shared" si="79"/>
        <v>Low</v>
      </c>
    </row>
    <row r="1229" spans="1:25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 t="shared" si="76"/>
        <v>0</v>
      </c>
      <c r="W1229">
        <f t="shared" si="77"/>
        <v>1</v>
      </c>
      <c r="X1229" t="str">
        <f t="shared" si="78"/>
        <v>25-48 Months</v>
      </c>
      <c r="Y1229" s="1" t="str">
        <f t="shared" si="79"/>
        <v>High</v>
      </c>
    </row>
    <row r="1230" spans="1:25" x14ac:dyDescent="0.2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 t="shared" si="76"/>
        <v>0</v>
      </c>
      <c r="W1230">
        <f t="shared" si="77"/>
        <v>1</v>
      </c>
      <c r="X1230" t="str">
        <f t="shared" si="78"/>
        <v>49+ Months</v>
      </c>
      <c r="Y1230" s="1" t="str">
        <f t="shared" si="79"/>
        <v>High</v>
      </c>
    </row>
    <row r="1231" spans="1:25" x14ac:dyDescent="0.2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 t="shared" si="76"/>
        <v>0</v>
      </c>
      <c r="W1231">
        <f t="shared" si="77"/>
        <v>1</v>
      </c>
      <c r="X1231" t="str">
        <f t="shared" si="78"/>
        <v>49+ Months</v>
      </c>
      <c r="Y1231" s="1" t="str">
        <f t="shared" si="79"/>
        <v>Medium</v>
      </c>
    </row>
    <row r="1232" spans="1:25" x14ac:dyDescent="0.2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 t="shared" si="76"/>
        <v>0</v>
      </c>
      <c r="W1232">
        <f t="shared" si="77"/>
        <v>1</v>
      </c>
      <c r="X1232" t="str">
        <f t="shared" si="78"/>
        <v>25-48 Months</v>
      </c>
      <c r="Y1232" s="1" t="str">
        <f t="shared" si="79"/>
        <v>High</v>
      </c>
    </row>
    <row r="1233" spans="1:25" x14ac:dyDescent="0.2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 t="shared" si="76"/>
        <v>0</v>
      </c>
      <c r="W1233">
        <f t="shared" si="77"/>
        <v>1</v>
      </c>
      <c r="X1233" t="str">
        <f t="shared" si="78"/>
        <v>13-24 Months</v>
      </c>
      <c r="Y1233" s="1" t="str">
        <f t="shared" si="79"/>
        <v>Medium</v>
      </c>
    </row>
    <row r="1234" spans="1:25" x14ac:dyDescent="0.2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 t="shared" si="76"/>
        <v>1</v>
      </c>
      <c r="W1234">
        <f t="shared" si="77"/>
        <v>0</v>
      </c>
      <c r="X1234" t="str">
        <f t="shared" si="78"/>
        <v>25-48 Months</v>
      </c>
      <c r="Y1234" s="1" t="str">
        <f t="shared" si="79"/>
        <v>Medium</v>
      </c>
    </row>
    <row r="1235" spans="1:25" x14ac:dyDescent="0.2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 t="shared" si="76"/>
        <v>0</v>
      </c>
      <c r="W1235">
        <f t="shared" si="77"/>
        <v>1</v>
      </c>
      <c r="X1235" t="str">
        <f t="shared" si="78"/>
        <v>49+ Months</v>
      </c>
      <c r="Y1235" s="1" t="str">
        <f t="shared" si="79"/>
        <v>Low</v>
      </c>
    </row>
    <row r="1236" spans="1:25" x14ac:dyDescent="0.2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 t="shared" si="76"/>
        <v>0</v>
      </c>
      <c r="W1236">
        <f t="shared" si="77"/>
        <v>1</v>
      </c>
      <c r="X1236" t="str">
        <f t="shared" si="78"/>
        <v>49+ Months</v>
      </c>
      <c r="Y1236" s="1" t="str">
        <f t="shared" si="79"/>
        <v>High</v>
      </c>
    </row>
    <row r="1237" spans="1:25" x14ac:dyDescent="0.2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 t="shared" si="76"/>
        <v>0</v>
      </c>
      <c r="W1237">
        <f t="shared" si="77"/>
        <v>1</v>
      </c>
      <c r="X1237" t="str">
        <f t="shared" si="78"/>
        <v>49+ Months</v>
      </c>
      <c r="Y1237" s="1" t="str">
        <f t="shared" si="79"/>
        <v>High</v>
      </c>
    </row>
    <row r="1238" spans="1:25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 t="shared" si="76"/>
        <v>1</v>
      </c>
      <c r="W1238">
        <f t="shared" si="77"/>
        <v>0</v>
      </c>
      <c r="X1238" t="str">
        <f t="shared" si="78"/>
        <v>0-12 Months</v>
      </c>
      <c r="Y1238" s="1" t="str">
        <f t="shared" si="79"/>
        <v>Medium</v>
      </c>
    </row>
    <row r="1239" spans="1:25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 t="shared" si="76"/>
        <v>0</v>
      </c>
      <c r="W1239">
        <f t="shared" si="77"/>
        <v>1</v>
      </c>
      <c r="X1239" t="str">
        <f t="shared" si="78"/>
        <v>13-24 Months</v>
      </c>
      <c r="Y1239" s="1" t="str">
        <f t="shared" si="79"/>
        <v>Low</v>
      </c>
    </row>
    <row r="1240" spans="1:25" x14ac:dyDescent="0.2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 t="shared" si="76"/>
        <v>1</v>
      </c>
      <c r="W1240">
        <f t="shared" si="77"/>
        <v>0</v>
      </c>
      <c r="X1240" t="str">
        <f t="shared" si="78"/>
        <v>13-24 Months</v>
      </c>
      <c r="Y1240" s="1" t="str">
        <f t="shared" si="79"/>
        <v>High</v>
      </c>
    </row>
    <row r="1241" spans="1:25" x14ac:dyDescent="0.2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 t="shared" si="76"/>
        <v>0</v>
      </c>
      <c r="W1241">
        <f t="shared" si="77"/>
        <v>1</v>
      </c>
      <c r="X1241" t="str">
        <f t="shared" si="78"/>
        <v>0-12 Months</v>
      </c>
      <c r="Y1241" s="1" t="str">
        <f t="shared" si="79"/>
        <v>Medium</v>
      </c>
    </row>
    <row r="1242" spans="1:25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 t="shared" si="76"/>
        <v>0</v>
      </c>
      <c r="W1242">
        <f t="shared" si="77"/>
        <v>1</v>
      </c>
      <c r="X1242" t="str">
        <f t="shared" si="78"/>
        <v>25-48 Months</v>
      </c>
      <c r="Y1242" s="1" t="str">
        <f t="shared" si="79"/>
        <v>Low</v>
      </c>
    </row>
    <row r="1243" spans="1:25" x14ac:dyDescent="0.2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 t="shared" si="76"/>
        <v>0</v>
      </c>
      <c r="W1243">
        <f t="shared" si="77"/>
        <v>1</v>
      </c>
      <c r="X1243" t="str">
        <f t="shared" si="78"/>
        <v>25-48 Months</v>
      </c>
      <c r="Y1243" s="1" t="str">
        <f t="shared" si="79"/>
        <v>Medium</v>
      </c>
    </row>
    <row r="1244" spans="1:25" x14ac:dyDescent="0.2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 t="shared" si="76"/>
        <v>0</v>
      </c>
      <c r="W1244">
        <f t="shared" si="77"/>
        <v>1</v>
      </c>
      <c r="X1244" t="str">
        <f t="shared" si="78"/>
        <v>13-24 Months</v>
      </c>
      <c r="Y1244" s="1" t="str">
        <f t="shared" si="79"/>
        <v>Low</v>
      </c>
    </row>
    <row r="1245" spans="1:25" x14ac:dyDescent="0.2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 t="shared" si="76"/>
        <v>1</v>
      </c>
      <c r="W1245">
        <f t="shared" si="77"/>
        <v>0</v>
      </c>
      <c r="X1245" t="str">
        <f t="shared" si="78"/>
        <v>0-12 Months</v>
      </c>
      <c r="Y1245" s="1" t="str">
        <f t="shared" si="79"/>
        <v>Low</v>
      </c>
    </row>
    <row r="1246" spans="1:25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 t="shared" si="76"/>
        <v>1</v>
      </c>
      <c r="W1246">
        <f t="shared" si="77"/>
        <v>0</v>
      </c>
      <c r="X1246" t="str">
        <f t="shared" si="78"/>
        <v>13-24 Months</v>
      </c>
      <c r="Y1246" s="1" t="str">
        <f t="shared" si="79"/>
        <v>Low</v>
      </c>
    </row>
    <row r="1247" spans="1:25" x14ac:dyDescent="0.2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 t="shared" si="76"/>
        <v>0</v>
      </c>
      <c r="W1247">
        <f t="shared" si="77"/>
        <v>1</v>
      </c>
      <c r="X1247" t="str">
        <f t="shared" si="78"/>
        <v>13-24 Months</v>
      </c>
      <c r="Y1247" s="1" t="str">
        <f t="shared" si="79"/>
        <v>High</v>
      </c>
    </row>
    <row r="1248" spans="1:25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 t="shared" si="76"/>
        <v>0</v>
      </c>
      <c r="W1248">
        <f t="shared" si="77"/>
        <v>1</v>
      </c>
      <c r="X1248" t="str">
        <f t="shared" si="78"/>
        <v>25-48 Months</v>
      </c>
      <c r="Y1248" s="1" t="str">
        <f t="shared" si="79"/>
        <v>High</v>
      </c>
    </row>
    <row r="1249" spans="1:25" x14ac:dyDescent="0.2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 t="shared" si="76"/>
        <v>0</v>
      </c>
      <c r="W1249">
        <f t="shared" si="77"/>
        <v>1</v>
      </c>
      <c r="X1249" t="str">
        <f t="shared" si="78"/>
        <v>13-24 Months</v>
      </c>
      <c r="Y1249" s="1" t="str">
        <f t="shared" si="79"/>
        <v>High</v>
      </c>
    </row>
    <row r="1250" spans="1:25" x14ac:dyDescent="0.2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 t="shared" si="76"/>
        <v>1</v>
      </c>
      <c r="W1250">
        <f t="shared" si="77"/>
        <v>0</v>
      </c>
      <c r="X1250" t="str">
        <f t="shared" si="78"/>
        <v>0-12 Months</v>
      </c>
      <c r="Y1250" s="1" t="str">
        <f t="shared" si="79"/>
        <v>High</v>
      </c>
    </row>
    <row r="1251" spans="1:25" x14ac:dyDescent="0.2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 t="shared" si="76"/>
        <v>1</v>
      </c>
      <c r="W1251">
        <f t="shared" si="77"/>
        <v>0</v>
      </c>
      <c r="X1251" t="str">
        <f t="shared" si="78"/>
        <v>0-12 Months</v>
      </c>
      <c r="Y1251" s="1" t="str">
        <f t="shared" si="79"/>
        <v>Low</v>
      </c>
    </row>
    <row r="1252" spans="1:25" x14ac:dyDescent="0.2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 t="shared" si="76"/>
        <v>0</v>
      </c>
      <c r="W1252">
        <f t="shared" si="77"/>
        <v>1</v>
      </c>
      <c r="X1252" t="str">
        <f t="shared" si="78"/>
        <v>49+ Months</v>
      </c>
      <c r="Y1252" s="1" t="str">
        <f t="shared" si="79"/>
        <v>High</v>
      </c>
    </row>
    <row r="1253" spans="1:25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 t="shared" si="76"/>
        <v>1</v>
      </c>
      <c r="W1253">
        <f t="shared" si="77"/>
        <v>0</v>
      </c>
      <c r="X1253" t="str">
        <f t="shared" si="78"/>
        <v>0-12 Months</v>
      </c>
      <c r="Y1253" s="1" t="str">
        <f t="shared" si="79"/>
        <v>Medium</v>
      </c>
    </row>
    <row r="1254" spans="1:25" x14ac:dyDescent="0.2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 t="shared" si="76"/>
        <v>0</v>
      </c>
      <c r="W1254">
        <f t="shared" si="77"/>
        <v>1</v>
      </c>
      <c r="X1254" t="str">
        <f t="shared" si="78"/>
        <v>0-12 Months</v>
      </c>
      <c r="Y1254" s="1" t="str">
        <f t="shared" si="79"/>
        <v>Low</v>
      </c>
    </row>
    <row r="1255" spans="1:25" x14ac:dyDescent="0.2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 t="shared" si="76"/>
        <v>1</v>
      </c>
      <c r="W1255">
        <f t="shared" si="77"/>
        <v>0</v>
      </c>
      <c r="X1255" t="str">
        <f t="shared" si="78"/>
        <v>0-12 Months</v>
      </c>
      <c r="Y1255" s="1" t="str">
        <f t="shared" si="79"/>
        <v>Medium</v>
      </c>
    </row>
    <row r="1256" spans="1:25" x14ac:dyDescent="0.2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 t="shared" si="76"/>
        <v>0</v>
      </c>
      <c r="W1256">
        <f t="shared" si="77"/>
        <v>1</v>
      </c>
      <c r="X1256" t="str">
        <f t="shared" si="78"/>
        <v>49+ Months</v>
      </c>
      <c r="Y1256" s="1" t="str">
        <f t="shared" si="79"/>
        <v>High</v>
      </c>
    </row>
    <row r="1257" spans="1:25" x14ac:dyDescent="0.2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 t="shared" si="76"/>
        <v>1</v>
      </c>
      <c r="W1257">
        <f t="shared" si="77"/>
        <v>0</v>
      </c>
      <c r="X1257" t="str">
        <f t="shared" si="78"/>
        <v>0-12 Months</v>
      </c>
      <c r="Y1257" s="1" t="str">
        <f t="shared" si="79"/>
        <v>Low</v>
      </c>
    </row>
    <row r="1258" spans="1:25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 t="shared" si="76"/>
        <v>0</v>
      </c>
      <c r="W1258">
        <f t="shared" si="77"/>
        <v>1</v>
      </c>
      <c r="X1258" t="str">
        <f t="shared" si="78"/>
        <v>49+ Months</v>
      </c>
      <c r="Y1258" s="1" t="str">
        <f t="shared" si="79"/>
        <v>High</v>
      </c>
    </row>
    <row r="1259" spans="1:25" x14ac:dyDescent="0.2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 t="shared" si="76"/>
        <v>0</v>
      </c>
      <c r="W1259">
        <f t="shared" si="77"/>
        <v>1</v>
      </c>
      <c r="X1259" t="str">
        <f t="shared" si="78"/>
        <v>25-48 Months</v>
      </c>
      <c r="Y1259" s="1" t="str">
        <f t="shared" si="79"/>
        <v>Low</v>
      </c>
    </row>
    <row r="1260" spans="1:25" x14ac:dyDescent="0.2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 t="shared" si="76"/>
        <v>0</v>
      </c>
      <c r="W1260">
        <f t="shared" si="77"/>
        <v>1</v>
      </c>
      <c r="X1260" t="str">
        <f t="shared" si="78"/>
        <v>25-48 Months</v>
      </c>
      <c r="Y1260" s="1" t="str">
        <f t="shared" si="79"/>
        <v>Low</v>
      </c>
    </row>
    <row r="1261" spans="1:25" x14ac:dyDescent="0.2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 t="shared" si="76"/>
        <v>1</v>
      </c>
      <c r="W1261">
        <f t="shared" si="77"/>
        <v>0</v>
      </c>
      <c r="X1261" t="str">
        <f t="shared" si="78"/>
        <v>25-48 Months</v>
      </c>
      <c r="Y1261" s="1" t="str">
        <f t="shared" si="79"/>
        <v>High</v>
      </c>
    </row>
    <row r="1262" spans="1:25" x14ac:dyDescent="0.2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 t="shared" si="76"/>
        <v>0</v>
      </c>
      <c r="W1262">
        <f t="shared" si="77"/>
        <v>1</v>
      </c>
      <c r="X1262" t="str">
        <f t="shared" si="78"/>
        <v>0-12 Months</v>
      </c>
      <c r="Y1262" s="1" t="str">
        <f t="shared" si="79"/>
        <v>Medium</v>
      </c>
    </row>
    <row r="1263" spans="1:25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 t="shared" si="76"/>
        <v>0</v>
      </c>
      <c r="W1263">
        <f t="shared" si="77"/>
        <v>1</v>
      </c>
      <c r="X1263" t="str">
        <f t="shared" si="78"/>
        <v>0-12 Months</v>
      </c>
      <c r="Y1263" s="1" t="str">
        <f t="shared" si="79"/>
        <v>High</v>
      </c>
    </row>
    <row r="1264" spans="1:25" x14ac:dyDescent="0.2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 t="shared" si="76"/>
        <v>0</v>
      </c>
      <c r="W1264">
        <f t="shared" si="77"/>
        <v>1</v>
      </c>
      <c r="X1264" t="str">
        <f t="shared" si="78"/>
        <v>0-12 Months</v>
      </c>
      <c r="Y1264" s="1" t="str">
        <f t="shared" si="79"/>
        <v>Medium</v>
      </c>
    </row>
    <row r="1265" spans="1:25" x14ac:dyDescent="0.2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 t="shared" si="76"/>
        <v>1</v>
      </c>
      <c r="W1265">
        <f t="shared" si="77"/>
        <v>0</v>
      </c>
      <c r="X1265" t="str">
        <f t="shared" si="78"/>
        <v>49+ Months</v>
      </c>
      <c r="Y1265" s="1" t="str">
        <f t="shared" si="79"/>
        <v>High</v>
      </c>
    </row>
    <row r="1266" spans="1:25" x14ac:dyDescent="0.2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 t="shared" si="76"/>
        <v>0</v>
      </c>
      <c r="W1266">
        <f t="shared" si="77"/>
        <v>1</v>
      </c>
      <c r="X1266" t="str">
        <f t="shared" si="78"/>
        <v>49+ Months</v>
      </c>
      <c r="Y1266" s="1" t="str">
        <f t="shared" si="79"/>
        <v>High</v>
      </c>
    </row>
    <row r="1267" spans="1:25" x14ac:dyDescent="0.2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 t="shared" si="76"/>
        <v>0</v>
      </c>
      <c r="W1267">
        <f t="shared" si="77"/>
        <v>1</v>
      </c>
      <c r="X1267" t="str">
        <f t="shared" si="78"/>
        <v>49+ Months</v>
      </c>
      <c r="Y1267" s="1" t="str">
        <f t="shared" si="79"/>
        <v>High</v>
      </c>
    </row>
    <row r="1268" spans="1:25" x14ac:dyDescent="0.2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 t="shared" si="76"/>
        <v>0</v>
      </c>
      <c r="W1268">
        <f t="shared" si="77"/>
        <v>1</v>
      </c>
      <c r="X1268" t="str">
        <f t="shared" si="78"/>
        <v>0-12 Months</v>
      </c>
      <c r="Y1268" s="1" t="str">
        <f t="shared" si="79"/>
        <v>High</v>
      </c>
    </row>
    <row r="1269" spans="1:25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 t="shared" si="76"/>
        <v>0</v>
      </c>
      <c r="W1269">
        <f t="shared" si="77"/>
        <v>1</v>
      </c>
      <c r="X1269" t="str">
        <f t="shared" si="78"/>
        <v>49+ Months</v>
      </c>
      <c r="Y1269" s="1" t="str">
        <f t="shared" si="79"/>
        <v>Medium</v>
      </c>
    </row>
    <row r="1270" spans="1:25" x14ac:dyDescent="0.2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 t="shared" si="76"/>
        <v>1</v>
      </c>
      <c r="W1270">
        <f t="shared" si="77"/>
        <v>0</v>
      </c>
      <c r="X1270" t="str">
        <f t="shared" si="78"/>
        <v>49+ Months</v>
      </c>
      <c r="Y1270" s="1" t="str">
        <f t="shared" si="79"/>
        <v>High</v>
      </c>
    </row>
    <row r="1271" spans="1:25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 t="shared" si="76"/>
        <v>0</v>
      </c>
      <c r="W1271">
        <f t="shared" si="77"/>
        <v>1</v>
      </c>
      <c r="X1271" t="str">
        <f t="shared" si="78"/>
        <v>49+ Months</v>
      </c>
      <c r="Y1271" s="1" t="str">
        <f t="shared" si="79"/>
        <v>High</v>
      </c>
    </row>
    <row r="1272" spans="1:25" x14ac:dyDescent="0.2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 t="shared" si="76"/>
        <v>0</v>
      </c>
      <c r="W1272">
        <f t="shared" si="77"/>
        <v>1</v>
      </c>
      <c r="X1272" t="str">
        <f t="shared" si="78"/>
        <v>49+ Months</v>
      </c>
      <c r="Y1272" s="1" t="str">
        <f t="shared" si="79"/>
        <v>Low</v>
      </c>
    </row>
    <row r="1273" spans="1:25" x14ac:dyDescent="0.2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 t="shared" si="76"/>
        <v>0</v>
      </c>
      <c r="W1273">
        <f t="shared" si="77"/>
        <v>1</v>
      </c>
      <c r="X1273" t="str">
        <f t="shared" si="78"/>
        <v>49+ Months</v>
      </c>
      <c r="Y1273" s="1" t="str">
        <f t="shared" si="79"/>
        <v>Medium</v>
      </c>
    </row>
    <row r="1274" spans="1:25" x14ac:dyDescent="0.2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 t="shared" si="76"/>
        <v>0</v>
      </c>
      <c r="W1274">
        <f t="shared" si="77"/>
        <v>1</v>
      </c>
      <c r="X1274" t="str">
        <f t="shared" si="78"/>
        <v>0-12 Months</v>
      </c>
      <c r="Y1274" s="1" t="str">
        <f t="shared" si="79"/>
        <v>Low</v>
      </c>
    </row>
    <row r="1275" spans="1:25" x14ac:dyDescent="0.2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 t="shared" si="76"/>
        <v>0</v>
      </c>
      <c r="W1275">
        <f t="shared" si="77"/>
        <v>1</v>
      </c>
      <c r="X1275" t="str">
        <f t="shared" si="78"/>
        <v>49+ Months</v>
      </c>
      <c r="Y1275" s="1" t="str">
        <f t="shared" si="79"/>
        <v>High</v>
      </c>
    </row>
    <row r="1276" spans="1:25" x14ac:dyDescent="0.2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 t="shared" si="76"/>
        <v>0</v>
      </c>
      <c r="W1276">
        <f t="shared" si="77"/>
        <v>1</v>
      </c>
      <c r="X1276" t="str">
        <f t="shared" si="78"/>
        <v>49+ Months</v>
      </c>
      <c r="Y1276" s="1" t="str">
        <f t="shared" si="79"/>
        <v>High</v>
      </c>
    </row>
    <row r="1277" spans="1:25" x14ac:dyDescent="0.2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 t="shared" si="76"/>
        <v>0</v>
      </c>
      <c r="W1277">
        <f t="shared" si="77"/>
        <v>1</v>
      </c>
      <c r="X1277" t="str">
        <f t="shared" si="78"/>
        <v>49+ Months</v>
      </c>
      <c r="Y1277" s="1" t="str">
        <f t="shared" si="79"/>
        <v>Medium</v>
      </c>
    </row>
    <row r="1278" spans="1:25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 t="shared" si="76"/>
        <v>0</v>
      </c>
      <c r="W1278">
        <f t="shared" si="77"/>
        <v>1</v>
      </c>
      <c r="X1278" t="str">
        <f t="shared" si="78"/>
        <v>49+ Months</v>
      </c>
      <c r="Y1278" s="1" t="str">
        <f t="shared" si="79"/>
        <v>High</v>
      </c>
    </row>
    <row r="1279" spans="1:25" x14ac:dyDescent="0.2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 t="shared" si="76"/>
        <v>0</v>
      </c>
      <c r="W1279">
        <f t="shared" si="77"/>
        <v>1</v>
      </c>
      <c r="X1279" t="str">
        <f t="shared" si="78"/>
        <v>49+ Months</v>
      </c>
      <c r="Y1279" s="1" t="str">
        <f t="shared" si="79"/>
        <v>Low</v>
      </c>
    </row>
    <row r="1280" spans="1:25" x14ac:dyDescent="0.2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 t="shared" si="76"/>
        <v>0</v>
      </c>
      <c r="W1280">
        <f t="shared" si="77"/>
        <v>1</v>
      </c>
      <c r="X1280" t="str">
        <f t="shared" si="78"/>
        <v>25-48 Months</v>
      </c>
      <c r="Y1280" s="1" t="str">
        <f t="shared" si="79"/>
        <v>Medium</v>
      </c>
    </row>
    <row r="1281" spans="1:25" x14ac:dyDescent="0.2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 t="shared" si="76"/>
        <v>0</v>
      </c>
      <c r="W1281">
        <f t="shared" si="77"/>
        <v>1</v>
      </c>
      <c r="X1281" t="str">
        <f t="shared" si="78"/>
        <v>25-48 Months</v>
      </c>
      <c r="Y1281" s="1" t="str">
        <f t="shared" si="79"/>
        <v>Low</v>
      </c>
    </row>
    <row r="1282" spans="1:25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 t="shared" ref="V1282:V1345" si="80">IF(U1282="Yes",1,0)</f>
        <v>0</v>
      </c>
      <c r="W1282">
        <f t="shared" ref="W1282:W1345" si="81">IF(U1282="No",1,0)</f>
        <v>1</v>
      </c>
      <c r="X1282" t="str">
        <f t="shared" ref="X1282:X1345" si="82">IF(F1282&lt;=12,"0-12 Months",IF(F1282&lt;=24,"13-24 Months",IF(F1282&lt;=48,"25-48 Months","49+ Months")))</f>
        <v>49+ Months</v>
      </c>
      <c r="Y1282" s="1" t="str">
        <f t="shared" ref="Y1282:Y1345" si="83">IF(S1282&lt;50,"Low",IF(S1282&lt;80,"Medium","High"))</f>
        <v>High</v>
      </c>
    </row>
    <row r="1283" spans="1:25" x14ac:dyDescent="0.2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 t="shared" si="80"/>
        <v>0</v>
      </c>
      <c r="W1283">
        <f t="shared" si="81"/>
        <v>1</v>
      </c>
      <c r="X1283" t="str">
        <f t="shared" si="82"/>
        <v>25-48 Months</v>
      </c>
      <c r="Y1283" s="1" t="str">
        <f t="shared" si="83"/>
        <v>Low</v>
      </c>
    </row>
    <row r="1284" spans="1:25" x14ac:dyDescent="0.2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 t="shared" si="80"/>
        <v>0</v>
      </c>
      <c r="W1284">
        <f t="shared" si="81"/>
        <v>1</v>
      </c>
      <c r="X1284" t="str">
        <f t="shared" si="82"/>
        <v>0-12 Months</v>
      </c>
      <c r="Y1284" s="1" t="str">
        <f t="shared" si="83"/>
        <v>Medium</v>
      </c>
    </row>
    <row r="1285" spans="1:25" x14ac:dyDescent="0.2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 t="shared" si="80"/>
        <v>0</v>
      </c>
      <c r="W1285">
        <f t="shared" si="81"/>
        <v>1</v>
      </c>
      <c r="X1285" t="str">
        <f t="shared" si="82"/>
        <v>49+ Months</v>
      </c>
      <c r="Y1285" s="1" t="str">
        <f t="shared" si="83"/>
        <v>High</v>
      </c>
    </row>
    <row r="1286" spans="1:25" x14ac:dyDescent="0.2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 t="shared" si="80"/>
        <v>0</v>
      </c>
      <c r="W1286">
        <f t="shared" si="81"/>
        <v>1</v>
      </c>
      <c r="X1286" t="str">
        <f t="shared" si="82"/>
        <v>49+ Months</v>
      </c>
      <c r="Y1286" s="1" t="str">
        <f t="shared" si="83"/>
        <v>Low</v>
      </c>
    </row>
    <row r="1287" spans="1:25" x14ac:dyDescent="0.2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 t="shared" si="80"/>
        <v>1</v>
      </c>
      <c r="W1287">
        <f t="shared" si="81"/>
        <v>0</v>
      </c>
      <c r="X1287" t="str">
        <f t="shared" si="82"/>
        <v>0-12 Months</v>
      </c>
      <c r="Y1287" s="1" t="str">
        <f t="shared" si="83"/>
        <v>High</v>
      </c>
    </row>
    <row r="1288" spans="1:25" x14ac:dyDescent="0.2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 t="shared" si="80"/>
        <v>0</v>
      </c>
      <c r="W1288">
        <f t="shared" si="81"/>
        <v>1</v>
      </c>
      <c r="X1288" t="str">
        <f t="shared" si="82"/>
        <v>0-12 Months</v>
      </c>
      <c r="Y1288" s="1" t="str">
        <f t="shared" si="83"/>
        <v>Medium</v>
      </c>
    </row>
    <row r="1289" spans="1:25" x14ac:dyDescent="0.2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 t="shared" si="80"/>
        <v>0</v>
      </c>
      <c r="W1289">
        <f t="shared" si="81"/>
        <v>1</v>
      </c>
      <c r="X1289" t="str">
        <f t="shared" si="82"/>
        <v>25-48 Months</v>
      </c>
      <c r="Y1289" s="1" t="str">
        <f t="shared" si="83"/>
        <v>High</v>
      </c>
    </row>
    <row r="1290" spans="1:25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 t="shared" si="80"/>
        <v>0</v>
      </c>
      <c r="W1290">
        <f t="shared" si="81"/>
        <v>1</v>
      </c>
      <c r="X1290" t="str">
        <f t="shared" si="82"/>
        <v>49+ Months</v>
      </c>
      <c r="Y1290" s="1" t="str">
        <f t="shared" si="83"/>
        <v>Low</v>
      </c>
    </row>
    <row r="1291" spans="1:25" x14ac:dyDescent="0.2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 t="shared" si="80"/>
        <v>0</v>
      </c>
      <c r="W1291">
        <f t="shared" si="81"/>
        <v>1</v>
      </c>
      <c r="X1291" t="str">
        <f t="shared" si="82"/>
        <v>49+ Months</v>
      </c>
      <c r="Y1291" s="1" t="str">
        <f t="shared" si="83"/>
        <v>Medium</v>
      </c>
    </row>
    <row r="1292" spans="1:25" x14ac:dyDescent="0.2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 t="shared" si="80"/>
        <v>0</v>
      </c>
      <c r="W1292">
        <f t="shared" si="81"/>
        <v>1</v>
      </c>
      <c r="X1292" t="str">
        <f t="shared" si="82"/>
        <v>49+ Months</v>
      </c>
      <c r="Y1292" s="1" t="str">
        <f t="shared" si="83"/>
        <v>High</v>
      </c>
    </row>
    <row r="1293" spans="1:25" x14ac:dyDescent="0.2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 t="shared" si="80"/>
        <v>1</v>
      </c>
      <c r="W1293">
        <f t="shared" si="81"/>
        <v>0</v>
      </c>
      <c r="X1293" t="str">
        <f t="shared" si="82"/>
        <v>0-12 Months</v>
      </c>
      <c r="Y1293" s="1" t="str">
        <f t="shared" si="83"/>
        <v>Medium</v>
      </c>
    </row>
    <row r="1294" spans="1:25" x14ac:dyDescent="0.2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 t="shared" si="80"/>
        <v>0</v>
      </c>
      <c r="W1294">
        <f t="shared" si="81"/>
        <v>1</v>
      </c>
      <c r="X1294" t="str">
        <f t="shared" si="82"/>
        <v>49+ Months</v>
      </c>
      <c r="Y1294" s="1" t="str">
        <f t="shared" si="83"/>
        <v>High</v>
      </c>
    </row>
    <row r="1295" spans="1:25" x14ac:dyDescent="0.2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 t="shared" si="80"/>
        <v>0</v>
      </c>
      <c r="W1295">
        <f t="shared" si="81"/>
        <v>1</v>
      </c>
      <c r="X1295" t="str">
        <f t="shared" si="82"/>
        <v>49+ Months</v>
      </c>
      <c r="Y1295" s="1" t="str">
        <f t="shared" si="83"/>
        <v>High</v>
      </c>
    </row>
    <row r="1296" spans="1:25" x14ac:dyDescent="0.2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 t="shared" si="80"/>
        <v>1</v>
      </c>
      <c r="W1296">
        <f t="shared" si="81"/>
        <v>0</v>
      </c>
      <c r="X1296" t="str">
        <f t="shared" si="82"/>
        <v>0-12 Months</v>
      </c>
      <c r="Y1296" s="1" t="str">
        <f t="shared" si="83"/>
        <v>Low</v>
      </c>
    </row>
    <row r="1297" spans="1:25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 t="shared" si="80"/>
        <v>0</v>
      </c>
      <c r="W1297">
        <f t="shared" si="81"/>
        <v>1</v>
      </c>
      <c r="X1297" t="str">
        <f t="shared" si="82"/>
        <v>49+ Months</v>
      </c>
      <c r="Y1297" s="1" t="str">
        <f t="shared" si="83"/>
        <v>High</v>
      </c>
    </row>
    <row r="1298" spans="1:25" x14ac:dyDescent="0.2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 t="shared" si="80"/>
        <v>0</v>
      </c>
      <c r="W1298">
        <f t="shared" si="81"/>
        <v>1</v>
      </c>
      <c r="X1298" t="str">
        <f t="shared" si="82"/>
        <v>13-24 Months</v>
      </c>
      <c r="Y1298" s="1" t="str">
        <f t="shared" si="83"/>
        <v>High</v>
      </c>
    </row>
    <row r="1299" spans="1:25" x14ac:dyDescent="0.2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 t="shared" si="80"/>
        <v>0</v>
      </c>
      <c r="W1299">
        <f t="shared" si="81"/>
        <v>1</v>
      </c>
      <c r="X1299" t="str">
        <f t="shared" si="82"/>
        <v>0-12 Months</v>
      </c>
      <c r="Y1299" s="1" t="str">
        <f t="shared" si="83"/>
        <v>Medium</v>
      </c>
    </row>
    <row r="1300" spans="1:25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 t="shared" si="80"/>
        <v>0</v>
      </c>
      <c r="W1300">
        <f t="shared" si="81"/>
        <v>1</v>
      </c>
      <c r="X1300" t="str">
        <f t="shared" si="82"/>
        <v>13-24 Months</v>
      </c>
      <c r="Y1300" s="1" t="str">
        <f t="shared" si="83"/>
        <v>Medium</v>
      </c>
    </row>
    <row r="1301" spans="1:25" x14ac:dyDescent="0.2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 t="shared" si="80"/>
        <v>1</v>
      </c>
      <c r="W1301">
        <f t="shared" si="81"/>
        <v>0</v>
      </c>
      <c r="X1301" t="str">
        <f t="shared" si="82"/>
        <v>0-12 Months</v>
      </c>
      <c r="Y1301" s="1" t="str">
        <f t="shared" si="83"/>
        <v>Low</v>
      </c>
    </row>
    <row r="1302" spans="1:25" x14ac:dyDescent="0.2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 t="shared" si="80"/>
        <v>0</v>
      </c>
      <c r="W1302">
        <f t="shared" si="81"/>
        <v>1</v>
      </c>
      <c r="X1302" t="str">
        <f t="shared" si="82"/>
        <v>49+ Months</v>
      </c>
      <c r="Y1302" s="1" t="str">
        <f t="shared" si="83"/>
        <v>High</v>
      </c>
    </row>
    <row r="1303" spans="1:25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 t="shared" si="80"/>
        <v>0</v>
      </c>
      <c r="W1303">
        <f t="shared" si="81"/>
        <v>1</v>
      </c>
      <c r="X1303" t="str">
        <f t="shared" si="82"/>
        <v>49+ Months</v>
      </c>
      <c r="Y1303" s="1" t="str">
        <f t="shared" si="83"/>
        <v>Medium</v>
      </c>
    </row>
    <row r="1304" spans="1:25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 t="shared" si="80"/>
        <v>0</v>
      </c>
      <c r="W1304">
        <f t="shared" si="81"/>
        <v>1</v>
      </c>
      <c r="X1304" t="str">
        <f t="shared" si="82"/>
        <v>25-48 Months</v>
      </c>
      <c r="Y1304" s="1" t="str">
        <f t="shared" si="83"/>
        <v>High</v>
      </c>
    </row>
    <row r="1305" spans="1:25" x14ac:dyDescent="0.2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 t="shared" si="80"/>
        <v>0</v>
      </c>
      <c r="W1305">
        <f t="shared" si="81"/>
        <v>1</v>
      </c>
      <c r="X1305" t="str">
        <f t="shared" si="82"/>
        <v>49+ Months</v>
      </c>
      <c r="Y1305" s="1" t="str">
        <f t="shared" si="83"/>
        <v>Low</v>
      </c>
    </row>
    <row r="1306" spans="1:25" x14ac:dyDescent="0.2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 t="shared" si="80"/>
        <v>1</v>
      </c>
      <c r="W1306">
        <f t="shared" si="81"/>
        <v>0</v>
      </c>
      <c r="X1306" t="str">
        <f t="shared" si="82"/>
        <v>13-24 Months</v>
      </c>
      <c r="Y1306" s="1" t="str">
        <f t="shared" si="83"/>
        <v>High</v>
      </c>
    </row>
    <row r="1307" spans="1:25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 t="shared" si="80"/>
        <v>0</v>
      </c>
      <c r="W1307">
        <f t="shared" si="81"/>
        <v>1</v>
      </c>
      <c r="X1307" t="str">
        <f t="shared" si="82"/>
        <v>25-48 Months</v>
      </c>
      <c r="Y1307" s="1" t="str">
        <f t="shared" si="83"/>
        <v>Medium</v>
      </c>
    </row>
    <row r="1308" spans="1:25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 t="shared" si="80"/>
        <v>1</v>
      </c>
      <c r="W1308">
        <f t="shared" si="81"/>
        <v>0</v>
      </c>
      <c r="X1308" t="str">
        <f t="shared" si="82"/>
        <v>49+ Months</v>
      </c>
      <c r="Y1308" s="1" t="str">
        <f t="shared" si="83"/>
        <v>High</v>
      </c>
    </row>
    <row r="1309" spans="1:25" x14ac:dyDescent="0.2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 t="shared" si="80"/>
        <v>0</v>
      </c>
      <c r="W1309">
        <f t="shared" si="81"/>
        <v>1</v>
      </c>
      <c r="X1309" t="str">
        <f t="shared" si="82"/>
        <v>25-48 Months</v>
      </c>
      <c r="Y1309" s="1" t="str">
        <f t="shared" si="83"/>
        <v>Medium</v>
      </c>
    </row>
    <row r="1310" spans="1:25" x14ac:dyDescent="0.2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 t="shared" si="80"/>
        <v>1</v>
      </c>
      <c r="W1310">
        <f t="shared" si="81"/>
        <v>0</v>
      </c>
      <c r="X1310" t="str">
        <f t="shared" si="82"/>
        <v>13-24 Months</v>
      </c>
      <c r="Y1310" s="1" t="str">
        <f t="shared" si="83"/>
        <v>High</v>
      </c>
    </row>
    <row r="1311" spans="1:25" x14ac:dyDescent="0.2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 t="shared" si="80"/>
        <v>1</v>
      </c>
      <c r="W1311">
        <f t="shared" si="81"/>
        <v>0</v>
      </c>
      <c r="X1311" t="str">
        <f t="shared" si="82"/>
        <v>13-24 Months</v>
      </c>
      <c r="Y1311" s="1" t="str">
        <f t="shared" si="83"/>
        <v>High</v>
      </c>
    </row>
    <row r="1312" spans="1:25" x14ac:dyDescent="0.2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 t="shared" si="80"/>
        <v>1</v>
      </c>
      <c r="W1312">
        <f t="shared" si="81"/>
        <v>0</v>
      </c>
      <c r="X1312" t="str">
        <f t="shared" si="82"/>
        <v>25-48 Months</v>
      </c>
      <c r="Y1312" s="1" t="str">
        <f t="shared" si="83"/>
        <v>High</v>
      </c>
    </row>
    <row r="1313" spans="1:25" x14ac:dyDescent="0.2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 t="shared" si="80"/>
        <v>0</v>
      </c>
      <c r="W1313">
        <f t="shared" si="81"/>
        <v>1</v>
      </c>
      <c r="X1313" t="str">
        <f t="shared" si="82"/>
        <v>25-48 Months</v>
      </c>
      <c r="Y1313" s="1" t="str">
        <f t="shared" si="83"/>
        <v>Low</v>
      </c>
    </row>
    <row r="1314" spans="1:25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 t="shared" si="80"/>
        <v>0</v>
      </c>
      <c r="W1314">
        <f t="shared" si="81"/>
        <v>1</v>
      </c>
      <c r="X1314" t="str">
        <f t="shared" si="82"/>
        <v>25-48 Months</v>
      </c>
      <c r="Y1314" s="1" t="str">
        <f t="shared" si="83"/>
        <v>Medium</v>
      </c>
    </row>
    <row r="1315" spans="1:25" x14ac:dyDescent="0.2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 t="shared" si="80"/>
        <v>1</v>
      </c>
      <c r="W1315">
        <f t="shared" si="81"/>
        <v>0</v>
      </c>
      <c r="X1315" t="str">
        <f t="shared" si="82"/>
        <v>25-48 Months</v>
      </c>
      <c r="Y1315" s="1" t="str">
        <f t="shared" si="83"/>
        <v>High</v>
      </c>
    </row>
    <row r="1316" spans="1:25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 t="shared" si="80"/>
        <v>1</v>
      </c>
      <c r="W1316">
        <f t="shared" si="81"/>
        <v>0</v>
      </c>
      <c r="X1316" t="str">
        <f t="shared" si="82"/>
        <v>25-48 Months</v>
      </c>
      <c r="Y1316" s="1" t="str">
        <f t="shared" si="83"/>
        <v>High</v>
      </c>
    </row>
    <row r="1317" spans="1:25" x14ac:dyDescent="0.2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 t="shared" si="80"/>
        <v>0</v>
      </c>
      <c r="W1317">
        <f t="shared" si="81"/>
        <v>1</v>
      </c>
      <c r="X1317" t="str">
        <f t="shared" si="82"/>
        <v>0-12 Months</v>
      </c>
      <c r="Y1317" s="1" t="str">
        <f t="shared" si="83"/>
        <v>Low</v>
      </c>
    </row>
    <row r="1318" spans="1:25" x14ac:dyDescent="0.2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 t="shared" si="80"/>
        <v>0</v>
      </c>
      <c r="W1318">
        <f t="shared" si="81"/>
        <v>1</v>
      </c>
      <c r="X1318" t="str">
        <f t="shared" si="82"/>
        <v>0-12 Months</v>
      </c>
      <c r="Y1318" s="1" t="str">
        <f t="shared" si="83"/>
        <v>Low</v>
      </c>
    </row>
    <row r="1319" spans="1:25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 t="shared" si="80"/>
        <v>0</v>
      </c>
      <c r="W1319">
        <f t="shared" si="81"/>
        <v>1</v>
      </c>
      <c r="X1319" t="str">
        <f t="shared" si="82"/>
        <v>0-12 Months</v>
      </c>
      <c r="Y1319" s="1" t="str">
        <f t="shared" si="83"/>
        <v>Low</v>
      </c>
    </row>
    <row r="1320" spans="1:25" x14ac:dyDescent="0.2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 t="shared" si="80"/>
        <v>0</v>
      </c>
      <c r="W1320">
        <f t="shared" si="81"/>
        <v>1</v>
      </c>
      <c r="X1320" t="str">
        <f t="shared" si="82"/>
        <v>0-12 Months</v>
      </c>
      <c r="Y1320" s="1" t="str">
        <f t="shared" si="83"/>
        <v>Medium</v>
      </c>
    </row>
    <row r="1321" spans="1:25" x14ac:dyDescent="0.2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 t="shared" si="80"/>
        <v>1</v>
      </c>
      <c r="W1321">
        <f t="shared" si="81"/>
        <v>0</v>
      </c>
      <c r="X1321" t="str">
        <f t="shared" si="82"/>
        <v>0-12 Months</v>
      </c>
      <c r="Y1321" s="1" t="str">
        <f t="shared" si="83"/>
        <v>Low</v>
      </c>
    </row>
    <row r="1322" spans="1:25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 t="shared" si="80"/>
        <v>0</v>
      </c>
      <c r="W1322">
        <f t="shared" si="81"/>
        <v>1</v>
      </c>
      <c r="X1322" t="str">
        <f t="shared" si="82"/>
        <v>25-48 Months</v>
      </c>
      <c r="Y1322" s="1" t="str">
        <f t="shared" si="83"/>
        <v>High</v>
      </c>
    </row>
    <row r="1323" spans="1:25" x14ac:dyDescent="0.2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 t="shared" si="80"/>
        <v>0</v>
      </c>
      <c r="W1323">
        <f t="shared" si="81"/>
        <v>1</v>
      </c>
      <c r="X1323" t="str">
        <f t="shared" si="82"/>
        <v>49+ Months</v>
      </c>
      <c r="Y1323" s="1" t="str">
        <f t="shared" si="83"/>
        <v>Medium</v>
      </c>
    </row>
    <row r="1324" spans="1:25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 t="shared" si="80"/>
        <v>0</v>
      </c>
      <c r="W1324">
        <f t="shared" si="81"/>
        <v>1</v>
      </c>
      <c r="X1324" t="str">
        <f t="shared" si="82"/>
        <v>0-12 Months</v>
      </c>
      <c r="Y1324" s="1" t="str">
        <f t="shared" si="83"/>
        <v>Low</v>
      </c>
    </row>
    <row r="1325" spans="1:25" x14ac:dyDescent="0.2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 t="shared" si="80"/>
        <v>0</v>
      </c>
      <c r="W1325">
        <f t="shared" si="81"/>
        <v>1</v>
      </c>
      <c r="X1325" t="str">
        <f t="shared" si="82"/>
        <v>49+ Months</v>
      </c>
      <c r="Y1325" s="1" t="str">
        <f t="shared" si="83"/>
        <v>Low</v>
      </c>
    </row>
    <row r="1326" spans="1:25" x14ac:dyDescent="0.2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 t="shared" si="80"/>
        <v>1</v>
      </c>
      <c r="W1326">
        <f t="shared" si="81"/>
        <v>0</v>
      </c>
      <c r="X1326" t="str">
        <f t="shared" si="82"/>
        <v>0-12 Months</v>
      </c>
      <c r="Y1326" s="1" t="str">
        <f t="shared" si="83"/>
        <v>Low</v>
      </c>
    </row>
    <row r="1327" spans="1:25" x14ac:dyDescent="0.2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 t="shared" si="80"/>
        <v>1</v>
      </c>
      <c r="W1327">
        <f t="shared" si="81"/>
        <v>0</v>
      </c>
      <c r="X1327" t="str">
        <f t="shared" si="82"/>
        <v>0-12 Months</v>
      </c>
      <c r="Y1327" s="1" t="str">
        <f t="shared" si="83"/>
        <v>Medium</v>
      </c>
    </row>
    <row r="1328" spans="1:25" x14ac:dyDescent="0.2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 t="shared" si="80"/>
        <v>0</v>
      </c>
      <c r="W1328">
        <f t="shared" si="81"/>
        <v>1</v>
      </c>
      <c r="X1328" t="str">
        <f t="shared" si="82"/>
        <v>25-48 Months</v>
      </c>
      <c r="Y1328" s="1" t="str">
        <f t="shared" si="83"/>
        <v>Medium</v>
      </c>
    </row>
    <row r="1329" spans="1:25" x14ac:dyDescent="0.2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 t="shared" si="80"/>
        <v>1</v>
      </c>
      <c r="W1329">
        <f t="shared" si="81"/>
        <v>0</v>
      </c>
      <c r="X1329" t="str">
        <f t="shared" si="82"/>
        <v>49+ Months</v>
      </c>
      <c r="Y1329" s="1" t="str">
        <f t="shared" si="83"/>
        <v>High</v>
      </c>
    </row>
    <row r="1330" spans="1:25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 t="shared" si="80"/>
        <v>0</v>
      </c>
      <c r="W1330">
        <f t="shared" si="81"/>
        <v>1</v>
      </c>
      <c r="X1330" t="str">
        <f t="shared" si="82"/>
        <v>13-24 Months</v>
      </c>
      <c r="Y1330" s="1" t="str">
        <f t="shared" si="83"/>
        <v>Medium</v>
      </c>
    </row>
    <row r="1331" spans="1:25" x14ac:dyDescent="0.2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 t="shared" si="80"/>
        <v>0</v>
      </c>
      <c r="W1331">
        <f t="shared" si="81"/>
        <v>1</v>
      </c>
      <c r="X1331" t="str">
        <f t="shared" si="82"/>
        <v>49+ Months</v>
      </c>
      <c r="Y1331" s="1" t="str">
        <f t="shared" si="83"/>
        <v>Low</v>
      </c>
    </row>
    <row r="1332" spans="1:25" x14ac:dyDescent="0.2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 t="shared" si="80"/>
        <v>0</v>
      </c>
      <c r="W1332">
        <f t="shared" si="81"/>
        <v>1</v>
      </c>
      <c r="X1332" t="str">
        <f t="shared" si="82"/>
        <v>13-24 Months</v>
      </c>
      <c r="Y1332" s="1" t="str">
        <f t="shared" si="83"/>
        <v>Medium</v>
      </c>
    </row>
    <row r="1333" spans="1:25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 t="shared" si="80"/>
        <v>0</v>
      </c>
      <c r="W1333">
        <f t="shared" si="81"/>
        <v>1</v>
      </c>
      <c r="X1333" t="str">
        <f t="shared" si="82"/>
        <v>0-12 Months</v>
      </c>
      <c r="Y1333" s="1" t="str">
        <f t="shared" si="83"/>
        <v>Low</v>
      </c>
    </row>
    <row r="1334" spans="1:25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 t="shared" si="80"/>
        <v>0</v>
      </c>
      <c r="W1334">
        <f t="shared" si="81"/>
        <v>1</v>
      </c>
      <c r="X1334" t="str">
        <f t="shared" si="82"/>
        <v>49+ Months</v>
      </c>
      <c r="Y1334" s="1" t="str">
        <f t="shared" si="83"/>
        <v>Low</v>
      </c>
    </row>
    <row r="1335" spans="1:25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 t="shared" si="80"/>
        <v>0</v>
      </c>
      <c r="W1335">
        <f t="shared" si="81"/>
        <v>1</v>
      </c>
      <c r="X1335" t="str">
        <f t="shared" si="82"/>
        <v>49+ Months</v>
      </c>
      <c r="Y1335" s="1" t="str">
        <f t="shared" si="83"/>
        <v>Low</v>
      </c>
    </row>
    <row r="1336" spans="1:25" x14ac:dyDescent="0.2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 t="shared" si="80"/>
        <v>1</v>
      </c>
      <c r="W1336">
        <f t="shared" si="81"/>
        <v>0</v>
      </c>
      <c r="X1336" t="str">
        <f t="shared" si="82"/>
        <v>0-12 Months</v>
      </c>
      <c r="Y1336" s="1" t="str">
        <f t="shared" si="83"/>
        <v>Low</v>
      </c>
    </row>
    <row r="1337" spans="1:25" x14ac:dyDescent="0.2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 t="shared" si="80"/>
        <v>1</v>
      </c>
      <c r="W1337">
        <f t="shared" si="81"/>
        <v>0</v>
      </c>
      <c r="X1337" t="str">
        <f t="shared" si="82"/>
        <v>0-12 Months</v>
      </c>
      <c r="Y1337" s="1" t="str">
        <f t="shared" si="83"/>
        <v>Low</v>
      </c>
    </row>
    <row r="1338" spans="1:25" x14ac:dyDescent="0.2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 t="shared" si="80"/>
        <v>0</v>
      </c>
      <c r="W1338">
        <f t="shared" si="81"/>
        <v>1</v>
      </c>
      <c r="X1338" t="str">
        <f t="shared" si="82"/>
        <v>13-24 Months</v>
      </c>
      <c r="Y1338" s="1" t="str">
        <f t="shared" si="83"/>
        <v>Medium</v>
      </c>
    </row>
    <row r="1339" spans="1:25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 t="shared" si="80"/>
        <v>0</v>
      </c>
      <c r="W1339">
        <f t="shared" si="81"/>
        <v>1</v>
      </c>
      <c r="X1339" t="str">
        <f t="shared" si="82"/>
        <v>25-48 Months</v>
      </c>
      <c r="Y1339" s="1" t="str">
        <f t="shared" si="83"/>
        <v>Low</v>
      </c>
    </row>
    <row r="1340" spans="1:25" x14ac:dyDescent="0.2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 t="shared" si="80"/>
        <v>1</v>
      </c>
      <c r="W1340">
        <f t="shared" si="81"/>
        <v>0</v>
      </c>
      <c r="X1340" t="str">
        <f t="shared" si="82"/>
        <v>0-12 Months</v>
      </c>
      <c r="Y1340" s="1" t="str">
        <f t="shared" si="83"/>
        <v>Low</v>
      </c>
    </row>
    <row r="1341" spans="1:25" x14ac:dyDescent="0.2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 t="shared" si="80"/>
        <v>1</v>
      </c>
      <c r="W1341">
        <f t="shared" si="81"/>
        <v>0</v>
      </c>
      <c r="X1341" t="str">
        <f t="shared" si="82"/>
        <v>49+ Months</v>
      </c>
      <c r="Y1341" s="1" t="str">
        <f t="shared" si="83"/>
        <v>High</v>
      </c>
    </row>
    <row r="1342" spans="1:25" x14ac:dyDescent="0.2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>
        <f t="shared" si="80"/>
        <v>0</v>
      </c>
      <c r="W1342">
        <f t="shared" si="81"/>
        <v>1</v>
      </c>
      <c r="X1342" t="str">
        <f t="shared" si="82"/>
        <v>0-12 Months</v>
      </c>
      <c r="Y1342" s="1" t="str">
        <f t="shared" si="83"/>
        <v>Medium</v>
      </c>
    </row>
    <row r="1343" spans="1:25" x14ac:dyDescent="0.2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 t="shared" si="80"/>
        <v>1</v>
      </c>
      <c r="W1343">
        <f t="shared" si="81"/>
        <v>0</v>
      </c>
      <c r="X1343" t="str">
        <f t="shared" si="82"/>
        <v>0-12 Months</v>
      </c>
      <c r="Y1343" s="1" t="str">
        <f t="shared" si="83"/>
        <v>Medium</v>
      </c>
    </row>
    <row r="1344" spans="1:25" x14ac:dyDescent="0.2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 t="shared" si="80"/>
        <v>0</v>
      </c>
      <c r="W1344">
        <f t="shared" si="81"/>
        <v>1</v>
      </c>
      <c r="X1344" t="str">
        <f t="shared" si="82"/>
        <v>0-12 Months</v>
      </c>
      <c r="Y1344" s="1" t="str">
        <f t="shared" si="83"/>
        <v>Low</v>
      </c>
    </row>
    <row r="1345" spans="1:25" x14ac:dyDescent="0.2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 t="shared" si="80"/>
        <v>0</v>
      </c>
      <c r="W1345">
        <f t="shared" si="81"/>
        <v>1</v>
      </c>
      <c r="X1345" t="str">
        <f t="shared" si="82"/>
        <v>49+ Months</v>
      </c>
      <c r="Y1345" s="1" t="str">
        <f t="shared" si="83"/>
        <v>Medium</v>
      </c>
    </row>
    <row r="1346" spans="1:25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 t="shared" ref="V1346:V1409" si="84">IF(U1346="Yes",1,0)</f>
        <v>0</v>
      </c>
      <c r="W1346">
        <f t="shared" ref="W1346:W1409" si="85">IF(U1346="No",1,0)</f>
        <v>1</v>
      </c>
      <c r="X1346" t="str">
        <f t="shared" ref="X1346:X1409" si="86">IF(F1346&lt;=12,"0-12 Months",IF(F1346&lt;=24,"13-24 Months",IF(F1346&lt;=48,"25-48 Months","49+ Months")))</f>
        <v>25-48 Months</v>
      </c>
      <c r="Y1346" s="1" t="str">
        <f t="shared" ref="Y1346:Y1409" si="87">IF(S1346&lt;50,"Low",IF(S1346&lt;80,"Medium","High"))</f>
        <v>Low</v>
      </c>
    </row>
    <row r="1347" spans="1:25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 t="shared" si="84"/>
        <v>0</v>
      </c>
      <c r="W1347">
        <f t="shared" si="85"/>
        <v>1</v>
      </c>
      <c r="X1347" t="str">
        <f t="shared" si="86"/>
        <v>49+ Months</v>
      </c>
      <c r="Y1347" s="1" t="str">
        <f t="shared" si="87"/>
        <v>High</v>
      </c>
    </row>
    <row r="1348" spans="1:25" x14ac:dyDescent="0.2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 t="shared" si="84"/>
        <v>1</v>
      </c>
      <c r="W1348">
        <f t="shared" si="85"/>
        <v>0</v>
      </c>
      <c r="X1348" t="str">
        <f t="shared" si="86"/>
        <v>13-24 Months</v>
      </c>
      <c r="Y1348" s="1" t="str">
        <f t="shared" si="87"/>
        <v>High</v>
      </c>
    </row>
    <row r="1349" spans="1:25" x14ac:dyDescent="0.2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 t="shared" si="84"/>
        <v>0</v>
      </c>
      <c r="W1349">
        <f t="shared" si="85"/>
        <v>1</v>
      </c>
      <c r="X1349" t="str">
        <f t="shared" si="86"/>
        <v>13-24 Months</v>
      </c>
      <c r="Y1349" s="1" t="str">
        <f t="shared" si="87"/>
        <v>Low</v>
      </c>
    </row>
    <row r="1350" spans="1:25" x14ac:dyDescent="0.2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 t="shared" si="84"/>
        <v>1</v>
      </c>
      <c r="W1350">
        <f t="shared" si="85"/>
        <v>0</v>
      </c>
      <c r="X1350" t="str">
        <f t="shared" si="86"/>
        <v>0-12 Months</v>
      </c>
      <c r="Y1350" s="1" t="str">
        <f t="shared" si="87"/>
        <v>Medium</v>
      </c>
    </row>
    <row r="1351" spans="1:25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 t="shared" si="84"/>
        <v>0</v>
      </c>
      <c r="W1351">
        <f t="shared" si="85"/>
        <v>1</v>
      </c>
      <c r="X1351" t="str">
        <f t="shared" si="86"/>
        <v>49+ Months</v>
      </c>
      <c r="Y1351" s="1" t="str">
        <f t="shared" si="87"/>
        <v>Low</v>
      </c>
    </row>
    <row r="1352" spans="1:25" x14ac:dyDescent="0.2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 t="shared" si="84"/>
        <v>0</v>
      </c>
      <c r="W1352">
        <f t="shared" si="85"/>
        <v>1</v>
      </c>
      <c r="X1352" t="str">
        <f t="shared" si="86"/>
        <v>49+ Months</v>
      </c>
      <c r="Y1352" s="1" t="str">
        <f t="shared" si="87"/>
        <v>Medium</v>
      </c>
    </row>
    <row r="1353" spans="1:25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 t="shared" si="84"/>
        <v>0</v>
      </c>
      <c r="W1353">
        <f t="shared" si="85"/>
        <v>1</v>
      </c>
      <c r="X1353" t="str">
        <f t="shared" si="86"/>
        <v>0-12 Months</v>
      </c>
      <c r="Y1353" s="1" t="str">
        <f t="shared" si="87"/>
        <v>Low</v>
      </c>
    </row>
    <row r="1354" spans="1:25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 t="shared" si="84"/>
        <v>0</v>
      </c>
      <c r="W1354">
        <f t="shared" si="85"/>
        <v>1</v>
      </c>
      <c r="X1354" t="str">
        <f t="shared" si="86"/>
        <v>49+ Months</v>
      </c>
      <c r="Y1354" s="1" t="str">
        <f t="shared" si="87"/>
        <v>Medium</v>
      </c>
    </row>
    <row r="1355" spans="1:25" x14ac:dyDescent="0.2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 t="shared" si="84"/>
        <v>0</v>
      </c>
      <c r="W1355">
        <f t="shared" si="85"/>
        <v>1</v>
      </c>
      <c r="X1355" t="str">
        <f t="shared" si="86"/>
        <v>49+ Months</v>
      </c>
      <c r="Y1355" s="1" t="str">
        <f t="shared" si="87"/>
        <v>Low</v>
      </c>
    </row>
    <row r="1356" spans="1:25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 t="shared" si="84"/>
        <v>1</v>
      </c>
      <c r="W1356">
        <f t="shared" si="85"/>
        <v>0</v>
      </c>
      <c r="X1356" t="str">
        <f t="shared" si="86"/>
        <v>13-24 Months</v>
      </c>
      <c r="Y1356" s="1" t="str">
        <f t="shared" si="87"/>
        <v>High</v>
      </c>
    </row>
    <row r="1357" spans="1:25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 t="shared" si="84"/>
        <v>0</v>
      </c>
      <c r="W1357">
        <f t="shared" si="85"/>
        <v>1</v>
      </c>
      <c r="X1357" t="str">
        <f t="shared" si="86"/>
        <v>0-12 Months</v>
      </c>
      <c r="Y1357" s="1" t="str">
        <f t="shared" si="87"/>
        <v>Low</v>
      </c>
    </row>
    <row r="1358" spans="1:25" x14ac:dyDescent="0.2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 t="shared" si="84"/>
        <v>0</v>
      </c>
      <c r="W1358">
        <f t="shared" si="85"/>
        <v>1</v>
      </c>
      <c r="X1358" t="str">
        <f t="shared" si="86"/>
        <v>0-12 Months</v>
      </c>
      <c r="Y1358" s="1" t="str">
        <f t="shared" si="87"/>
        <v>Medium</v>
      </c>
    </row>
    <row r="1359" spans="1:25" x14ac:dyDescent="0.2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 t="shared" si="84"/>
        <v>0</v>
      </c>
      <c r="W1359">
        <f t="shared" si="85"/>
        <v>1</v>
      </c>
      <c r="X1359" t="str">
        <f t="shared" si="86"/>
        <v>25-48 Months</v>
      </c>
      <c r="Y1359" s="1" t="str">
        <f t="shared" si="87"/>
        <v>High</v>
      </c>
    </row>
    <row r="1360" spans="1:25" x14ac:dyDescent="0.2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 t="shared" si="84"/>
        <v>0</v>
      </c>
      <c r="W1360">
        <f t="shared" si="85"/>
        <v>1</v>
      </c>
      <c r="X1360" t="str">
        <f t="shared" si="86"/>
        <v>0-12 Months</v>
      </c>
      <c r="Y1360" s="1" t="str">
        <f t="shared" si="87"/>
        <v>Medium</v>
      </c>
    </row>
    <row r="1361" spans="1:25" x14ac:dyDescent="0.2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 t="shared" si="84"/>
        <v>1</v>
      </c>
      <c r="W1361">
        <f t="shared" si="85"/>
        <v>0</v>
      </c>
      <c r="X1361" t="str">
        <f t="shared" si="86"/>
        <v>0-12 Months</v>
      </c>
      <c r="Y1361" s="1" t="str">
        <f t="shared" si="87"/>
        <v>High</v>
      </c>
    </row>
    <row r="1362" spans="1:25" x14ac:dyDescent="0.2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 t="shared" si="84"/>
        <v>1</v>
      </c>
      <c r="W1362">
        <f t="shared" si="85"/>
        <v>0</v>
      </c>
      <c r="X1362" t="str">
        <f t="shared" si="86"/>
        <v>13-24 Months</v>
      </c>
      <c r="Y1362" s="1" t="str">
        <f t="shared" si="87"/>
        <v>High</v>
      </c>
    </row>
    <row r="1363" spans="1:25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 t="shared" si="84"/>
        <v>1</v>
      </c>
      <c r="W1363">
        <f t="shared" si="85"/>
        <v>0</v>
      </c>
      <c r="X1363" t="str">
        <f t="shared" si="86"/>
        <v>0-12 Months</v>
      </c>
      <c r="Y1363" s="1" t="str">
        <f t="shared" si="87"/>
        <v>Medium</v>
      </c>
    </row>
    <row r="1364" spans="1:25" x14ac:dyDescent="0.2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 t="shared" si="84"/>
        <v>1</v>
      </c>
      <c r="W1364">
        <f t="shared" si="85"/>
        <v>0</v>
      </c>
      <c r="X1364" t="str">
        <f t="shared" si="86"/>
        <v>0-12 Months</v>
      </c>
      <c r="Y1364" s="1" t="str">
        <f t="shared" si="87"/>
        <v>Medium</v>
      </c>
    </row>
    <row r="1365" spans="1:25" x14ac:dyDescent="0.2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 t="shared" si="84"/>
        <v>0</v>
      </c>
      <c r="W1365">
        <f t="shared" si="85"/>
        <v>1</v>
      </c>
      <c r="X1365" t="str">
        <f t="shared" si="86"/>
        <v>49+ Months</v>
      </c>
      <c r="Y1365" s="1" t="str">
        <f t="shared" si="87"/>
        <v>High</v>
      </c>
    </row>
    <row r="1366" spans="1:25" x14ac:dyDescent="0.2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 t="shared" si="84"/>
        <v>0</v>
      </c>
      <c r="W1366">
        <f t="shared" si="85"/>
        <v>1</v>
      </c>
      <c r="X1366" t="str">
        <f t="shared" si="86"/>
        <v>49+ Months</v>
      </c>
      <c r="Y1366" s="1" t="str">
        <f t="shared" si="87"/>
        <v>High</v>
      </c>
    </row>
    <row r="1367" spans="1:25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 t="shared" si="84"/>
        <v>1</v>
      </c>
      <c r="W1367">
        <f t="shared" si="85"/>
        <v>0</v>
      </c>
      <c r="X1367" t="str">
        <f t="shared" si="86"/>
        <v>49+ Months</v>
      </c>
      <c r="Y1367" s="1" t="str">
        <f t="shared" si="87"/>
        <v>Low</v>
      </c>
    </row>
    <row r="1368" spans="1:25" x14ac:dyDescent="0.2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 t="shared" si="84"/>
        <v>1</v>
      </c>
      <c r="W1368">
        <f t="shared" si="85"/>
        <v>0</v>
      </c>
      <c r="X1368" t="str">
        <f t="shared" si="86"/>
        <v>0-12 Months</v>
      </c>
      <c r="Y1368" s="1" t="str">
        <f t="shared" si="87"/>
        <v>High</v>
      </c>
    </row>
    <row r="1369" spans="1:25" x14ac:dyDescent="0.2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 t="shared" si="84"/>
        <v>0</v>
      </c>
      <c r="W1369">
        <f t="shared" si="85"/>
        <v>1</v>
      </c>
      <c r="X1369" t="str">
        <f t="shared" si="86"/>
        <v>49+ Months</v>
      </c>
      <c r="Y1369" s="1" t="str">
        <f t="shared" si="87"/>
        <v>High</v>
      </c>
    </row>
    <row r="1370" spans="1:25" x14ac:dyDescent="0.2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 t="shared" si="84"/>
        <v>0</v>
      </c>
      <c r="W1370">
        <f t="shared" si="85"/>
        <v>1</v>
      </c>
      <c r="X1370" t="str">
        <f t="shared" si="86"/>
        <v>49+ Months</v>
      </c>
      <c r="Y1370" s="1" t="str">
        <f t="shared" si="87"/>
        <v>High</v>
      </c>
    </row>
    <row r="1371" spans="1:25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 t="shared" si="84"/>
        <v>0</v>
      </c>
      <c r="W1371">
        <f t="shared" si="85"/>
        <v>1</v>
      </c>
      <c r="X1371" t="str">
        <f t="shared" si="86"/>
        <v>25-48 Months</v>
      </c>
      <c r="Y1371" s="1" t="str">
        <f t="shared" si="87"/>
        <v>Medium</v>
      </c>
    </row>
    <row r="1372" spans="1:25" x14ac:dyDescent="0.2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 t="shared" si="84"/>
        <v>0</v>
      </c>
      <c r="W1372">
        <f t="shared" si="85"/>
        <v>1</v>
      </c>
      <c r="X1372" t="str">
        <f t="shared" si="86"/>
        <v>25-48 Months</v>
      </c>
      <c r="Y1372" s="1" t="str">
        <f t="shared" si="87"/>
        <v>Low</v>
      </c>
    </row>
    <row r="1373" spans="1:25" x14ac:dyDescent="0.2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 t="shared" si="84"/>
        <v>1</v>
      </c>
      <c r="W1373">
        <f t="shared" si="85"/>
        <v>0</v>
      </c>
      <c r="X1373" t="str">
        <f t="shared" si="86"/>
        <v>0-12 Months</v>
      </c>
      <c r="Y1373" s="1" t="str">
        <f t="shared" si="87"/>
        <v>Medium</v>
      </c>
    </row>
    <row r="1374" spans="1:25" x14ac:dyDescent="0.2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 t="shared" si="84"/>
        <v>0</v>
      </c>
      <c r="W1374">
        <f t="shared" si="85"/>
        <v>1</v>
      </c>
      <c r="X1374" t="str">
        <f t="shared" si="86"/>
        <v>13-24 Months</v>
      </c>
      <c r="Y1374" s="1" t="str">
        <f t="shared" si="87"/>
        <v>High</v>
      </c>
    </row>
    <row r="1375" spans="1:25" x14ac:dyDescent="0.2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 t="shared" si="84"/>
        <v>0</v>
      </c>
      <c r="W1375">
        <f t="shared" si="85"/>
        <v>1</v>
      </c>
      <c r="X1375" t="str">
        <f t="shared" si="86"/>
        <v>0-12 Months</v>
      </c>
      <c r="Y1375" s="1" t="str">
        <f t="shared" si="87"/>
        <v>Low</v>
      </c>
    </row>
    <row r="1376" spans="1:25" x14ac:dyDescent="0.2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 t="shared" si="84"/>
        <v>0</v>
      </c>
      <c r="W1376">
        <f t="shared" si="85"/>
        <v>1</v>
      </c>
      <c r="X1376" t="str">
        <f t="shared" si="86"/>
        <v>25-48 Months</v>
      </c>
      <c r="Y1376" s="1" t="str">
        <f t="shared" si="87"/>
        <v>High</v>
      </c>
    </row>
    <row r="1377" spans="1:25" x14ac:dyDescent="0.2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 t="shared" si="84"/>
        <v>0</v>
      </c>
      <c r="W1377">
        <f t="shared" si="85"/>
        <v>1</v>
      </c>
      <c r="X1377" t="str">
        <f t="shared" si="86"/>
        <v>25-48 Months</v>
      </c>
      <c r="Y1377" s="1" t="str">
        <f t="shared" si="87"/>
        <v>Low</v>
      </c>
    </row>
    <row r="1378" spans="1:25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 t="shared" si="84"/>
        <v>1</v>
      </c>
      <c r="W1378">
        <f t="shared" si="85"/>
        <v>0</v>
      </c>
      <c r="X1378" t="str">
        <f t="shared" si="86"/>
        <v>0-12 Months</v>
      </c>
      <c r="Y1378" s="1" t="str">
        <f t="shared" si="87"/>
        <v>Medium</v>
      </c>
    </row>
    <row r="1379" spans="1:25" x14ac:dyDescent="0.2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 t="shared" si="84"/>
        <v>0</v>
      </c>
      <c r="W1379">
        <f t="shared" si="85"/>
        <v>1</v>
      </c>
      <c r="X1379" t="str">
        <f t="shared" si="86"/>
        <v>49+ Months</v>
      </c>
      <c r="Y1379" s="1" t="str">
        <f t="shared" si="87"/>
        <v>High</v>
      </c>
    </row>
    <row r="1380" spans="1:25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 t="shared" si="84"/>
        <v>0</v>
      </c>
      <c r="W1380">
        <f t="shared" si="85"/>
        <v>1</v>
      </c>
      <c r="X1380" t="str">
        <f t="shared" si="86"/>
        <v>49+ Months</v>
      </c>
      <c r="Y1380" s="1" t="str">
        <f t="shared" si="87"/>
        <v>Medium</v>
      </c>
    </row>
    <row r="1381" spans="1:25" x14ac:dyDescent="0.2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 t="shared" si="84"/>
        <v>0</v>
      </c>
      <c r="W1381">
        <f t="shared" si="85"/>
        <v>1</v>
      </c>
      <c r="X1381" t="str">
        <f t="shared" si="86"/>
        <v>49+ Months</v>
      </c>
      <c r="Y1381" s="1" t="str">
        <f t="shared" si="87"/>
        <v>Low</v>
      </c>
    </row>
    <row r="1382" spans="1:25" x14ac:dyDescent="0.2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 t="shared" si="84"/>
        <v>0</v>
      </c>
      <c r="W1382">
        <f t="shared" si="85"/>
        <v>1</v>
      </c>
      <c r="X1382" t="str">
        <f t="shared" si="86"/>
        <v>49+ Months</v>
      </c>
      <c r="Y1382" s="1" t="str">
        <f t="shared" si="87"/>
        <v>High</v>
      </c>
    </row>
    <row r="1383" spans="1:25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 t="shared" si="84"/>
        <v>0</v>
      </c>
      <c r="W1383">
        <f t="shared" si="85"/>
        <v>1</v>
      </c>
      <c r="X1383" t="str">
        <f t="shared" si="86"/>
        <v>0-12 Months</v>
      </c>
      <c r="Y1383" s="1" t="str">
        <f t="shared" si="87"/>
        <v>Medium</v>
      </c>
    </row>
    <row r="1384" spans="1:25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 t="shared" si="84"/>
        <v>0</v>
      </c>
      <c r="W1384">
        <f t="shared" si="85"/>
        <v>1</v>
      </c>
      <c r="X1384" t="str">
        <f t="shared" si="86"/>
        <v>25-48 Months</v>
      </c>
      <c r="Y1384" s="1" t="str">
        <f t="shared" si="87"/>
        <v>Low</v>
      </c>
    </row>
    <row r="1385" spans="1:25" x14ac:dyDescent="0.2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 t="shared" si="84"/>
        <v>1</v>
      </c>
      <c r="W1385">
        <f t="shared" si="85"/>
        <v>0</v>
      </c>
      <c r="X1385" t="str">
        <f t="shared" si="86"/>
        <v>0-12 Months</v>
      </c>
      <c r="Y1385" s="1" t="str">
        <f t="shared" si="87"/>
        <v>Low</v>
      </c>
    </row>
    <row r="1386" spans="1:25" x14ac:dyDescent="0.2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 t="shared" si="84"/>
        <v>1</v>
      </c>
      <c r="W1386">
        <f t="shared" si="85"/>
        <v>0</v>
      </c>
      <c r="X1386" t="str">
        <f t="shared" si="86"/>
        <v>13-24 Months</v>
      </c>
      <c r="Y1386" s="1" t="str">
        <f t="shared" si="87"/>
        <v>Medium</v>
      </c>
    </row>
    <row r="1387" spans="1:25" x14ac:dyDescent="0.2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 t="shared" si="84"/>
        <v>0</v>
      </c>
      <c r="W1387">
        <f t="shared" si="85"/>
        <v>1</v>
      </c>
      <c r="X1387" t="str">
        <f t="shared" si="86"/>
        <v>25-48 Months</v>
      </c>
      <c r="Y1387" s="1" t="str">
        <f t="shared" si="87"/>
        <v>High</v>
      </c>
    </row>
    <row r="1388" spans="1:25" x14ac:dyDescent="0.2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 t="shared" si="84"/>
        <v>0</v>
      </c>
      <c r="W1388">
        <f t="shared" si="85"/>
        <v>1</v>
      </c>
      <c r="X1388" t="str">
        <f t="shared" si="86"/>
        <v>49+ Months</v>
      </c>
      <c r="Y1388" s="1" t="str">
        <f t="shared" si="87"/>
        <v>High</v>
      </c>
    </row>
    <row r="1389" spans="1:25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 t="shared" si="84"/>
        <v>0</v>
      </c>
      <c r="W1389">
        <f t="shared" si="85"/>
        <v>1</v>
      </c>
      <c r="X1389" t="str">
        <f t="shared" si="86"/>
        <v>49+ Months</v>
      </c>
      <c r="Y1389" s="1" t="str">
        <f t="shared" si="87"/>
        <v>Low</v>
      </c>
    </row>
    <row r="1390" spans="1:25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 t="shared" si="84"/>
        <v>0</v>
      </c>
      <c r="W1390">
        <f t="shared" si="85"/>
        <v>1</v>
      </c>
      <c r="X1390" t="str">
        <f t="shared" si="86"/>
        <v>0-12 Months</v>
      </c>
      <c r="Y1390" s="1" t="str">
        <f t="shared" si="87"/>
        <v>Medium</v>
      </c>
    </row>
    <row r="1391" spans="1:25" x14ac:dyDescent="0.2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 t="shared" si="84"/>
        <v>1</v>
      </c>
      <c r="W1391">
        <f t="shared" si="85"/>
        <v>0</v>
      </c>
      <c r="X1391" t="str">
        <f t="shared" si="86"/>
        <v>25-48 Months</v>
      </c>
      <c r="Y1391" s="1" t="str">
        <f t="shared" si="87"/>
        <v>High</v>
      </c>
    </row>
    <row r="1392" spans="1:25" x14ac:dyDescent="0.2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 t="shared" si="84"/>
        <v>0</v>
      </c>
      <c r="W1392">
        <f t="shared" si="85"/>
        <v>1</v>
      </c>
      <c r="X1392" t="str">
        <f t="shared" si="86"/>
        <v>49+ Months</v>
      </c>
      <c r="Y1392" s="1" t="str">
        <f t="shared" si="87"/>
        <v>Medium</v>
      </c>
    </row>
    <row r="1393" spans="1:25" x14ac:dyDescent="0.2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 t="shared" si="84"/>
        <v>0</v>
      </c>
      <c r="W1393">
        <f t="shared" si="85"/>
        <v>1</v>
      </c>
      <c r="X1393" t="str">
        <f t="shared" si="86"/>
        <v>25-48 Months</v>
      </c>
      <c r="Y1393" s="1" t="str">
        <f t="shared" si="87"/>
        <v>High</v>
      </c>
    </row>
    <row r="1394" spans="1:25" x14ac:dyDescent="0.2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 t="shared" si="84"/>
        <v>0</v>
      </c>
      <c r="W1394">
        <f t="shared" si="85"/>
        <v>1</v>
      </c>
      <c r="X1394" t="str">
        <f t="shared" si="86"/>
        <v>25-48 Months</v>
      </c>
      <c r="Y1394" s="1" t="str">
        <f t="shared" si="87"/>
        <v>Low</v>
      </c>
    </row>
    <row r="1395" spans="1:25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 t="shared" si="84"/>
        <v>0</v>
      </c>
      <c r="W1395">
        <f t="shared" si="85"/>
        <v>1</v>
      </c>
      <c r="X1395" t="str">
        <f t="shared" si="86"/>
        <v>0-12 Months</v>
      </c>
      <c r="Y1395" s="1" t="str">
        <f t="shared" si="87"/>
        <v>Low</v>
      </c>
    </row>
    <row r="1396" spans="1:25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 t="shared" si="84"/>
        <v>0</v>
      </c>
      <c r="W1396">
        <f t="shared" si="85"/>
        <v>1</v>
      </c>
      <c r="X1396" t="str">
        <f t="shared" si="86"/>
        <v>49+ Months</v>
      </c>
      <c r="Y1396" s="1" t="str">
        <f t="shared" si="87"/>
        <v>High</v>
      </c>
    </row>
    <row r="1397" spans="1:25" x14ac:dyDescent="0.2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 t="shared" si="84"/>
        <v>1</v>
      </c>
      <c r="W1397">
        <f t="shared" si="85"/>
        <v>0</v>
      </c>
      <c r="X1397" t="str">
        <f t="shared" si="86"/>
        <v>25-48 Months</v>
      </c>
      <c r="Y1397" s="1" t="str">
        <f t="shared" si="87"/>
        <v>Medium</v>
      </c>
    </row>
    <row r="1398" spans="1:25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 t="shared" si="84"/>
        <v>1</v>
      </c>
      <c r="W1398">
        <f t="shared" si="85"/>
        <v>0</v>
      </c>
      <c r="X1398" t="str">
        <f t="shared" si="86"/>
        <v>49+ Months</v>
      </c>
      <c r="Y1398" s="1" t="str">
        <f t="shared" si="87"/>
        <v>High</v>
      </c>
    </row>
    <row r="1399" spans="1:25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 t="shared" si="84"/>
        <v>0</v>
      </c>
      <c r="W1399">
        <f t="shared" si="85"/>
        <v>1</v>
      </c>
      <c r="X1399" t="str">
        <f t="shared" si="86"/>
        <v>0-12 Months</v>
      </c>
      <c r="Y1399" s="1" t="str">
        <f t="shared" si="87"/>
        <v>High</v>
      </c>
    </row>
    <row r="1400" spans="1:25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 t="shared" si="84"/>
        <v>0</v>
      </c>
      <c r="W1400">
        <f t="shared" si="85"/>
        <v>1</v>
      </c>
      <c r="X1400" t="str">
        <f t="shared" si="86"/>
        <v>13-24 Months</v>
      </c>
      <c r="Y1400" s="1" t="str">
        <f t="shared" si="87"/>
        <v>High</v>
      </c>
    </row>
    <row r="1401" spans="1:25" x14ac:dyDescent="0.2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 t="shared" si="84"/>
        <v>0</v>
      </c>
      <c r="W1401">
        <f t="shared" si="85"/>
        <v>1</v>
      </c>
      <c r="X1401" t="str">
        <f t="shared" si="86"/>
        <v>13-24 Months</v>
      </c>
      <c r="Y1401" s="1" t="str">
        <f t="shared" si="87"/>
        <v>Low</v>
      </c>
    </row>
    <row r="1402" spans="1:25" x14ac:dyDescent="0.2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 t="shared" si="84"/>
        <v>0</v>
      </c>
      <c r="W1402">
        <f t="shared" si="85"/>
        <v>1</v>
      </c>
      <c r="X1402" t="str">
        <f t="shared" si="86"/>
        <v>0-12 Months</v>
      </c>
      <c r="Y1402" s="1" t="str">
        <f t="shared" si="87"/>
        <v>Low</v>
      </c>
    </row>
    <row r="1403" spans="1:25" x14ac:dyDescent="0.2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 t="shared" si="84"/>
        <v>1</v>
      </c>
      <c r="W1403">
        <f t="shared" si="85"/>
        <v>0</v>
      </c>
      <c r="X1403" t="str">
        <f t="shared" si="86"/>
        <v>0-12 Months</v>
      </c>
      <c r="Y1403" s="1" t="str">
        <f t="shared" si="87"/>
        <v>High</v>
      </c>
    </row>
    <row r="1404" spans="1:25" x14ac:dyDescent="0.2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 t="shared" si="84"/>
        <v>1</v>
      </c>
      <c r="W1404">
        <f t="shared" si="85"/>
        <v>0</v>
      </c>
      <c r="X1404" t="str">
        <f t="shared" si="86"/>
        <v>13-24 Months</v>
      </c>
      <c r="Y1404" s="1" t="str">
        <f t="shared" si="87"/>
        <v>Low</v>
      </c>
    </row>
    <row r="1405" spans="1:25" x14ac:dyDescent="0.2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 t="shared" si="84"/>
        <v>0</v>
      </c>
      <c r="W1405">
        <f t="shared" si="85"/>
        <v>1</v>
      </c>
      <c r="X1405" t="str">
        <f t="shared" si="86"/>
        <v>0-12 Months</v>
      </c>
      <c r="Y1405" s="1" t="str">
        <f t="shared" si="87"/>
        <v>Medium</v>
      </c>
    </row>
    <row r="1406" spans="1:25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 t="shared" si="84"/>
        <v>0</v>
      </c>
      <c r="W1406">
        <f t="shared" si="85"/>
        <v>1</v>
      </c>
      <c r="X1406" t="str">
        <f t="shared" si="86"/>
        <v>25-48 Months</v>
      </c>
      <c r="Y1406" s="1" t="str">
        <f t="shared" si="87"/>
        <v>Low</v>
      </c>
    </row>
    <row r="1407" spans="1:25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 t="shared" si="84"/>
        <v>1</v>
      </c>
      <c r="W1407">
        <f t="shared" si="85"/>
        <v>0</v>
      </c>
      <c r="X1407" t="str">
        <f t="shared" si="86"/>
        <v>0-12 Months</v>
      </c>
      <c r="Y1407" s="1" t="str">
        <f t="shared" si="87"/>
        <v>Medium</v>
      </c>
    </row>
    <row r="1408" spans="1:25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 t="shared" si="84"/>
        <v>0</v>
      </c>
      <c r="W1408">
        <f t="shared" si="85"/>
        <v>1</v>
      </c>
      <c r="X1408" t="str">
        <f t="shared" si="86"/>
        <v>49+ Months</v>
      </c>
      <c r="Y1408" s="1" t="str">
        <f t="shared" si="87"/>
        <v>Low</v>
      </c>
    </row>
    <row r="1409" spans="1:25" x14ac:dyDescent="0.2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 t="shared" si="84"/>
        <v>0</v>
      </c>
      <c r="W1409">
        <f t="shared" si="85"/>
        <v>1</v>
      </c>
      <c r="X1409" t="str">
        <f t="shared" si="86"/>
        <v>0-12 Months</v>
      </c>
      <c r="Y1409" s="1" t="str">
        <f t="shared" si="87"/>
        <v>Low</v>
      </c>
    </row>
    <row r="1410" spans="1:25" x14ac:dyDescent="0.2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 t="shared" ref="V1410:V1473" si="88">IF(U1410="Yes",1,0)</f>
        <v>0</v>
      </c>
      <c r="W1410">
        <f t="shared" ref="W1410:W1473" si="89">IF(U1410="No",1,0)</f>
        <v>1</v>
      </c>
      <c r="X1410" t="str">
        <f t="shared" ref="X1410:X1473" si="90">IF(F1410&lt;=12,"0-12 Months",IF(F1410&lt;=24,"13-24 Months",IF(F1410&lt;=48,"25-48 Months","49+ Months")))</f>
        <v>49+ Months</v>
      </c>
      <c r="Y1410" s="1" t="str">
        <f t="shared" ref="Y1410:Y1473" si="91">IF(S1410&lt;50,"Low",IF(S1410&lt;80,"Medium","High"))</f>
        <v>High</v>
      </c>
    </row>
    <row r="1411" spans="1:25" x14ac:dyDescent="0.2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 t="shared" si="88"/>
        <v>0</v>
      </c>
      <c r="W1411">
        <f t="shared" si="89"/>
        <v>1</v>
      </c>
      <c r="X1411" t="str">
        <f t="shared" si="90"/>
        <v>25-48 Months</v>
      </c>
      <c r="Y1411" s="1" t="str">
        <f t="shared" si="91"/>
        <v>High</v>
      </c>
    </row>
    <row r="1412" spans="1:25" x14ac:dyDescent="0.2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 t="shared" si="88"/>
        <v>1</v>
      </c>
      <c r="W1412">
        <f t="shared" si="89"/>
        <v>0</v>
      </c>
      <c r="X1412" t="str">
        <f t="shared" si="90"/>
        <v>0-12 Months</v>
      </c>
      <c r="Y1412" s="1" t="str">
        <f t="shared" si="91"/>
        <v>High</v>
      </c>
    </row>
    <row r="1413" spans="1:25" x14ac:dyDescent="0.2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 t="shared" si="88"/>
        <v>0</v>
      </c>
      <c r="W1413">
        <f t="shared" si="89"/>
        <v>1</v>
      </c>
      <c r="X1413" t="str">
        <f t="shared" si="90"/>
        <v>25-48 Months</v>
      </c>
      <c r="Y1413" s="1" t="str">
        <f t="shared" si="91"/>
        <v>High</v>
      </c>
    </row>
    <row r="1414" spans="1:25" x14ac:dyDescent="0.2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 t="shared" si="88"/>
        <v>1</v>
      </c>
      <c r="W1414">
        <f t="shared" si="89"/>
        <v>0</v>
      </c>
      <c r="X1414" t="str">
        <f t="shared" si="90"/>
        <v>13-24 Months</v>
      </c>
      <c r="Y1414" s="1" t="str">
        <f t="shared" si="91"/>
        <v>High</v>
      </c>
    </row>
    <row r="1415" spans="1:25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 t="shared" si="88"/>
        <v>0</v>
      </c>
      <c r="W1415">
        <f t="shared" si="89"/>
        <v>1</v>
      </c>
      <c r="X1415" t="str">
        <f t="shared" si="90"/>
        <v>49+ Months</v>
      </c>
      <c r="Y1415" s="1" t="str">
        <f t="shared" si="91"/>
        <v>High</v>
      </c>
    </row>
    <row r="1416" spans="1:25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 t="shared" si="88"/>
        <v>0</v>
      </c>
      <c r="W1416">
        <f t="shared" si="89"/>
        <v>1</v>
      </c>
      <c r="X1416" t="str">
        <f t="shared" si="90"/>
        <v>25-48 Months</v>
      </c>
      <c r="Y1416" s="1" t="str">
        <f t="shared" si="91"/>
        <v>High</v>
      </c>
    </row>
    <row r="1417" spans="1:25" x14ac:dyDescent="0.2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 t="shared" si="88"/>
        <v>0</v>
      </c>
      <c r="W1417">
        <f t="shared" si="89"/>
        <v>1</v>
      </c>
      <c r="X1417" t="str">
        <f t="shared" si="90"/>
        <v>49+ Months</v>
      </c>
      <c r="Y1417" s="1" t="str">
        <f t="shared" si="91"/>
        <v>High</v>
      </c>
    </row>
    <row r="1418" spans="1:25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 t="shared" si="88"/>
        <v>0</v>
      </c>
      <c r="W1418">
        <f t="shared" si="89"/>
        <v>1</v>
      </c>
      <c r="X1418" t="str">
        <f t="shared" si="90"/>
        <v>49+ Months</v>
      </c>
      <c r="Y1418" s="1" t="str">
        <f t="shared" si="91"/>
        <v>Medium</v>
      </c>
    </row>
    <row r="1419" spans="1:25" x14ac:dyDescent="0.2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 t="shared" si="88"/>
        <v>0</v>
      </c>
      <c r="W1419">
        <f t="shared" si="89"/>
        <v>1</v>
      </c>
      <c r="X1419" t="str">
        <f t="shared" si="90"/>
        <v>13-24 Months</v>
      </c>
      <c r="Y1419" s="1" t="str">
        <f t="shared" si="91"/>
        <v>Low</v>
      </c>
    </row>
    <row r="1420" spans="1:25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 t="shared" si="88"/>
        <v>0</v>
      </c>
      <c r="W1420">
        <f t="shared" si="89"/>
        <v>1</v>
      </c>
      <c r="X1420" t="str">
        <f t="shared" si="90"/>
        <v>49+ Months</v>
      </c>
      <c r="Y1420" s="1" t="str">
        <f t="shared" si="91"/>
        <v>High</v>
      </c>
    </row>
    <row r="1421" spans="1:25" x14ac:dyDescent="0.2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 t="shared" si="88"/>
        <v>0</v>
      </c>
      <c r="W1421">
        <f t="shared" si="89"/>
        <v>1</v>
      </c>
      <c r="X1421" t="str">
        <f t="shared" si="90"/>
        <v>49+ Months</v>
      </c>
      <c r="Y1421" s="1" t="str">
        <f t="shared" si="91"/>
        <v>Low</v>
      </c>
    </row>
    <row r="1422" spans="1:25" x14ac:dyDescent="0.2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 t="shared" si="88"/>
        <v>0</v>
      </c>
      <c r="W1422">
        <f t="shared" si="89"/>
        <v>1</v>
      </c>
      <c r="X1422" t="str">
        <f t="shared" si="90"/>
        <v>49+ Months</v>
      </c>
      <c r="Y1422" s="1" t="str">
        <f t="shared" si="91"/>
        <v>High</v>
      </c>
    </row>
    <row r="1423" spans="1:25" x14ac:dyDescent="0.2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 t="shared" si="88"/>
        <v>1</v>
      </c>
      <c r="W1423">
        <f t="shared" si="89"/>
        <v>0</v>
      </c>
      <c r="X1423" t="str">
        <f t="shared" si="90"/>
        <v>0-12 Months</v>
      </c>
      <c r="Y1423" s="1" t="str">
        <f t="shared" si="91"/>
        <v>High</v>
      </c>
    </row>
    <row r="1424" spans="1:25" x14ac:dyDescent="0.2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 t="shared" si="88"/>
        <v>0</v>
      </c>
      <c r="W1424">
        <f t="shared" si="89"/>
        <v>1</v>
      </c>
      <c r="X1424" t="str">
        <f t="shared" si="90"/>
        <v>49+ Months</v>
      </c>
      <c r="Y1424" s="1" t="str">
        <f t="shared" si="91"/>
        <v>High</v>
      </c>
    </row>
    <row r="1425" spans="1:25" x14ac:dyDescent="0.2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 t="shared" si="88"/>
        <v>1</v>
      </c>
      <c r="W1425">
        <f t="shared" si="89"/>
        <v>0</v>
      </c>
      <c r="X1425" t="str">
        <f t="shared" si="90"/>
        <v>13-24 Months</v>
      </c>
      <c r="Y1425" s="1" t="str">
        <f t="shared" si="91"/>
        <v>High</v>
      </c>
    </row>
    <row r="1426" spans="1:25" x14ac:dyDescent="0.2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 t="shared" si="88"/>
        <v>0</v>
      </c>
      <c r="W1426">
        <f t="shared" si="89"/>
        <v>1</v>
      </c>
      <c r="X1426" t="str">
        <f t="shared" si="90"/>
        <v>25-48 Months</v>
      </c>
      <c r="Y1426" s="1" t="str">
        <f t="shared" si="91"/>
        <v>Low</v>
      </c>
    </row>
    <row r="1427" spans="1:25" x14ac:dyDescent="0.2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 t="shared" si="88"/>
        <v>0</v>
      </c>
      <c r="W1427">
        <f t="shared" si="89"/>
        <v>1</v>
      </c>
      <c r="X1427" t="str">
        <f t="shared" si="90"/>
        <v>0-12 Months</v>
      </c>
      <c r="Y1427" s="1" t="str">
        <f t="shared" si="91"/>
        <v>Medium</v>
      </c>
    </row>
    <row r="1428" spans="1:25" x14ac:dyDescent="0.2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 t="shared" si="88"/>
        <v>0</v>
      </c>
      <c r="W1428">
        <f t="shared" si="89"/>
        <v>1</v>
      </c>
      <c r="X1428" t="str">
        <f t="shared" si="90"/>
        <v>49+ Months</v>
      </c>
      <c r="Y1428" s="1" t="str">
        <f t="shared" si="91"/>
        <v>High</v>
      </c>
    </row>
    <row r="1429" spans="1:25" x14ac:dyDescent="0.2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 t="shared" si="88"/>
        <v>0</v>
      </c>
      <c r="W1429">
        <f t="shared" si="89"/>
        <v>1</v>
      </c>
      <c r="X1429" t="str">
        <f t="shared" si="90"/>
        <v>25-48 Months</v>
      </c>
      <c r="Y1429" s="1" t="str">
        <f t="shared" si="91"/>
        <v>Medium</v>
      </c>
    </row>
    <row r="1430" spans="1:25" x14ac:dyDescent="0.2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 t="shared" si="88"/>
        <v>1</v>
      </c>
      <c r="W1430">
        <f t="shared" si="89"/>
        <v>0</v>
      </c>
      <c r="X1430" t="str">
        <f t="shared" si="90"/>
        <v>0-12 Months</v>
      </c>
      <c r="Y1430" s="1" t="str">
        <f t="shared" si="91"/>
        <v>Medium</v>
      </c>
    </row>
    <row r="1431" spans="1:25" x14ac:dyDescent="0.2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 t="shared" si="88"/>
        <v>0</v>
      </c>
      <c r="W1431">
        <f t="shared" si="89"/>
        <v>1</v>
      </c>
      <c r="X1431" t="str">
        <f t="shared" si="90"/>
        <v>25-48 Months</v>
      </c>
      <c r="Y1431" s="1" t="str">
        <f t="shared" si="91"/>
        <v>Low</v>
      </c>
    </row>
    <row r="1432" spans="1:25" x14ac:dyDescent="0.2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 t="shared" si="88"/>
        <v>0</v>
      </c>
      <c r="W1432">
        <f t="shared" si="89"/>
        <v>1</v>
      </c>
      <c r="X1432" t="str">
        <f t="shared" si="90"/>
        <v>13-24 Months</v>
      </c>
      <c r="Y1432" s="1" t="str">
        <f t="shared" si="91"/>
        <v>Low</v>
      </c>
    </row>
    <row r="1433" spans="1:25" x14ac:dyDescent="0.2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 t="shared" si="88"/>
        <v>0</v>
      </c>
      <c r="W1433">
        <f t="shared" si="89"/>
        <v>1</v>
      </c>
      <c r="X1433" t="str">
        <f t="shared" si="90"/>
        <v>25-48 Months</v>
      </c>
      <c r="Y1433" s="1" t="str">
        <f t="shared" si="91"/>
        <v>Medium</v>
      </c>
    </row>
    <row r="1434" spans="1:25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 t="shared" si="88"/>
        <v>0</v>
      </c>
      <c r="W1434">
        <f t="shared" si="89"/>
        <v>1</v>
      </c>
      <c r="X1434" t="str">
        <f t="shared" si="90"/>
        <v>25-48 Months</v>
      </c>
      <c r="Y1434" s="1" t="str">
        <f t="shared" si="91"/>
        <v>Low</v>
      </c>
    </row>
    <row r="1435" spans="1:25" x14ac:dyDescent="0.2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 t="shared" si="88"/>
        <v>0</v>
      </c>
      <c r="W1435">
        <f t="shared" si="89"/>
        <v>1</v>
      </c>
      <c r="X1435" t="str">
        <f t="shared" si="90"/>
        <v>0-12 Months</v>
      </c>
      <c r="Y1435" s="1" t="str">
        <f t="shared" si="91"/>
        <v>Medium</v>
      </c>
    </row>
    <row r="1436" spans="1:25" x14ac:dyDescent="0.2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 t="shared" si="88"/>
        <v>1</v>
      </c>
      <c r="W1436">
        <f t="shared" si="89"/>
        <v>0</v>
      </c>
      <c r="X1436" t="str">
        <f t="shared" si="90"/>
        <v>0-12 Months</v>
      </c>
      <c r="Y1436" s="1" t="str">
        <f t="shared" si="91"/>
        <v>High</v>
      </c>
    </row>
    <row r="1437" spans="1:25" x14ac:dyDescent="0.2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 t="shared" si="88"/>
        <v>0</v>
      </c>
      <c r="W1437">
        <f t="shared" si="89"/>
        <v>1</v>
      </c>
      <c r="X1437" t="str">
        <f t="shared" si="90"/>
        <v>49+ Months</v>
      </c>
      <c r="Y1437" s="1" t="str">
        <f t="shared" si="91"/>
        <v>High</v>
      </c>
    </row>
    <row r="1438" spans="1:25" x14ac:dyDescent="0.2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 t="shared" si="88"/>
        <v>1</v>
      </c>
      <c r="W1438">
        <f t="shared" si="89"/>
        <v>0</v>
      </c>
      <c r="X1438" t="str">
        <f t="shared" si="90"/>
        <v>0-12 Months</v>
      </c>
      <c r="Y1438" s="1" t="str">
        <f t="shared" si="91"/>
        <v>High</v>
      </c>
    </row>
    <row r="1439" spans="1:25" x14ac:dyDescent="0.2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 t="shared" si="88"/>
        <v>0</v>
      </c>
      <c r="W1439">
        <f t="shared" si="89"/>
        <v>1</v>
      </c>
      <c r="X1439" t="str">
        <f t="shared" si="90"/>
        <v>25-48 Months</v>
      </c>
      <c r="Y1439" s="1" t="str">
        <f t="shared" si="91"/>
        <v>Low</v>
      </c>
    </row>
    <row r="1440" spans="1:25" x14ac:dyDescent="0.2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 t="shared" si="88"/>
        <v>0</v>
      </c>
      <c r="W1440">
        <f t="shared" si="89"/>
        <v>1</v>
      </c>
      <c r="X1440" t="str">
        <f t="shared" si="90"/>
        <v>25-48 Months</v>
      </c>
      <c r="Y1440" s="1" t="str">
        <f t="shared" si="91"/>
        <v>Medium</v>
      </c>
    </row>
    <row r="1441" spans="1:25" x14ac:dyDescent="0.2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 t="shared" si="88"/>
        <v>1</v>
      </c>
      <c r="W1441">
        <f t="shared" si="89"/>
        <v>0</v>
      </c>
      <c r="X1441" t="str">
        <f t="shared" si="90"/>
        <v>0-12 Months</v>
      </c>
      <c r="Y1441" s="1" t="str">
        <f t="shared" si="91"/>
        <v>Medium</v>
      </c>
    </row>
    <row r="1442" spans="1:25" x14ac:dyDescent="0.2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 t="shared" si="88"/>
        <v>0</v>
      </c>
      <c r="W1442">
        <f t="shared" si="89"/>
        <v>1</v>
      </c>
      <c r="X1442" t="str">
        <f t="shared" si="90"/>
        <v>0-12 Months</v>
      </c>
      <c r="Y1442" s="1" t="str">
        <f t="shared" si="91"/>
        <v>Low</v>
      </c>
    </row>
    <row r="1443" spans="1:25" x14ac:dyDescent="0.2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 t="shared" si="88"/>
        <v>0</v>
      </c>
      <c r="W1443">
        <f t="shared" si="89"/>
        <v>1</v>
      </c>
      <c r="X1443" t="str">
        <f t="shared" si="90"/>
        <v>49+ Months</v>
      </c>
      <c r="Y1443" s="1" t="str">
        <f t="shared" si="91"/>
        <v>High</v>
      </c>
    </row>
    <row r="1444" spans="1:25" x14ac:dyDescent="0.2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 t="shared" si="88"/>
        <v>0</v>
      </c>
      <c r="W1444">
        <f t="shared" si="89"/>
        <v>1</v>
      </c>
      <c r="X1444" t="str">
        <f t="shared" si="90"/>
        <v>49+ Months</v>
      </c>
      <c r="Y1444" s="1" t="str">
        <f t="shared" si="91"/>
        <v>High</v>
      </c>
    </row>
    <row r="1445" spans="1:25" x14ac:dyDescent="0.2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 t="shared" si="88"/>
        <v>0</v>
      </c>
      <c r="W1445">
        <f t="shared" si="89"/>
        <v>1</v>
      </c>
      <c r="X1445" t="str">
        <f t="shared" si="90"/>
        <v>0-12 Months</v>
      </c>
      <c r="Y1445" s="1" t="str">
        <f t="shared" si="91"/>
        <v>Medium</v>
      </c>
    </row>
    <row r="1446" spans="1:25" x14ac:dyDescent="0.2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 t="shared" si="88"/>
        <v>0</v>
      </c>
      <c r="W1446">
        <f t="shared" si="89"/>
        <v>1</v>
      </c>
      <c r="X1446" t="str">
        <f t="shared" si="90"/>
        <v>25-48 Months</v>
      </c>
      <c r="Y1446" s="1" t="str">
        <f t="shared" si="91"/>
        <v>High</v>
      </c>
    </row>
    <row r="1447" spans="1:25" x14ac:dyDescent="0.2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 t="shared" si="88"/>
        <v>0</v>
      </c>
      <c r="W1447">
        <f t="shared" si="89"/>
        <v>1</v>
      </c>
      <c r="X1447" t="str">
        <f t="shared" si="90"/>
        <v>13-24 Months</v>
      </c>
      <c r="Y1447" s="1" t="str">
        <f t="shared" si="91"/>
        <v>High</v>
      </c>
    </row>
    <row r="1448" spans="1:25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 t="shared" si="88"/>
        <v>0</v>
      </c>
      <c r="W1448">
        <f t="shared" si="89"/>
        <v>1</v>
      </c>
      <c r="X1448" t="str">
        <f t="shared" si="90"/>
        <v>0-12 Months</v>
      </c>
      <c r="Y1448" s="1" t="str">
        <f t="shared" si="91"/>
        <v>Medium</v>
      </c>
    </row>
    <row r="1449" spans="1:25" x14ac:dyDescent="0.2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 t="shared" si="88"/>
        <v>1</v>
      </c>
      <c r="W1449">
        <f t="shared" si="89"/>
        <v>0</v>
      </c>
      <c r="X1449" t="str">
        <f t="shared" si="90"/>
        <v>0-12 Months</v>
      </c>
      <c r="Y1449" s="1" t="str">
        <f t="shared" si="91"/>
        <v>High</v>
      </c>
    </row>
    <row r="1450" spans="1:25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 t="shared" si="88"/>
        <v>0</v>
      </c>
      <c r="W1450">
        <f t="shared" si="89"/>
        <v>1</v>
      </c>
      <c r="X1450" t="str">
        <f t="shared" si="90"/>
        <v>13-24 Months</v>
      </c>
      <c r="Y1450" s="1" t="str">
        <f t="shared" si="91"/>
        <v>Low</v>
      </c>
    </row>
    <row r="1451" spans="1:25" x14ac:dyDescent="0.2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 t="shared" si="88"/>
        <v>0</v>
      </c>
      <c r="W1451">
        <f t="shared" si="89"/>
        <v>1</v>
      </c>
      <c r="X1451" t="str">
        <f t="shared" si="90"/>
        <v>0-12 Months</v>
      </c>
      <c r="Y1451" s="1" t="str">
        <f t="shared" si="91"/>
        <v>Low</v>
      </c>
    </row>
    <row r="1452" spans="1:25" x14ac:dyDescent="0.2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 t="shared" si="88"/>
        <v>0</v>
      </c>
      <c r="W1452">
        <f t="shared" si="89"/>
        <v>1</v>
      </c>
      <c r="X1452" t="str">
        <f t="shared" si="90"/>
        <v>0-12 Months</v>
      </c>
      <c r="Y1452" s="1" t="str">
        <f t="shared" si="91"/>
        <v>Low</v>
      </c>
    </row>
    <row r="1453" spans="1:25" x14ac:dyDescent="0.2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 t="shared" si="88"/>
        <v>0</v>
      </c>
      <c r="W1453">
        <f t="shared" si="89"/>
        <v>1</v>
      </c>
      <c r="X1453" t="str">
        <f t="shared" si="90"/>
        <v>13-24 Months</v>
      </c>
      <c r="Y1453" s="1" t="str">
        <f t="shared" si="91"/>
        <v>Medium</v>
      </c>
    </row>
    <row r="1454" spans="1:25" x14ac:dyDescent="0.2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 t="shared" si="88"/>
        <v>0</v>
      </c>
      <c r="W1454">
        <f t="shared" si="89"/>
        <v>1</v>
      </c>
      <c r="X1454" t="str">
        <f t="shared" si="90"/>
        <v>49+ Months</v>
      </c>
      <c r="Y1454" s="1" t="str">
        <f t="shared" si="91"/>
        <v>Low</v>
      </c>
    </row>
    <row r="1455" spans="1:25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 t="shared" si="88"/>
        <v>0</v>
      </c>
      <c r="W1455">
        <f t="shared" si="89"/>
        <v>1</v>
      </c>
      <c r="X1455" t="str">
        <f t="shared" si="90"/>
        <v>25-48 Months</v>
      </c>
      <c r="Y1455" s="1" t="str">
        <f t="shared" si="91"/>
        <v>High</v>
      </c>
    </row>
    <row r="1456" spans="1:25" x14ac:dyDescent="0.2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 t="shared" si="88"/>
        <v>0</v>
      </c>
      <c r="W1456">
        <f t="shared" si="89"/>
        <v>1</v>
      </c>
      <c r="X1456" t="str">
        <f t="shared" si="90"/>
        <v>25-48 Months</v>
      </c>
      <c r="Y1456" s="1" t="str">
        <f t="shared" si="91"/>
        <v>Low</v>
      </c>
    </row>
    <row r="1457" spans="1:25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 t="shared" si="88"/>
        <v>0</v>
      </c>
      <c r="W1457">
        <f t="shared" si="89"/>
        <v>1</v>
      </c>
      <c r="X1457" t="str">
        <f t="shared" si="90"/>
        <v>25-48 Months</v>
      </c>
      <c r="Y1457" s="1" t="str">
        <f t="shared" si="91"/>
        <v>High</v>
      </c>
    </row>
    <row r="1458" spans="1:25" x14ac:dyDescent="0.2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 t="shared" si="88"/>
        <v>1</v>
      </c>
      <c r="W1458">
        <f t="shared" si="89"/>
        <v>0</v>
      </c>
      <c r="X1458" t="str">
        <f t="shared" si="90"/>
        <v>13-24 Months</v>
      </c>
      <c r="Y1458" s="1" t="str">
        <f t="shared" si="91"/>
        <v>High</v>
      </c>
    </row>
    <row r="1459" spans="1:25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 t="shared" si="88"/>
        <v>0</v>
      </c>
      <c r="W1459">
        <f t="shared" si="89"/>
        <v>1</v>
      </c>
      <c r="X1459" t="str">
        <f t="shared" si="90"/>
        <v>25-48 Months</v>
      </c>
      <c r="Y1459" s="1" t="str">
        <f t="shared" si="91"/>
        <v>High</v>
      </c>
    </row>
    <row r="1460" spans="1:25" x14ac:dyDescent="0.2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 t="shared" si="88"/>
        <v>1</v>
      </c>
      <c r="W1460">
        <f t="shared" si="89"/>
        <v>0</v>
      </c>
      <c r="X1460" t="str">
        <f t="shared" si="90"/>
        <v>0-12 Months</v>
      </c>
      <c r="Y1460" s="1" t="str">
        <f t="shared" si="91"/>
        <v>Low</v>
      </c>
    </row>
    <row r="1461" spans="1:25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 t="shared" si="88"/>
        <v>0</v>
      </c>
      <c r="W1461">
        <f t="shared" si="89"/>
        <v>1</v>
      </c>
      <c r="X1461" t="str">
        <f t="shared" si="90"/>
        <v>49+ Months</v>
      </c>
      <c r="Y1461" s="1" t="str">
        <f t="shared" si="91"/>
        <v>High</v>
      </c>
    </row>
    <row r="1462" spans="1:25" x14ac:dyDescent="0.2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 t="shared" si="88"/>
        <v>1</v>
      </c>
      <c r="W1462">
        <f t="shared" si="89"/>
        <v>0</v>
      </c>
      <c r="X1462" t="str">
        <f t="shared" si="90"/>
        <v>0-12 Months</v>
      </c>
      <c r="Y1462" s="1" t="str">
        <f t="shared" si="91"/>
        <v>High</v>
      </c>
    </row>
    <row r="1463" spans="1:25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 t="shared" si="88"/>
        <v>0</v>
      </c>
      <c r="W1463">
        <f t="shared" si="89"/>
        <v>1</v>
      </c>
      <c r="X1463" t="str">
        <f t="shared" si="90"/>
        <v>13-24 Months</v>
      </c>
      <c r="Y1463" s="1" t="str">
        <f t="shared" si="91"/>
        <v>High</v>
      </c>
    </row>
    <row r="1464" spans="1:25" x14ac:dyDescent="0.2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 t="shared" si="88"/>
        <v>0</v>
      </c>
      <c r="W1464">
        <f t="shared" si="89"/>
        <v>1</v>
      </c>
      <c r="X1464" t="str">
        <f t="shared" si="90"/>
        <v>25-48 Months</v>
      </c>
      <c r="Y1464" s="1" t="str">
        <f t="shared" si="91"/>
        <v>Low</v>
      </c>
    </row>
    <row r="1465" spans="1:25" x14ac:dyDescent="0.2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 t="shared" si="88"/>
        <v>1</v>
      </c>
      <c r="W1465">
        <f t="shared" si="89"/>
        <v>0</v>
      </c>
      <c r="X1465" t="str">
        <f t="shared" si="90"/>
        <v>0-12 Months</v>
      </c>
      <c r="Y1465" s="1" t="str">
        <f t="shared" si="91"/>
        <v>Medium</v>
      </c>
    </row>
    <row r="1466" spans="1:25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 t="shared" si="88"/>
        <v>0</v>
      </c>
      <c r="W1466">
        <f t="shared" si="89"/>
        <v>1</v>
      </c>
      <c r="X1466" t="str">
        <f t="shared" si="90"/>
        <v>0-12 Months</v>
      </c>
      <c r="Y1466" s="1" t="str">
        <f t="shared" si="91"/>
        <v>Medium</v>
      </c>
    </row>
    <row r="1467" spans="1:25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 t="shared" si="88"/>
        <v>0</v>
      </c>
      <c r="W1467">
        <f t="shared" si="89"/>
        <v>1</v>
      </c>
      <c r="X1467" t="str">
        <f t="shared" si="90"/>
        <v>0-12 Months</v>
      </c>
      <c r="Y1467" s="1" t="str">
        <f t="shared" si="91"/>
        <v>Medium</v>
      </c>
    </row>
    <row r="1468" spans="1:25" x14ac:dyDescent="0.2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 t="shared" si="88"/>
        <v>0</v>
      </c>
      <c r="W1468">
        <f t="shared" si="89"/>
        <v>1</v>
      </c>
      <c r="X1468" t="str">
        <f t="shared" si="90"/>
        <v>0-12 Months</v>
      </c>
      <c r="Y1468" s="1" t="str">
        <f t="shared" si="91"/>
        <v>Low</v>
      </c>
    </row>
    <row r="1469" spans="1:25" x14ac:dyDescent="0.2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 t="shared" si="88"/>
        <v>0</v>
      </c>
      <c r="W1469">
        <f t="shared" si="89"/>
        <v>1</v>
      </c>
      <c r="X1469" t="str">
        <f t="shared" si="90"/>
        <v>13-24 Months</v>
      </c>
      <c r="Y1469" s="1" t="str">
        <f t="shared" si="91"/>
        <v>Medium</v>
      </c>
    </row>
    <row r="1470" spans="1:25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 t="shared" si="88"/>
        <v>0</v>
      </c>
      <c r="W1470">
        <f t="shared" si="89"/>
        <v>1</v>
      </c>
      <c r="X1470" t="str">
        <f t="shared" si="90"/>
        <v>49+ Months</v>
      </c>
      <c r="Y1470" s="1" t="str">
        <f t="shared" si="91"/>
        <v>High</v>
      </c>
    </row>
    <row r="1471" spans="1:25" x14ac:dyDescent="0.2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 t="shared" si="88"/>
        <v>1</v>
      </c>
      <c r="W1471">
        <f t="shared" si="89"/>
        <v>0</v>
      </c>
      <c r="X1471" t="str">
        <f t="shared" si="90"/>
        <v>25-48 Months</v>
      </c>
      <c r="Y1471" s="1" t="str">
        <f t="shared" si="91"/>
        <v>High</v>
      </c>
    </row>
    <row r="1472" spans="1:25" x14ac:dyDescent="0.2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 t="shared" si="88"/>
        <v>0</v>
      </c>
      <c r="W1472">
        <f t="shared" si="89"/>
        <v>1</v>
      </c>
      <c r="X1472" t="str">
        <f t="shared" si="90"/>
        <v>0-12 Months</v>
      </c>
      <c r="Y1472" s="1" t="str">
        <f t="shared" si="91"/>
        <v>Low</v>
      </c>
    </row>
    <row r="1473" spans="1:25" x14ac:dyDescent="0.2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 t="shared" si="88"/>
        <v>0</v>
      </c>
      <c r="W1473">
        <f t="shared" si="89"/>
        <v>1</v>
      </c>
      <c r="X1473" t="str">
        <f t="shared" si="90"/>
        <v>25-48 Months</v>
      </c>
      <c r="Y1473" s="1" t="str">
        <f t="shared" si="91"/>
        <v>High</v>
      </c>
    </row>
    <row r="1474" spans="1:25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 t="shared" ref="V1474:V1537" si="92">IF(U1474="Yes",1,0)</f>
        <v>1</v>
      </c>
      <c r="W1474">
        <f t="shared" ref="W1474:W1537" si="93">IF(U1474="No",1,0)</f>
        <v>0</v>
      </c>
      <c r="X1474" t="str">
        <f t="shared" ref="X1474:X1537" si="94">IF(F1474&lt;=12,"0-12 Months",IF(F1474&lt;=24,"13-24 Months",IF(F1474&lt;=48,"25-48 Months","49+ Months")))</f>
        <v>13-24 Months</v>
      </c>
      <c r="Y1474" s="1" t="str">
        <f t="shared" ref="Y1474:Y1537" si="95">IF(S1474&lt;50,"Low",IF(S1474&lt;80,"Medium","High"))</f>
        <v>Medium</v>
      </c>
    </row>
    <row r="1475" spans="1:25" x14ac:dyDescent="0.2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 t="shared" si="92"/>
        <v>1</v>
      </c>
      <c r="W1475">
        <f t="shared" si="93"/>
        <v>0</v>
      </c>
      <c r="X1475" t="str">
        <f t="shared" si="94"/>
        <v>13-24 Months</v>
      </c>
      <c r="Y1475" s="1" t="str">
        <f t="shared" si="95"/>
        <v>High</v>
      </c>
    </row>
    <row r="1476" spans="1:25" x14ac:dyDescent="0.2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 t="shared" si="92"/>
        <v>0</v>
      </c>
      <c r="W1476">
        <f t="shared" si="93"/>
        <v>1</v>
      </c>
      <c r="X1476" t="str">
        <f t="shared" si="94"/>
        <v>25-48 Months</v>
      </c>
      <c r="Y1476" s="1" t="str">
        <f t="shared" si="95"/>
        <v>High</v>
      </c>
    </row>
    <row r="1477" spans="1:25" x14ac:dyDescent="0.2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 t="shared" si="92"/>
        <v>0</v>
      </c>
      <c r="W1477">
        <f t="shared" si="93"/>
        <v>1</v>
      </c>
      <c r="X1477" t="str">
        <f t="shared" si="94"/>
        <v>49+ Months</v>
      </c>
      <c r="Y1477" s="1" t="str">
        <f t="shared" si="95"/>
        <v>High</v>
      </c>
    </row>
    <row r="1478" spans="1:25" x14ac:dyDescent="0.2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 t="shared" si="92"/>
        <v>0</v>
      </c>
      <c r="W1478">
        <f t="shared" si="93"/>
        <v>1</v>
      </c>
      <c r="X1478" t="str">
        <f t="shared" si="94"/>
        <v>0-12 Months</v>
      </c>
      <c r="Y1478" s="1" t="str">
        <f t="shared" si="95"/>
        <v>Low</v>
      </c>
    </row>
    <row r="1479" spans="1:25" x14ac:dyDescent="0.2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 t="shared" si="92"/>
        <v>1</v>
      </c>
      <c r="W1479">
        <f t="shared" si="93"/>
        <v>0</v>
      </c>
      <c r="X1479" t="str">
        <f t="shared" si="94"/>
        <v>49+ Months</v>
      </c>
      <c r="Y1479" s="1" t="str">
        <f t="shared" si="95"/>
        <v>High</v>
      </c>
    </row>
    <row r="1480" spans="1:25" x14ac:dyDescent="0.2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 t="shared" si="92"/>
        <v>1</v>
      </c>
      <c r="W1480">
        <f t="shared" si="93"/>
        <v>0</v>
      </c>
      <c r="X1480" t="str">
        <f t="shared" si="94"/>
        <v>25-48 Months</v>
      </c>
      <c r="Y1480" s="1" t="str">
        <f t="shared" si="95"/>
        <v>High</v>
      </c>
    </row>
    <row r="1481" spans="1:25" x14ac:dyDescent="0.2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 t="shared" si="92"/>
        <v>0</v>
      </c>
      <c r="W1481">
        <f t="shared" si="93"/>
        <v>1</v>
      </c>
      <c r="X1481" t="str">
        <f t="shared" si="94"/>
        <v>25-48 Months</v>
      </c>
      <c r="Y1481" s="1" t="str">
        <f t="shared" si="95"/>
        <v>Low</v>
      </c>
    </row>
    <row r="1482" spans="1:25" x14ac:dyDescent="0.2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 t="shared" si="92"/>
        <v>0</v>
      </c>
      <c r="W1482">
        <f t="shared" si="93"/>
        <v>1</v>
      </c>
      <c r="X1482" t="str">
        <f t="shared" si="94"/>
        <v>25-48 Months</v>
      </c>
      <c r="Y1482" s="1" t="str">
        <f t="shared" si="95"/>
        <v>Low</v>
      </c>
    </row>
    <row r="1483" spans="1:25" x14ac:dyDescent="0.2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 t="shared" si="92"/>
        <v>0</v>
      </c>
      <c r="W1483">
        <f t="shared" si="93"/>
        <v>1</v>
      </c>
      <c r="X1483" t="str">
        <f t="shared" si="94"/>
        <v>49+ Months</v>
      </c>
      <c r="Y1483" s="1" t="str">
        <f t="shared" si="95"/>
        <v>Medium</v>
      </c>
    </row>
    <row r="1484" spans="1:25" x14ac:dyDescent="0.2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 t="shared" si="92"/>
        <v>0</v>
      </c>
      <c r="W1484">
        <f t="shared" si="93"/>
        <v>1</v>
      </c>
      <c r="X1484" t="str">
        <f t="shared" si="94"/>
        <v>13-24 Months</v>
      </c>
      <c r="Y1484" s="1" t="str">
        <f t="shared" si="95"/>
        <v>High</v>
      </c>
    </row>
    <row r="1485" spans="1:25" x14ac:dyDescent="0.2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 t="shared" si="92"/>
        <v>0</v>
      </c>
      <c r="W1485">
        <f t="shared" si="93"/>
        <v>1</v>
      </c>
      <c r="X1485" t="str">
        <f t="shared" si="94"/>
        <v>49+ Months</v>
      </c>
      <c r="Y1485" s="1" t="str">
        <f t="shared" si="95"/>
        <v>Medium</v>
      </c>
    </row>
    <row r="1486" spans="1:25" x14ac:dyDescent="0.2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 t="shared" si="92"/>
        <v>0</v>
      </c>
      <c r="W1486">
        <f t="shared" si="93"/>
        <v>1</v>
      </c>
      <c r="X1486" t="str">
        <f t="shared" si="94"/>
        <v>49+ Months</v>
      </c>
      <c r="Y1486" s="1" t="str">
        <f t="shared" si="95"/>
        <v>High</v>
      </c>
    </row>
    <row r="1487" spans="1:25" x14ac:dyDescent="0.2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 t="shared" si="92"/>
        <v>1</v>
      </c>
      <c r="W1487">
        <f t="shared" si="93"/>
        <v>0</v>
      </c>
      <c r="X1487" t="str">
        <f t="shared" si="94"/>
        <v>13-24 Months</v>
      </c>
      <c r="Y1487" s="1" t="str">
        <f t="shared" si="95"/>
        <v>High</v>
      </c>
    </row>
    <row r="1488" spans="1:25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 t="shared" si="92"/>
        <v>1</v>
      </c>
      <c r="W1488">
        <f t="shared" si="93"/>
        <v>0</v>
      </c>
      <c r="X1488" t="str">
        <f t="shared" si="94"/>
        <v>0-12 Months</v>
      </c>
      <c r="Y1488" s="1" t="str">
        <f t="shared" si="95"/>
        <v>Medium</v>
      </c>
    </row>
    <row r="1489" spans="1:25" x14ac:dyDescent="0.2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 t="shared" si="92"/>
        <v>0</v>
      </c>
      <c r="W1489">
        <f t="shared" si="93"/>
        <v>1</v>
      </c>
      <c r="X1489" t="str">
        <f t="shared" si="94"/>
        <v>49+ Months</v>
      </c>
      <c r="Y1489" s="1" t="str">
        <f t="shared" si="95"/>
        <v>High</v>
      </c>
    </row>
    <row r="1490" spans="1:25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 t="shared" si="92"/>
        <v>0</v>
      </c>
      <c r="W1490">
        <f t="shared" si="93"/>
        <v>1</v>
      </c>
      <c r="X1490" t="str">
        <f t="shared" si="94"/>
        <v>0-12 Months</v>
      </c>
      <c r="Y1490" s="1" t="str">
        <f t="shared" si="95"/>
        <v>Medium</v>
      </c>
    </row>
    <row r="1491" spans="1:25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 t="shared" si="92"/>
        <v>0</v>
      </c>
      <c r="W1491">
        <f t="shared" si="93"/>
        <v>1</v>
      </c>
      <c r="X1491" t="str">
        <f t="shared" si="94"/>
        <v>13-24 Months</v>
      </c>
      <c r="Y1491" s="1" t="str">
        <f t="shared" si="95"/>
        <v>Medium</v>
      </c>
    </row>
    <row r="1492" spans="1:25" x14ac:dyDescent="0.2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 t="shared" si="92"/>
        <v>0</v>
      </c>
      <c r="W1492">
        <f t="shared" si="93"/>
        <v>1</v>
      </c>
      <c r="X1492" t="str">
        <f t="shared" si="94"/>
        <v>49+ Months</v>
      </c>
      <c r="Y1492" s="1" t="str">
        <f t="shared" si="95"/>
        <v>Medium</v>
      </c>
    </row>
    <row r="1493" spans="1:25" x14ac:dyDescent="0.2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 t="shared" si="92"/>
        <v>0</v>
      </c>
      <c r="W1493">
        <f t="shared" si="93"/>
        <v>1</v>
      </c>
      <c r="X1493" t="str">
        <f t="shared" si="94"/>
        <v>0-12 Months</v>
      </c>
      <c r="Y1493" s="1" t="str">
        <f t="shared" si="95"/>
        <v>Low</v>
      </c>
    </row>
    <row r="1494" spans="1:25" x14ac:dyDescent="0.2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 t="shared" si="92"/>
        <v>1</v>
      </c>
      <c r="W1494">
        <f t="shared" si="93"/>
        <v>0</v>
      </c>
      <c r="X1494" t="str">
        <f t="shared" si="94"/>
        <v>13-24 Months</v>
      </c>
      <c r="Y1494" s="1" t="str">
        <f t="shared" si="95"/>
        <v>High</v>
      </c>
    </row>
    <row r="1495" spans="1:25" x14ac:dyDescent="0.2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 t="shared" si="92"/>
        <v>0</v>
      </c>
      <c r="W1495">
        <f t="shared" si="93"/>
        <v>1</v>
      </c>
      <c r="X1495" t="str">
        <f t="shared" si="94"/>
        <v>0-12 Months</v>
      </c>
      <c r="Y1495" s="1" t="str">
        <f t="shared" si="95"/>
        <v>Medium</v>
      </c>
    </row>
    <row r="1496" spans="1:25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 t="shared" si="92"/>
        <v>1</v>
      </c>
      <c r="W1496">
        <f t="shared" si="93"/>
        <v>0</v>
      </c>
      <c r="X1496" t="str">
        <f t="shared" si="94"/>
        <v>0-12 Months</v>
      </c>
      <c r="Y1496" s="1" t="str">
        <f t="shared" si="95"/>
        <v>Low</v>
      </c>
    </row>
    <row r="1497" spans="1:25" x14ac:dyDescent="0.2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 t="shared" si="92"/>
        <v>0</v>
      </c>
      <c r="W1497">
        <f t="shared" si="93"/>
        <v>1</v>
      </c>
      <c r="X1497" t="str">
        <f t="shared" si="94"/>
        <v>49+ Months</v>
      </c>
      <c r="Y1497" s="1" t="str">
        <f t="shared" si="95"/>
        <v>High</v>
      </c>
    </row>
    <row r="1498" spans="1:25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 t="shared" si="92"/>
        <v>0</v>
      </c>
      <c r="W1498">
        <f t="shared" si="93"/>
        <v>1</v>
      </c>
      <c r="X1498" t="str">
        <f t="shared" si="94"/>
        <v>0-12 Months</v>
      </c>
      <c r="Y1498" s="1" t="str">
        <f t="shared" si="95"/>
        <v>Low</v>
      </c>
    </row>
    <row r="1499" spans="1:25" x14ac:dyDescent="0.2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 t="shared" si="92"/>
        <v>0</v>
      </c>
      <c r="W1499">
        <f t="shared" si="93"/>
        <v>1</v>
      </c>
      <c r="X1499" t="str">
        <f t="shared" si="94"/>
        <v>49+ Months</v>
      </c>
      <c r="Y1499" s="1" t="str">
        <f t="shared" si="95"/>
        <v>Medium</v>
      </c>
    </row>
    <row r="1500" spans="1:25" x14ac:dyDescent="0.2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 t="shared" si="92"/>
        <v>1</v>
      </c>
      <c r="W1500">
        <f t="shared" si="93"/>
        <v>0</v>
      </c>
      <c r="X1500" t="str">
        <f t="shared" si="94"/>
        <v>13-24 Months</v>
      </c>
      <c r="Y1500" s="1" t="str">
        <f t="shared" si="95"/>
        <v>Medium</v>
      </c>
    </row>
    <row r="1501" spans="1:25" x14ac:dyDescent="0.2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 t="shared" si="92"/>
        <v>0</v>
      </c>
      <c r="W1501">
        <f t="shared" si="93"/>
        <v>1</v>
      </c>
      <c r="X1501" t="str">
        <f t="shared" si="94"/>
        <v>49+ Months</v>
      </c>
      <c r="Y1501" s="1" t="str">
        <f t="shared" si="95"/>
        <v>High</v>
      </c>
    </row>
    <row r="1502" spans="1:25" x14ac:dyDescent="0.2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 t="shared" si="92"/>
        <v>0</v>
      </c>
      <c r="W1502">
        <f t="shared" si="93"/>
        <v>1</v>
      </c>
      <c r="X1502" t="str">
        <f t="shared" si="94"/>
        <v>25-48 Months</v>
      </c>
      <c r="Y1502" s="1" t="str">
        <f t="shared" si="95"/>
        <v>Low</v>
      </c>
    </row>
    <row r="1503" spans="1:25" x14ac:dyDescent="0.2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 t="shared" si="92"/>
        <v>0</v>
      </c>
      <c r="W1503">
        <f t="shared" si="93"/>
        <v>1</v>
      </c>
      <c r="X1503" t="str">
        <f t="shared" si="94"/>
        <v>13-24 Months</v>
      </c>
      <c r="Y1503" s="1" t="str">
        <f t="shared" si="95"/>
        <v>Low</v>
      </c>
    </row>
    <row r="1504" spans="1:25" x14ac:dyDescent="0.2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 t="shared" si="92"/>
        <v>0</v>
      </c>
      <c r="W1504">
        <f t="shared" si="93"/>
        <v>1</v>
      </c>
      <c r="X1504" t="str">
        <f t="shared" si="94"/>
        <v>49+ Months</v>
      </c>
      <c r="Y1504" s="1" t="str">
        <f t="shared" si="95"/>
        <v>Medium</v>
      </c>
    </row>
    <row r="1505" spans="1:25" x14ac:dyDescent="0.2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 t="shared" si="92"/>
        <v>0</v>
      </c>
      <c r="W1505">
        <f t="shared" si="93"/>
        <v>1</v>
      </c>
      <c r="X1505" t="str">
        <f t="shared" si="94"/>
        <v>25-48 Months</v>
      </c>
      <c r="Y1505" s="1" t="str">
        <f t="shared" si="95"/>
        <v>High</v>
      </c>
    </row>
    <row r="1506" spans="1:25" x14ac:dyDescent="0.2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 t="shared" si="92"/>
        <v>0</v>
      </c>
      <c r="W1506">
        <f t="shared" si="93"/>
        <v>1</v>
      </c>
      <c r="X1506" t="str">
        <f t="shared" si="94"/>
        <v>13-24 Months</v>
      </c>
      <c r="Y1506" s="1" t="str">
        <f t="shared" si="95"/>
        <v>Medium</v>
      </c>
    </row>
    <row r="1507" spans="1:25" x14ac:dyDescent="0.2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 t="shared" si="92"/>
        <v>1</v>
      </c>
      <c r="W1507">
        <f t="shared" si="93"/>
        <v>0</v>
      </c>
      <c r="X1507" t="str">
        <f t="shared" si="94"/>
        <v>0-12 Months</v>
      </c>
      <c r="Y1507" s="1" t="str">
        <f t="shared" si="95"/>
        <v>Medium</v>
      </c>
    </row>
    <row r="1508" spans="1:25" x14ac:dyDescent="0.2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 t="shared" si="92"/>
        <v>0</v>
      </c>
      <c r="W1508">
        <f t="shared" si="93"/>
        <v>1</v>
      </c>
      <c r="X1508" t="str">
        <f t="shared" si="94"/>
        <v>49+ Months</v>
      </c>
      <c r="Y1508" s="1" t="str">
        <f t="shared" si="95"/>
        <v>Medium</v>
      </c>
    </row>
    <row r="1509" spans="1:25" x14ac:dyDescent="0.2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 t="shared" si="92"/>
        <v>0</v>
      </c>
      <c r="W1509">
        <f t="shared" si="93"/>
        <v>1</v>
      </c>
      <c r="X1509" t="str">
        <f t="shared" si="94"/>
        <v>49+ Months</v>
      </c>
      <c r="Y1509" s="1" t="str">
        <f t="shared" si="95"/>
        <v>Low</v>
      </c>
    </row>
    <row r="1510" spans="1:25" x14ac:dyDescent="0.2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 t="shared" si="92"/>
        <v>0</v>
      </c>
      <c r="W1510">
        <f t="shared" si="93"/>
        <v>1</v>
      </c>
      <c r="X1510" t="str">
        <f t="shared" si="94"/>
        <v>13-24 Months</v>
      </c>
      <c r="Y1510" s="1" t="str">
        <f t="shared" si="95"/>
        <v>High</v>
      </c>
    </row>
    <row r="1511" spans="1:25" x14ac:dyDescent="0.2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 t="shared" si="92"/>
        <v>1</v>
      </c>
      <c r="W1511">
        <f t="shared" si="93"/>
        <v>0</v>
      </c>
      <c r="X1511" t="str">
        <f t="shared" si="94"/>
        <v>13-24 Months</v>
      </c>
      <c r="Y1511" s="1" t="str">
        <f t="shared" si="95"/>
        <v>Medium</v>
      </c>
    </row>
    <row r="1512" spans="1:25" x14ac:dyDescent="0.2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 t="shared" si="92"/>
        <v>0</v>
      </c>
      <c r="W1512">
        <f t="shared" si="93"/>
        <v>1</v>
      </c>
      <c r="X1512" t="str">
        <f t="shared" si="94"/>
        <v>49+ Months</v>
      </c>
      <c r="Y1512" s="1" t="str">
        <f t="shared" si="95"/>
        <v>High</v>
      </c>
    </row>
    <row r="1513" spans="1:25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 t="shared" si="92"/>
        <v>0</v>
      </c>
      <c r="W1513">
        <f t="shared" si="93"/>
        <v>1</v>
      </c>
      <c r="X1513" t="str">
        <f t="shared" si="94"/>
        <v>49+ Months</v>
      </c>
      <c r="Y1513" s="1" t="str">
        <f t="shared" si="95"/>
        <v>Low</v>
      </c>
    </row>
    <row r="1514" spans="1:25" x14ac:dyDescent="0.2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 t="shared" si="92"/>
        <v>0</v>
      </c>
      <c r="W1514">
        <f t="shared" si="93"/>
        <v>1</v>
      </c>
      <c r="X1514" t="str">
        <f t="shared" si="94"/>
        <v>13-24 Months</v>
      </c>
      <c r="Y1514" s="1" t="str">
        <f t="shared" si="95"/>
        <v>High</v>
      </c>
    </row>
    <row r="1515" spans="1:25" x14ac:dyDescent="0.2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 t="shared" si="92"/>
        <v>1</v>
      </c>
      <c r="W1515">
        <f t="shared" si="93"/>
        <v>0</v>
      </c>
      <c r="X1515" t="str">
        <f t="shared" si="94"/>
        <v>0-12 Months</v>
      </c>
      <c r="Y1515" s="1" t="str">
        <f t="shared" si="95"/>
        <v>Low</v>
      </c>
    </row>
    <row r="1516" spans="1:25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 t="shared" si="92"/>
        <v>0</v>
      </c>
      <c r="W1516">
        <f t="shared" si="93"/>
        <v>1</v>
      </c>
      <c r="X1516" t="str">
        <f t="shared" si="94"/>
        <v>49+ Months</v>
      </c>
      <c r="Y1516" s="1" t="str">
        <f t="shared" si="95"/>
        <v>Low</v>
      </c>
    </row>
    <row r="1517" spans="1:25" x14ac:dyDescent="0.2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 t="shared" si="92"/>
        <v>0</v>
      </c>
      <c r="W1517">
        <f t="shared" si="93"/>
        <v>1</v>
      </c>
      <c r="X1517" t="str">
        <f t="shared" si="94"/>
        <v>25-48 Months</v>
      </c>
      <c r="Y1517" s="1" t="str">
        <f t="shared" si="95"/>
        <v>Medium</v>
      </c>
    </row>
    <row r="1518" spans="1:25" x14ac:dyDescent="0.2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 t="shared" si="92"/>
        <v>0</v>
      </c>
      <c r="W1518">
        <f t="shared" si="93"/>
        <v>1</v>
      </c>
      <c r="X1518" t="str">
        <f t="shared" si="94"/>
        <v>13-24 Months</v>
      </c>
      <c r="Y1518" s="1" t="str">
        <f t="shared" si="95"/>
        <v>High</v>
      </c>
    </row>
    <row r="1519" spans="1:25" x14ac:dyDescent="0.2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 t="shared" si="92"/>
        <v>0</v>
      </c>
      <c r="W1519">
        <f t="shared" si="93"/>
        <v>1</v>
      </c>
      <c r="X1519" t="str">
        <f t="shared" si="94"/>
        <v>49+ Months</v>
      </c>
      <c r="Y1519" s="1" t="str">
        <f t="shared" si="95"/>
        <v>High</v>
      </c>
    </row>
    <row r="1520" spans="1:25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 t="shared" si="92"/>
        <v>0</v>
      </c>
      <c r="W1520">
        <f t="shared" si="93"/>
        <v>1</v>
      </c>
      <c r="X1520" t="str">
        <f t="shared" si="94"/>
        <v>0-12 Months</v>
      </c>
      <c r="Y1520" s="1" t="str">
        <f t="shared" si="95"/>
        <v>Low</v>
      </c>
    </row>
    <row r="1521" spans="1:25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 t="shared" si="92"/>
        <v>1</v>
      </c>
      <c r="W1521">
        <f t="shared" si="93"/>
        <v>0</v>
      </c>
      <c r="X1521" t="str">
        <f t="shared" si="94"/>
        <v>0-12 Months</v>
      </c>
      <c r="Y1521" s="1" t="str">
        <f t="shared" si="95"/>
        <v>Low</v>
      </c>
    </row>
    <row r="1522" spans="1:25" x14ac:dyDescent="0.2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 t="shared" si="92"/>
        <v>0</v>
      </c>
      <c r="W1522">
        <f t="shared" si="93"/>
        <v>1</v>
      </c>
      <c r="X1522" t="str">
        <f t="shared" si="94"/>
        <v>0-12 Months</v>
      </c>
      <c r="Y1522" s="1" t="str">
        <f t="shared" si="95"/>
        <v>Low</v>
      </c>
    </row>
    <row r="1523" spans="1:25" x14ac:dyDescent="0.2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 t="shared" si="92"/>
        <v>0</v>
      </c>
      <c r="W1523">
        <f t="shared" si="93"/>
        <v>1</v>
      </c>
      <c r="X1523" t="str">
        <f t="shared" si="94"/>
        <v>25-48 Months</v>
      </c>
      <c r="Y1523" s="1" t="str">
        <f t="shared" si="95"/>
        <v>Medium</v>
      </c>
    </row>
    <row r="1524" spans="1:25" x14ac:dyDescent="0.2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 t="shared" si="92"/>
        <v>1</v>
      </c>
      <c r="W1524">
        <f t="shared" si="93"/>
        <v>0</v>
      </c>
      <c r="X1524" t="str">
        <f t="shared" si="94"/>
        <v>25-48 Months</v>
      </c>
      <c r="Y1524" s="1" t="str">
        <f t="shared" si="95"/>
        <v>Medium</v>
      </c>
    </row>
    <row r="1525" spans="1:25" x14ac:dyDescent="0.2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 t="shared" si="92"/>
        <v>0</v>
      </c>
      <c r="W1525">
        <f t="shared" si="93"/>
        <v>1</v>
      </c>
      <c r="X1525" t="str">
        <f t="shared" si="94"/>
        <v>0-12 Months</v>
      </c>
      <c r="Y1525" s="1" t="str">
        <f t="shared" si="95"/>
        <v>Low</v>
      </c>
    </row>
    <row r="1526" spans="1:25" x14ac:dyDescent="0.2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 t="shared" si="92"/>
        <v>0</v>
      </c>
      <c r="W1526">
        <f t="shared" si="93"/>
        <v>1</v>
      </c>
      <c r="X1526" t="str">
        <f t="shared" si="94"/>
        <v>49+ Months</v>
      </c>
      <c r="Y1526" s="1" t="str">
        <f t="shared" si="95"/>
        <v>High</v>
      </c>
    </row>
    <row r="1527" spans="1:25" x14ac:dyDescent="0.2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 t="shared" si="92"/>
        <v>0</v>
      </c>
      <c r="W1527">
        <f t="shared" si="93"/>
        <v>1</v>
      </c>
      <c r="X1527" t="str">
        <f t="shared" si="94"/>
        <v>0-12 Months</v>
      </c>
      <c r="Y1527" s="1" t="str">
        <f t="shared" si="95"/>
        <v>Low</v>
      </c>
    </row>
    <row r="1528" spans="1:25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 t="shared" si="92"/>
        <v>0</v>
      </c>
      <c r="W1528">
        <f t="shared" si="93"/>
        <v>1</v>
      </c>
      <c r="X1528" t="str">
        <f t="shared" si="94"/>
        <v>0-12 Months</v>
      </c>
      <c r="Y1528" s="1" t="str">
        <f t="shared" si="95"/>
        <v>High</v>
      </c>
    </row>
    <row r="1529" spans="1:25" x14ac:dyDescent="0.2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 t="shared" si="92"/>
        <v>0</v>
      </c>
      <c r="W1529">
        <f t="shared" si="93"/>
        <v>1</v>
      </c>
      <c r="X1529" t="str">
        <f t="shared" si="94"/>
        <v>49+ Months</v>
      </c>
      <c r="Y1529" s="1" t="str">
        <f t="shared" si="95"/>
        <v>Low</v>
      </c>
    </row>
    <row r="1530" spans="1:25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 t="shared" si="92"/>
        <v>0</v>
      </c>
      <c r="W1530">
        <f t="shared" si="93"/>
        <v>1</v>
      </c>
      <c r="X1530" t="str">
        <f t="shared" si="94"/>
        <v>13-24 Months</v>
      </c>
      <c r="Y1530" s="1" t="str">
        <f t="shared" si="95"/>
        <v>Medium</v>
      </c>
    </row>
    <row r="1531" spans="1:25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 t="shared" si="92"/>
        <v>0</v>
      </c>
      <c r="W1531">
        <f t="shared" si="93"/>
        <v>1</v>
      </c>
      <c r="X1531" t="str">
        <f t="shared" si="94"/>
        <v>49+ Months</v>
      </c>
      <c r="Y1531" s="1" t="str">
        <f t="shared" si="95"/>
        <v>Low</v>
      </c>
    </row>
    <row r="1532" spans="1:25" x14ac:dyDescent="0.2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 t="shared" si="92"/>
        <v>1</v>
      </c>
      <c r="W1532">
        <f t="shared" si="93"/>
        <v>0</v>
      </c>
      <c r="X1532" t="str">
        <f t="shared" si="94"/>
        <v>0-12 Months</v>
      </c>
      <c r="Y1532" s="1" t="str">
        <f t="shared" si="95"/>
        <v>High</v>
      </c>
    </row>
    <row r="1533" spans="1:25" x14ac:dyDescent="0.2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 t="shared" si="92"/>
        <v>0</v>
      </c>
      <c r="W1533">
        <f t="shared" si="93"/>
        <v>1</v>
      </c>
      <c r="X1533" t="str">
        <f t="shared" si="94"/>
        <v>25-48 Months</v>
      </c>
      <c r="Y1533" s="1" t="str">
        <f t="shared" si="95"/>
        <v>Low</v>
      </c>
    </row>
    <row r="1534" spans="1:25" x14ac:dyDescent="0.2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 t="shared" si="92"/>
        <v>0</v>
      </c>
      <c r="W1534">
        <f t="shared" si="93"/>
        <v>1</v>
      </c>
      <c r="X1534" t="str">
        <f t="shared" si="94"/>
        <v>13-24 Months</v>
      </c>
      <c r="Y1534" s="1" t="str">
        <f t="shared" si="95"/>
        <v>Low</v>
      </c>
    </row>
    <row r="1535" spans="1:25" x14ac:dyDescent="0.2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 t="shared" si="92"/>
        <v>1</v>
      </c>
      <c r="W1535">
        <f t="shared" si="93"/>
        <v>0</v>
      </c>
      <c r="X1535" t="str">
        <f t="shared" si="94"/>
        <v>13-24 Months</v>
      </c>
      <c r="Y1535" s="1" t="str">
        <f t="shared" si="95"/>
        <v>Medium</v>
      </c>
    </row>
    <row r="1536" spans="1:25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 t="shared" si="92"/>
        <v>0</v>
      </c>
      <c r="W1536">
        <f t="shared" si="93"/>
        <v>1</v>
      </c>
      <c r="X1536" t="str">
        <f t="shared" si="94"/>
        <v>49+ Months</v>
      </c>
      <c r="Y1536" s="1" t="str">
        <f t="shared" si="95"/>
        <v>Low</v>
      </c>
    </row>
    <row r="1537" spans="1:25" x14ac:dyDescent="0.2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 t="shared" si="92"/>
        <v>0</v>
      </c>
      <c r="W1537">
        <f t="shared" si="93"/>
        <v>1</v>
      </c>
      <c r="X1537" t="str">
        <f t="shared" si="94"/>
        <v>0-12 Months</v>
      </c>
      <c r="Y1537" s="1" t="str">
        <f t="shared" si="95"/>
        <v>Medium</v>
      </c>
    </row>
    <row r="1538" spans="1:25" x14ac:dyDescent="0.2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 t="shared" ref="V1538:V1601" si="96">IF(U1538="Yes",1,0)</f>
        <v>0</v>
      </c>
      <c r="W1538">
        <f t="shared" ref="W1538:W1601" si="97">IF(U1538="No",1,0)</f>
        <v>1</v>
      </c>
      <c r="X1538" t="str">
        <f t="shared" ref="X1538:X1601" si="98">IF(F1538&lt;=12,"0-12 Months",IF(F1538&lt;=24,"13-24 Months",IF(F1538&lt;=48,"25-48 Months","49+ Months")))</f>
        <v>49+ Months</v>
      </c>
      <c r="Y1538" s="1" t="str">
        <f t="shared" ref="Y1538:Y1601" si="99">IF(S1538&lt;50,"Low",IF(S1538&lt;80,"Medium","High"))</f>
        <v>Medium</v>
      </c>
    </row>
    <row r="1539" spans="1:25" x14ac:dyDescent="0.2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 t="shared" si="96"/>
        <v>0</v>
      </c>
      <c r="W1539">
        <f t="shared" si="97"/>
        <v>1</v>
      </c>
      <c r="X1539" t="str">
        <f t="shared" si="98"/>
        <v>49+ Months</v>
      </c>
      <c r="Y1539" s="1" t="str">
        <f t="shared" si="99"/>
        <v>Medium</v>
      </c>
    </row>
    <row r="1540" spans="1:25" x14ac:dyDescent="0.2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 t="shared" si="96"/>
        <v>1</v>
      </c>
      <c r="W1540">
        <f t="shared" si="97"/>
        <v>0</v>
      </c>
      <c r="X1540" t="str">
        <f t="shared" si="98"/>
        <v>0-12 Months</v>
      </c>
      <c r="Y1540" s="1" t="str">
        <f t="shared" si="99"/>
        <v>High</v>
      </c>
    </row>
    <row r="1541" spans="1:25" x14ac:dyDescent="0.2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 t="shared" si="96"/>
        <v>0</v>
      </c>
      <c r="W1541">
        <f t="shared" si="97"/>
        <v>1</v>
      </c>
      <c r="X1541" t="str">
        <f t="shared" si="98"/>
        <v>0-12 Months</v>
      </c>
      <c r="Y1541" s="1" t="str">
        <f t="shared" si="99"/>
        <v>Medium</v>
      </c>
    </row>
    <row r="1542" spans="1:25" x14ac:dyDescent="0.2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 t="shared" si="96"/>
        <v>0</v>
      </c>
      <c r="W1542">
        <f t="shared" si="97"/>
        <v>1</v>
      </c>
      <c r="X1542" t="str">
        <f t="shared" si="98"/>
        <v>49+ Months</v>
      </c>
      <c r="Y1542" s="1" t="str">
        <f t="shared" si="99"/>
        <v>High</v>
      </c>
    </row>
    <row r="1543" spans="1:25" x14ac:dyDescent="0.2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 t="shared" si="96"/>
        <v>0</v>
      </c>
      <c r="W1543">
        <f t="shared" si="97"/>
        <v>1</v>
      </c>
      <c r="X1543" t="str">
        <f t="shared" si="98"/>
        <v>49+ Months</v>
      </c>
      <c r="Y1543" s="1" t="str">
        <f t="shared" si="99"/>
        <v>Low</v>
      </c>
    </row>
    <row r="1544" spans="1:25" x14ac:dyDescent="0.2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 t="shared" si="96"/>
        <v>0</v>
      </c>
      <c r="W1544">
        <f t="shared" si="97"/>
        <v>1</v>
      </c>
      <c r="X1544" t="str">
        <f t="shared" si="98"/>
        <v>25-48 Months</v>
      </c>
      <c r="Y1544" s="1" t="str">
        <f t="shared" si="99"/>
        <v>Low</v>
      </c>
    </row>
    <row r="1545" spans="1:25" x14ac:dyDescent="0.2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 t="shared" si="96"/>
        <v>1</v>
      </c>
      <c r="W1545">
        <f t="shared" si="97"/>
        <v>0</v>
      </c>
      <c r="X1545" t="str">
        <f t="shared" si="98"/>
        <v>0-12 Months</v>
      </c>
      <c r="Y1545" s="1" t="str">
        <f t="shared" si="99"/>
        <v>Medium</v>
      </c>
    </row>
    <row r="1546" spans="1:25" x14ac:dyDescent="0.2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 t="shared" si="96"/>
        <v>0</v>
      </c>
      <c r="W1546">
        <f t="shared" si="97"/>
        <v>1</v>
      </c>
      <c r="X1546" t="str">
        <f t="shared" si="98"/>
        <v>25-48 Months</v>
      </c>
      <c r="Y1546" s="1" t="str">
        <f t="shared" si="99"/>
        <v>Medium</v>
      </c>
    </row>
    <row r="1547" spans="1:25" x14ac:dyDescent="0.2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 t="shared" si="96"/>
        <v>0</v>
      </c>
      <c r="W1547">
        <f t="shared" si="97"/>
        <v>1</v>
      </c>
      <c r="X1547" t="str">
        <f t="shared" si="98"/>
        <v>49+ Months</v>
      </c>
      <c r="Y1547" s="1" t="str">
        <f t="shared" si="99"/>
        <v>High</v>
      </c>
    </row>
    <row r="1548" spans="1:25" x14ac:dyDescent="0.2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 t="shared" si="96"/>
        <v>0</v>
      </c>
      <c r="W1548">
        <f t="shared" si="97"/>
        <v>1</v>
      </c>
      <c r="X1548" t="str">
        <f t="shared" si="98"/>
        <v>49+ Months</v>
      </c>
      <c r="Y1548" s="1" t="str">
        <f t="shared" si="99"/>
        <v>Low</v>
      </c>
    </row>
    <row r="1549" spans="1:25" x14ac:dyDescent="0.2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 t="shared" si="96"/>
        <v>1</v>
      </c>
      <c r="W1549">
        <f t="shared" si="97"/>
        <v>0</v>
      </c>
      <c r="X1549" t="str">
        <f t="shared" si="98"/>
        <v>49+ Months</v>
      </c>
      <c r="Y1549" s="1" t="str">
        <f t="shared" si="99"/>
        <v>High</v>
      </c>
    </row>
    <row r="1550" spans="1:25" x14ac:dyDescent="0.2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 t="shared" si="96"/>
        <v>0</v>
      </c>
      <c r="W1550">
        <f t="shared" si="97"/>
        <v>1</v>
      </c>
      <c r="X1550" t="str">
        <f t="shared" si="98"/>
        <v>25-48 Months</v>
      </c>
      <c r="Y1550" s="1" t="str">
        <f t="shared" si="99"/>
        <v>High</v>
      </c>
    </row>
    <row r="1551" spans="1:25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 t="shared" si="96"/>
        <v>1</v>
      </c>
      <c r="W1551">
        <f t="shared" si="97"/>
        <v>0</v>
      </c>
      <c r="X1551" t="str">
        <f t="shared" si="98"/>
        <v>0-12 Months</v>
      </c>
      <c r="Y1551" s="1" t="str">
        <f t="shared" si="99"/>
        <v>Low</v>
      </c>
    </row>
    <row r="1552" spans="1:25" x14ac:dyDescent="0.2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 t="shared" si="96"/>
        <v>0</v>
      </c>
      <c r="W1552">
        <f t="shared" si="97"/>
        <v>1</v>
      </c>
      <c r="X1552" t="str">
        <f t="shared" si="98"/>
        <v>0-12 Months</v>
      </c>
      <c r="Y1552" s="1" t="str">
        <f t="shared" si="99"/>
        <v>High</v>
      </c>
    </row>
    <row r="1553" spans="1:25" x14ac:dyDescent="0.2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 t="shared" si="96"/>
        <v>0</v>
      </c>
      <c r="W1553">
        <f t="shared" si="97"/>
        <v>1</v>
      </c>
      <c r="X1553" t="str">
        <f t="shared" si="98"/>
        <v>13-24 Months</v>
      </c>
      <c r="Y1553" s="1" t="str">
        <f t="shared" si="99"/>
        <v>Low</v>
      </c>
    </row>
    <row r="1554" spans="1:25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 t="shared" si="96"/>
        <v>0</v>
      </c>
      <c r="W1554">
        <f t="shared" si="97"/>
        <v>1</v>
      </c>
      <c r="X1554" t="str">
        <f t="shared" si="98"/>
        <v>25-48 Months</v>
      </c>
      <c r="Y1554" s="1" t="str">
        <f t="shared" si="99"/>
        <v>High</v>
      </c>
    </row>
    <row r="1555" spans="1:25" x14ac:dyDescent="0.2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 t="shared" si="96"/>
        <v>0</v>
      </c>
      <c r="W1555">
        <f t="shared" si="97"/>
        <v>1</v>
      </c>
      <c r="X1555" t="str">
        <f t="shared" si="98"/>
        <v>25-48 Months</v>
      </c>
      <c r="Y1555" s="1" t="str">
        <f t="shared" si="99"/>
        <v>High</v>
      </c>
    </row>
    <row r="1556" spans="1:25" x14ac:dyDescent="0.2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 t="shared" si="96"/>
        <v>0</v>
      </c>
      <c r="W1556">
        <f t="shared" si="97"/>
        <v>1</v>
      </c>
      <c r="X1556" t="str">
        <f t="shared" si="98"/>
        <v>25-48 Months</v>
      </c>
      <c r="Y1556" s="1" t="str">
        <f t="shared" si="99"/>
        <v>Low</v>
      </c>
    </row>
    <row r="1557" spans="1:25" x14ac:dyDescent="0.2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 t="shared" si="96"/>
        <v>1</v>
      </c>
      <c r="W1557">
        <f t="shared" si="97"/>
        <v>0</v>
      </c>
      <c r="X1557" t="str">
        <f t="shared" si="98"/>
        <v>49+ Months</v>
      </c>
      <c r="Y1557" s="1" t="str">
        <f t="shared" si="99"/>
        <v>High</v>
      </c>
    </row>
    <row r="1558" spans="1:25" x14ac:dyDescent="0.2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 t="shared" si="96"/>
        <v>1</v>
      </c>
      <c r="W1558">
        <f t="shared" si="97"/>
        <v>0</v>
      </c>
      <c r="X1558" t="str">
        <f t="shared" si="98"/>
        <v>0-12 Months</v>
      </c>
      <c r="Y1558" s="1" t="str">
        <f t="shared" si="99"/>
        <v>High</v>
      </c>
    </row>
    <row r="1559" spans="1:25" x14ac:dyDescent="0.2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 t="shared" si="96"/>
        <v>0</v>
      </c>
      <c r="W1559">
        <f t="shared" si="97"/>
        <v>1</v>
      </c>
      <c r="X1559" t="str">
        <f t="shared" si="98"/>
        <v>0-12 Months</v>
      </c>
      <c r="Y1559" s="1" t="str">
        <f t="shared" si="99"/>
        <v>Medium</v>
      </c>
    </row>
    <row r="1560" spans="1:25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 t="shared" si="96"/>
        <v>1</v>
      </c>
      <c r="W1560">
        <f t="shared" si="97"/>
        <v>0</v>
      </c>
      <c r="X1560" t="str">
        <f t="shared" si="98"/>
        <v>13-24 Months</v>
      </c>
      <c r="Y1560" s="1" t="str">
        <f t="shared" si="99"/>
        <v>High</v>
      </c>
    </row>
    <row r="1561" spans="1:25" x14ac:dyDescent="0.2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 t="shared" si="96"/>
        <v>0</v>
      </c>
      <c r="W1561">
        <f t="shared" si="97"/>
        <v>1</v>
      </c>
      <c r="X1561" t="str">
        <f t="shared" si="98"/>
        <v>0-12 Months</v>
      </c>
      <c r="Y1561" s="1" t="str">
        <f t="shared" si="99"/>
        <v>Low</v>
      </c>
    </row>
    <row r="1562" spans="1:25" x14ac:dyDescent="0.2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 t="shared" si="96"/>
        <v>0</v>
      </c>
      <c r="W1562">
        <f t="shared" si="97"/>
        <v>1</v>
      </c>
      <c r="X1562" t="str">
        <f t="shared" si="98"/>
        <v>25-48 Months</v>
      </c>
      <c r="Y1562" s="1" t="str">
        <f t="shared" si="99"/>
        <v>Low</v>
      </c>
    </row>
    <row r="1563" spans="1:25" x14ac:dyDescent="0.2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 t="shared" si="96"/>
        <v>1</v>
      </c>
      <c r="W1563">
        <f t="shared" si="97"/>
        <v>0</v>
      </c>
      <c r="X1563" t="str">
        <f t="shared" si="98"/>
        <v>0-12 Months</v>
      </c>
      <c r="Y1563" s="1" t="str">
        <f t="shared" si="99"/>
        <v>Medium</v>
      </c>
    </row>
    <row r="1564" spans="1:25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 t="shared" si="96"/>
        <v>0</v>
      </c>
      <c r="W1564">
        <f t="shared" si="97"/>
        <v>1</v>
      </c>
      <c r="X1564" t="str">
        <f t="shared" si="98"/>
        <v>0-12 Months</v>
      </c>
      <c r="Y1564" s="1" t="str">
        <f t="shared" si="99"/>
        <v>Low</v>
      </c>
    </row>
    <row r="1565" spans="1:25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 t="shared" si="96"/>
        <v>0</v>
      </c>
      <c r="W1565">
        <f t="shared" si="97"/>
        <v>1</v>
      </c>
      <c r="X1565" t="str">
        <f t="shared" si="98"/>
        <v>0-12 Months</v>
      </c>
      <c r="Y1565" s="1" t="str">
        <f t="shared" si="99"/>
        <v>Medium</v>
      </c>
    </row>
    <row r="1566" spans="1:25" x14ac:dyDescent="0.2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 t="shared" si="96"/>
        <v>1</v>
      </c>
      <c r="W1566">
        <f t="shared" si="97"/>
        <v>0</v>
      </c>
      <c r="X1566" t="str">
        <f t="shared" si="98"/>
        <v>0-12 Months</v>
      </c>
      <c r="Y1566" s="1" t="str">
        <f t="shared" si="99"/>
        <v>High</v>
      </c>
    </row>
    <row r="1567" spans="1:25" x14ac:dyDescent="0.2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 t="shared" si="96"/>
        <v>0</v>
      </c>
      <c r="W1567">
        <f t="shared" si="97"/>
        <v>1</v>
      </c>
      <c r="X1567" t="str">
        <f t="shared" si="98"/>
        <v>49+ Months</v>
      </c>
      <c r="Y1567" s="1" t="str">
        <f t="shared" si="99"/>
        <v>High</v>
      </c>
    </row>
    <row r="1568" spans="1:25" x14ac:dyDescent="0.2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 t="shared" si="96"/>
        <v>0</v>
      </c>
      <c r="W1568">
        <f t="shared" si="97"/>
        <v>1</v>
      </c>
      <c r="X1568" t="str">
        <f t="shared" si="98"/>
        <v>49+ Months</v>
      </c>
      <c r="Y1568" s="1" t="str">
        <f t="shared" si="99"/>
        <v>Medium</v>
      </c>
    </row>
    <row r="1569" spans="1:25" x14ac:dyDescent="0.2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 t="shared" si="96"/>
        <v>0</v>
      </c>
      <c r="W1569">
        <f t="shared" si="97"/>
        <v>1</v>
      </c>
      <c r="X1569" t="str">
        <f t="shared" si="98"/>
        <v>0-12 Months</v>
      </c>
      <c r="Y1569" s="1" t="str">
        <f t="shared" si="99"/>
        <v>Medium</v>
      </c>
    </row>
    <row r="1570" spans="1:25" x14ac:dyDescent="0.2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 t="shared" si="96"/>
        <v>0</v>
      </c>
      <c r="W1570">
        <f t="shared" si="97"/>
        <v>1</v>
      </c>
      <c r="X1570" t="str">
        <f t="shared" si="98"/>
        <v>0-12 Months</v>
      </c>
      <c r="Y1570" s="1" t="str">
        <f t="shared" si="99"/>
        <v>High</v>
      </c>
    </row>
    <row r="1571" spans="1:25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 t="shared" si="96"/>
        <v>0</v>
      </c>
      <c r="W1571">
        <f t="shared" si="97"/>
        <v>1</v>
      </c>
      <c r="X1571" t="str">
        <f t="shared" si="98"/>
        <v>13-24 Months</v>
      </c>
      <c r="Y1571" s="1" t="str">
        <f t="shared" si="99"/>
        <v>Low</v>
      </c>
    </row>
    <row r="1572" spans="1:25" x14ac:dyDescent="0.2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 t="shared" si="96"/>
        <v>0</v>
      </c>
      <c r="W1572">
        <f t="shared" si="97"/>
        <v>1</v>
      </c>
      <c r="X1572" t="str">
        <f t="shared" si="98"/>
        <v>13-24 Months</v>
      </c>
      <c r="Y1572" s="1" t="str">
        <f t="shared" si="99"/>
        <v>Low</v>
      </c>
    </row>
    <row r="1573" spans="1:25" x14ac:dyDescent="0.2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 t="shared" si="96"/>
        <v>0</v>
      </c>
      <c r="W1573">
        <f t="shared" si="97"/>
        <v>1</v>
      </c>
      <c r="X1573" t="str">
        <f t="shared" si="98"/>
        <v>0-12 Months</v>
      </c>
      <c r="Y1573" s="1" t="str">
        <f t="shared" si="99"/>
        <v>Low</v>
      </c>
    </row>
    <row r="1574" spans="1:25" x14ac:dyDescent="0.2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 t="shared" si="96"/>
        <v>1</v>
      </c>
      <c r="W1574">
        <f t="shared" si="97"/>
        <v>0</v>
      </c>
      <c r="X1574" t="str">
        <f t="shared" si="98"/>
        <v>0-12 Months</v>
      </c>
      <c r="Y1574" s="1" t="str">
        <f t="shared" si="99"/>
        <v>Low</v>
      </c>
    </row>
    <row r="1575" spans="1:25" x14ac:dyDescent="0.2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 t="shared" si="96"/>
        <v>0</v>
      </c>
      <c r="W1575">
        <f t="shared" si="97"/>
        <v>1</v>
      </c>
      <c r="X1575" t="str">
        <f t="shared" si="98"/>
        <v>25-48 Months</v>
      </c>
      <c r="Y1575" s="1" t="str">
        <f t="shared" si="99"/>
        <v>High</v>
      </c>
    </row>
    <row r="1576" spans="1:25" x14ac:dyDescent="0.2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 t="shared" si="96"/>
        <v>0</v>
      </c>
      <c r="W1576">
        <f t="shared" si="97"/>
        <v>1</v>
      </c>
      <c r="X1576" t="str">
        <f t="shared" si="98"/>
        <v>13-24 Months</v>
      </c>
      <c r="Y1576" s="1" t="str">
        <f t="shared" si="99"/>
        <v>Low</v>
      </c>
    </row>
    <row r="1577" spans="1:25" x14ac:dyDescent="0.2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 t="shared" si="96"/>
        <v>1</v>
      </c>
      <c r="W1577">
        <f t="shared" si="97"/>
        <v>0</v>
      </c>
      <c r="X1577" t="str">
        <f t="shared" si="98"/>
        <v>49+ Months</v>
      </c>
      <c r="Y1577" s="1" t="str">
        <f t="shared" si="99"/>
        <v>High</v>
      </c>
    </row>
    <row r="1578" spans="1:25" x14ac:dyDescent="0.2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 t="shared" si="96"/>
        <v>0</v>
      </c>
      <c r="W1578">
        <f t="shared" si="97"/>
        <v>1</v>
      </c>
      <c r="X1578" t="str">
        <f t="shared" si="98"/>
        <v>49+ Months</v>
      </c>
      <c r="Y1578" s="1" t="str">
        <f t="shared" si="99"/>
        <v>Medium</v>
      </c>
    </row>
    <row r="1579" spans="1:25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 t="shared" si="96"/>
        <v>1</v>
      </c>
      <c r="W1579">
        <f t="shared" si="97"/>
        <v>0</v>
      </c>
      <c r="X1579" t="str">
        <f t="shared" si="98"/>
        <v>13-24 Months</v>
      </c>
      <c r="Y1579" s="1" t="str">
        <f t="shared" si="99"/>
        <v>High</v>
      </c>
    </row>
    <row r="1580" spans="1:25" x14ac:dyDescent="0.2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 t="shared" si="96"/>
        <v>1</v>
      </c>
      <c r="W1580">
        <f t="shared" si="97"/>
        <v>0</v>
      </c>
      <c r="X1580" t="str">
        <f t="shared" si="98"/>
        <v>0-12 Months</v>
      </c>
      <c r="Y1580" s="1" t="str">
        <f t="shared" si="99"/>
        <v>Medium</v>
      </c>
    </row>
    <row r="1581" spans="1:25" x14ac:dyDescent="0.2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 t="shared" si="96"/>
        <v>1</v>
      </c>
      <c r="W1581">
        <f t="shared" si="97"/>
        <v>0</v>
      </c>
      <c r="X1581" t="str">
        <f t="shared" si="98"/>
        <v>0-12 Months</v>
      </c>
      <c r="Y1581" s="1" t="str">
        <f t="shared" si="99"/>
        <v>High</v>
      </c>
    </row>
    <row r="1582" spans="1:25" x14ac:dyDescent="0.2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 t="shared" si="96"/>
        <v>0</v>
      </c>
      <c r="W1582">
        <f t="shared" si="97"/>
        <v>1</v>
      </c>
      <c r="X1582" t="str">
        <f t="shared" si="98"/>
        <v>13-24 Months</v>
      </c>
      <c r="Y1582" s="1" t="str">
        <f t="shared" si="99"/>
        <v>Medium</v>
      </c>
    </row>
    <row r="1583" spans="1:25" x14ac:dyDescent="0.2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 t="shared" si="96"/>
        <v>0</v>
      </c>
      <c r="W1583">
        <f t="shared" si="97"/>
        <v>1</v>
      </c>
      <c r="X1583" t="str">
        <f t="shared" si="98"/>
        <v>13-24 Months</v>
      </c>
      <c r="Y1583" s="1" t="str">
        <f t="shared" si="99"/>
        <v>Low</v>
      </c>
    </row>
    <row r="1584" spans="1:25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 t="shared" si="96"/>
        <v>0</v>
      </c>
      <c r="W1584">
        <f t="shared" si="97"/>
        <v>1</v>
      </c>
      <c r="X1584" t="str">
        <f t="shared" si="98"/>
        <v>49+ Months</v>
      </c>
      <c r="Y1584" s="1" t="str">
        <f t="shared" si="99"/>
        <v>Medium</v>
      </c>
    </row>
    <row r="1585" spans="1:25" x14ac:dyDescent="0.2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 t="shared" si="96"/>
        <v>0</v>
      </c>
      <c r="W1585">
        <f t="shared" si="97"/>
        <v>1</v>
      </c>
      <c r="X1585" t="str">
        <f t="shared" si="98"/>
        <v>0-12 Months</v>
      </c>
      <c r="Y1585" s="1" t="str">
        <f t="shared" si="99"/>
        <v>Low</v>
      </c>
    </row>
    <row r="1586" spans="1:25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 t="shared" si="96"/>
        <v>0</v>
      </c>
      <c r="W1586">
        <f t="shared" si="97"/>
        <v>1</v>
      </c>
      <c r="X1586" t="str">
        <f t="shared" si="98"/>
        <v>49+ Months</v>
      </c>
      <c r="Y1586" s="1" t="str">
        <f t="shared" si="99"/>
        <v>Medium</v>
      </c>
    </row>
    <row r="1587" spans="1:25" x14ac:dyDescent="0.2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 t="shared" si="96"/>
        <v>0</v>
      </c>
      <c r="W1587">
        <f t="shared" si="97"/>
        <v>1</v>
      </c>
      <c r="X1587" t="str">
        <f t="shared" si="98"/>
        <v>25-48 Months</v>
      </c>
      <c r="Y1587" s="1" t="str">
        <f t="shared" si="99"/>
        <v>High</v>
      </c>
    </row>
    <row r="1588" spans="1:25" x14ac:dyDescent="0.2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 t="shared" si="96"/>
        <v>0</v>
      </c>
      <c r="W1588">
        <f t="shared" si="97"/>
        <v>1</v>
      </c>
      <c r="X1588" t="str">
        <f t="shared" si="98"/>
        <v>49+ Months</v>
      </c>
      <c r="Y1588" s="1" t="str">
        <f t="shared" si="99"/>
        <v>High</v>
      </c>
    </row>
    <row r="1589" spans="1:25" x14ac:dyDescent="0.2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 t="shared" si="96"/>
        <v>0</v>
      </c>
      <c r="W1589">
        <f t="shared" si="97"/>
        <v>1</v>
      </c>
      <c r="X1589" t="str">
        <f t="shared" si="98"/>
        <v>25-48 Months</v>
      </c>
      <c r="Y1589" s="1" t="str">
        <f t="shared" si="99"/>
        <v>Low</v>
      </c>
    </row>
    <row r="1590" spans="1:25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 t="shared" si="96"/>
        <v>0</v>
      </c>
      <c r="W1590">
        <f t="shared" si="97"/>
        <v>1</v>
      </c>
      <c r="X1590" t="str">
        <f t="shared" si="98"/>
        <v>49+ Months</v>
      </c>
      <c r="Y1590" s="1" t="str">
        <f t="shared" si="99"/>
        <v>High</v>
      </c>
    </row>
    <row r="1591" spans="1:25" x14ac:dyDescent="0.2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 t="shared" si="96"/>
        <v>0</v>
      </c>
      <c r="W1591">
        <f t="shared" si="97"/>
        <v>1</v>
      </c>
      <c r="X1591" t="str">
        <f t="shared" si="98"/>
        <v>0-12 Months</v>
      </c>
      <c r="Y1591" s="1" t="str">
        <f t="shared" si="99"/>
        <v>Medium</v>
      </c>
    </row>
    <row r="1592" spans="1:25" x14ac:dyDescent="0.2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 t="shared" si="96"/>
        <v>0</v>
      </c>
      <c r="W1592">
        <f t="shared" si="97"/>
        <v>1</v>
      </c>
      <c r="X1592" t="str">
        <f t="shared" si="98"/>
        <v>49+ Months</v>
      </c>
      <c r="Y1592" s="1" t="str">
        <f t="shared" si="99"/>
        <v>Low</v>
      </c>
    </row>
    <row r="1593" spans="1:25" x14ac:dyDescent="0.2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 t="shared" si="96"/>
        <v>0</v>
      </c>
      <c r="W1593">
        <f t="shared" si="97"/>
        <v>1</v>
      </c>
      <c r="X1593" t="str">
        <f t="shared" si="98"/>
        <v>13-24 Months</v>
      </c>
      <c r="Y1593" s="1" t="str">
        <f t="shared" si="99"/>
        <v>Low</v>
      </c>
    </row>
    <row r="1594" spans="1:25" x14ac:dyDescent="0.2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 t="shared" si="96"/>
        <v>1</v>
      </c>
      <c r="W1594">
        <f t="shared" si="97"/>
        <v>0</v>
      </c>
      <c r="X1594" t="str">
        <f t="shared" si="98"/>
        <v>25-48 Months</v>
      </c>
      <c r="Y1594" s="1" t="str">
        <f t="shared" si="99"/>
        <v>Medium</v>
      </c>
    </row>
    <row r="1595" spans="1:25" x14ac:dyDescent="0.2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 t="shared" si="96"/>
        <v>0</v>
      </c>
      <c r="W1595">
        <f t="shared" si="97"/>
        <v>1</v>
      </c>
      <c r="X1595" t="str">
        <f t="shared" si="98"/>
        <v>0-12 Months</v>
      </c>
      <c r="Y1595" s="1" t="str">
        <f t="shared" si="99"/>
        <v>Low</v>
      </c>
    </row>
    <row r="1596" spans="1:25" x14ac:dyDescent="0.2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 t="shared" si="96"/>
        <v>0</v>
      </c>
      <c r="W1596">
        <f t="shared" si="97"/>
        <v>1</v>
      </c>
      <c r="X1596" t="str">
        <f t="shared" si="98"/>
        <v>49+ Months</v>
      </c>
      <c r="Y1596" s="1" t="str">
        <f t="shared" si="99"/>
        <v>Low</v>
      </c>
    </row>
    <row r="1597" spans="1:25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 t="shared" si="96"/>
        <v>1</v>
      </c>
      <c r="W1597">
        <f t="shared" si="97"/>
        <v>0</v>
      </c>
      <c r="X1597" t="str">
        <f t="shared" si="98"/>
        <v>0-12 Months</v>
      </c>
      <c r="Y1597" s="1" t="str">
        <f t="shared" si="99"/>
        <v>Medium</v>
      </c>
    </row>
    <row r="1598" spans="1:25" x14ac:dyDescent="0.2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 t="shared" si="96"/>
        <v>0</v>
      </c>
      <c r="W1598">
        <f t="shared" si="97"/>
        <v>1</v>
      </c>
      <c r="X1598" t="str">
        <f t="shared" si="98"/>
        <v>0-12 Months</v>
      </c>
      <c r="Y1598" s="1" t="str">
        <f t="shared" si="99"/>
        <v>Medium</v>
      </c>
    </row>
    <row r="1599" spans="1:25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 t="shared" si="96"/>
        <v>0</v>
      </c>
      <c r="W1599">
        <f t="shared" si="97"/>
        <v>1</v>
      </c>
      <c r="X1599" t="str">
        <f t="shared" si="98"/>
        <v>25-48 Months</v>
      </c>
      <c r="Y1599" s="1" t="str">
        <f t="shared" si="99"/>
        <v>High</v>
      </c>
    </row>
    <row r="1600" spans="1:25" x14ac:dyDescent="0.2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 t="shared" si="96"/>
        <v>0</v>
      </c>
      <c r="W1600">
        <f t="shared" si="97"/>
        <v>1</v>
      </c>
      <c r="X1600" t="str">
        <f t="shared" si="98"/>
        <v>25-48 Months</v>
      </c>
      <c r="Y1600" s="1" t="str">
        <f t="shared" si="99"/>
        <v>Low</v>
      </c>
    </row>
    <row r="1601" spans="1:25" x14ac:dyDescent="0.2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 t="shared" si="96"/>
        <v>0</v>
      </c>
      <c r="W1601">
        <f t="shared" si="97"/>
        <v>1</v>
      </c>
      <c r="X1601" t="str">
        <f t="shared" si="98"/>
        <v>49+ Months</v>
      </c>
      <c r="Y1601" s="1" t="str">
        <f t="shared" si="99"/>
        <v>High</v>
      </c>
    </row>
    <row r="1602" spans="1:25" x14ac:dyDescent="0.2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 t="shared" ref="V1602:V1665" si="100">IF(U1602="Yes",1,0)</f>
        <v>1</v>
      </c>
      <c r="W1602">
        <f t="shared" ref="W1602:W1665" si="101">IF(U1602="No",1,0)</f>
        <v>0</v>
      </c>
      <c r="X1602" t="str">
        <f t="shared" ref="X1602:X1665" si="102">IF(F1602&lt;=12,"0-12 Months",IF(F1602&lt;=24,"13-24 Months",IF(F1602&lt;=48,"25-48 Months","49+ Months")))</f>
        <v>0-12 Months</v>
      </c>
      <c r="Y1602" s="1" t="str">
        <f t="shared" ref="Y1602:Y1665" si="103">IF(S1602&lt;50,"Low",IF(S1602&lt;80,"Medium","High"))</f>
        <v>High</v>
      </c>
    </row>
    <row r="1603" spans="1:25" x14ac:dyDescent="0.2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 t="shared" si="100"/>
        <v>0</v>
      </c>
      <c r="W1603">
        <f t="shared" si="101"/>
        <v>1</v>
      </c>
      <c r="X1603" t="str">
        <f t="shared" si="102"/>
        <v>25-48 Months</v>
      </c>
      <c r="Y1603" s="1" t="str">
        <f t="shared" si="103"/>
        <v>High</v>
      </c>
    </row>
    <row r="1604" spans="1:25" x14ac:dyDescent="0.2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 t="shared" si="100"/>
        <v>1</v>
      </c>
      <c r="W1604">
        <f t="shared" si="101"/>
        <v>0</v>
      </c>
      <c r="X1604" t="str">
        <f t="shared" si="102"/>
        <v>25-48 Months</v>
      </c>
      <c r="Y1604" s="1" t="str">
        <f t="shared" si="103"/>
        <v>High</v>
      </c>
    </row>
    <row r="1605" spans="1:25" x14ac:dyDescent="0.2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 t="shared" si="100"/>
        <v>1</v>
      </c>
      <c r="W1605">
        <f t="shared" si="101"/>
        <v>0</v>
      </c>
      <c r="X1605" t="str">
        <f t="shared" si="102"/>
        <v>13-24 Months</v>
      </c>
      <c r="Y1605" s="1" t="str">
        <f t="shared" si="103"/>
        <v>Medium</v>
      </c>
    </row>
    <row r="1606" spans="1:25" x14ac:dyDescent="0.2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 t="shared" si="100"/>
        <v>0</v>
      </c>
      <c r="W1606">
        <f t="shared" si="101"/>
        <v>1</v>
      </c>
      <c r="X1606" t="str">
        <f t="shared" si="102"/>
        <v>49+ Months</v>
      </c>
      <c r="Y1606" s="1" t="str">
        <f t="shared" si="103"/>
        <v>High</v>
      </c>
    </row>
    <row r="1607" spans="1:25" x14ac:dyDescent="0.2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 t="shared" si="100"/>
        <v>0</v>
      </c>
      <c r="W1607">
        <f t="shared" si="101"/>
        <v>1</v>
      </c>
      <c r="X1607" t="str">
        <f t="shared" si="102"/>
        <v>49+ Months</v>
      </c>
      <c r="Y1607" s="1" t="str">
        <f t="shared" si="103"/>
        <v>Low</v>
      </c>
    </row>
    <row r="1608" spans="1:25" x14ac:dyDescent="0.2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 t="shared" si="100"/>
        <v>0</v>
      </c>
      <c r="W1608">
        <f t="shared" si="101"/>
        <v>1</v>
      </c>
      <c r="X1608" t="str">
        <f t="shared" si="102"/>
        <v>49+ Months</v>
      </c>
      <c r="Y1608" s="1" t="str">
        <f t="shared" si="103"/>
        <v>High</v>
      </c>
    </row>
    <row r="1609" spans="1:25" x14ac:dyDescent="0.2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 t="shared" si="100"/>
        <v>1</v>
      </c>
      <c r="W1609">
        <f t="shared" si="101"/>
        <v>0</v>
      </c>
      <c r="X1609" t="str">
        <f t="shared" si="102"/>
        <v>13-24 Months</v>
      </c>
      <c r="Y1609" s="1" t="str">
        <f t="shared" si="103"/>
        <v>High</v>
      </c>
    </row>
    <row r="1610" spans="1:25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 t="shared" si="100"/>
        <v>0</v>
      </c>
      <c r="W1610">
        <f t="shared" si="101"/>
        <v>1</v>
      </c>
      <c r="X1610" t="str">
        <f t="shared" si="102"/>
        <v>13-24 Months</v>
      </c>
      <c r="Y1610" s="1" t="str">
        <f t="shared" si="103"/>
        <v>Low</v>
      </c>
    </row>
    <row r="1611" spans="1:25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 t="shared" si="100"/>
        <v>0</v>
      </c>
      <c r="W1611">
        <f t="shared" si="101"/>
        <v>1</v>
      </c>
      <c r="X1611" t="str">
        <f t="shared" si="102"/>
        <v>49+ Months</v>
      </c>
      <c r="Y1611" s="1" t="str">
        <f t="shared" si="103"/>
        <v>High</v>
      </c>
    </row>
    <row r="1612" spans="1:25" x14ac:dyDescent="0.2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 t="shared" si="100"/>
        <v>0</v>
      </c>
      <c r="W1612">
        <f t="shared" si="101"/>
        <v>1</v>
      </c>
      <c r="X1612" t="str">
        <f t="shared" si="102"/>
        <v>49+ Months</v>
      </c>
      <c r="Y1612" s="1" t="str">
        <f t="shared" si="103"/>
        <v>Medium</v>
      </c>
    </row>
    <row r="1613" spans="1:25" x14ac:dyDescent="0.2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 t="shared" si="100"/>
        <v>0</v>
      </c>
      <c r="W1613">
        <f t="shared" si="101"/>
        <v>1</v>
      </c>
      <c r="X1613" t="str">
        <f t="shared" si="102"/>
        <v>49+ Months</v>
      </c>
      <c r="Y1613" s="1" t="str">
        <f t="shared" si="103"/>
        <v>High</v>
      </c>
    </row>
    <row r="1614" spans="1:25" x14ac:dyDescent="0.2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 t="shared" si="100"/>
        <v>1</v>
      </c>
      <c r="W1614">
        <f t="shared" si="101"/>
        <v>0</v>
      </c>
      <c r="X1614" t="str">
        <f t="shared" si="102"/>
        <v>49+ Months</v>
      </c>
      <c r="Y1614" s="1" t="str">
        <f t="shared" si="103"/>
        <v>High</v>
      </c>
    </row>
    <row r="1615" spans="1:25" x14ac:dyDescent="0.2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 t="shared" si="100"/>
        <v>0</v>
      </c>
      <c r="W1615">
        <f t="shared" si="101"/>
        <v>1</v>
      </c>
      <c r="X1615" t="str">
        <f t="shared" si="102"/>
        <v>25-48 Months</v>
      </c>
      <c r="Y1615" s="1" t="str">
        <f t="shared" si="103"/>
        <v>Low</v>
      </c>
    </row>
    <row r="1616" spans="1:25" x14ac:dyDescent="0.2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 t="shared" si="100"/>
        <v>0</v>
      </c>
      <c r="W1616">
        <f t="shared" si="101"/>
        <v>1</v>
      </c>
      <c r="X1616" t="str">
        <f t="shared" si="102"/>
        <v>49+ Months</v>
      </c>
      <c r="Y1616" s="1" t="str">
        <f t="shared" si="103"/>
        <v>Medium</v>
      </c>
    </row>
    <row r="1617" spans="1:25" x14ac:dyDescent="0.2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 t="shared" si="100"/>
        <v>0</v>
      </c>
      <c r="W1617">
        <f t="shared" si="101"/>
        <v>1</v>
      </c>
      <c r="X1617" t="str">
        <f t="shared" si="102"/>
        <v>49+ Months</v>
      </c>
      <c r="Y1617" s="1" t="str">
        <f t="shared" si="103"/>
        <v>Low</v>
      </c>
    </row>
    <row r="1618" spans="1:25" x14ac:dyDescent="0.2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 t="shared" si="100"/>
        <v>0</v>
      </c>
      <c r="W1618">
        <f t="shared" si="101"/>
        <v>1</v>
      </c>
      <c r="X1618" t="str">
        <f t="shared" si="102"/>
        <v>49+ Months</v>
      </c>
      <c r="Y1618" s="1" t="str">
        <f t="shared" si="103"/>
        <v>Low</v>
      </c>
    </row>
    <row r="1619" spans="1:25" x14ac:dyDescent="0.2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 t="shared" si="100"/>
        <v>0</v>
      </c>
      <c r="W1619">
        <f t="shared" si="101"/>
        <v>1</v>
      </c>
      <c r="X1619" t="str">
        <f t="shared" si="102"/>
        <v>25-48 Months</v>
      </c>
      <c r="Y1619" s="1" t="str">
        <f t="shared" si="103"/>
        <v>Medium</v>
      </c>
    </row>
    <row r="1620" spans="1:25" x14ac:dyDescent="0.2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 t="shared" si="100"/>
        <v>1</v>
      </c>
      <c r="W1620">
        <f t="shared" si="101"/>
        <v>0</v>
      </c>
      <c r="X1620" t="str">
        <f t="shared" si="102"/>
        <v>13-24 Months</v>
      </c>
      <c r="Y1620" s="1" t="str">
        <f t="shared" si="103"/>
        <v>High</v>
      </c>
    </row>
    <row r="1621" spans="1:25" x14ac:dyDescent="0.2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 t="shared" si="100"/>
        <v>0</v>
      </c>
      <c r="W1621">
        <f t="shared" si="101"/>
        <v>1</v>
      </c>
      <c r="X1621" t="str">
        <f t="shared" si="102"/>
        <v>49+ Months</v>
      </c>
      <c r="Y1621" s="1" t="str">
        <f t="shared" si="103"/>
        <v>High</v>
      </c>
    </row>
    <row r="1622" spans="1:25" x14ac:dyDescent="0.2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 t="shared" si="100"/>
        <v>0</v>
      </c>
      <c r="W1622">
        <f t="shared" si="101"/>
        <v>1</v>
      </c>
      <c r="X1622" t="str">
        <f t="shared" si="102"/>
        <v>0-12 Months</v>
      </c>
      <c r="Y1622" s="1" t="str">
        <f t="shared" si="103"/>
        <v>Low</v>
      </c>
    </row>
    <row r="1623" spans="1:25" x14ac:dyDescent="0.2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 t="shared" si="100"/>
        <v>1</v>
      </c>
      <c r="W1623">
        <f t="shared" si="101"/>
        <v>0</v>
      </c>
      <c r="X1623" t="str">
        <f t="shared" si="102"/>
        <v>25-48 Months</v>
      </c>
      <c r="Y1623" s="1" t="str">
        <f t="shared" si="103"/>
        <v>High</v>
      </c>
    </row>
    <row r="1624" spans="1:25" x14ac:dyDescent="0.2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 t="shared" si="100"/>
        <v>0</v>
      </c>
      <c r="W1624">
        <f t="shared" si="101"/>
        <v>1</v>
      </c>
      <c r="X1624" t="str">
        <f t="shared" si="102"/>
        <v>25-48 Months</v>
      </c>
      <c r="Y1624" s="1" t="str">
        <f t="shared" si="103"/>
        <v>Medium</v>
      </c>
    </row>
    <row r="1625" spans="1:25" x14ac:dyDescent="0.2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 t="shared" si="100"/>
        <v>0</v>
      </c>
      <c r="W1625">
        <f t="shared" si="101"/>
        <v>1</v>
      </c>
      <c r="X1625" t="str">
        <f t="shared" si="102"/>
        <v>49+ Months</v>
      </c>
      <c r="Y1625" s="1" t="str">
        <f t="shared" si="103"/>
        <v>High</v>
      </c>
    </row>
    <row r="1626" spans="1:25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 t="shared" si="100"/>
        <v>1</v>
      </c>
      <c r="W1626">
        <f t="shared" si="101"/>
        <v>0</v>
      </c>
      <c r="X1626" t="str">
        <f t="shared" si="102"/>
        <v>49+ Months</v>
      </c>
      <c r="Y1626" s="1" t="str">
        <f t="shared" si="103"/>
        <v>High</v>
      </c>
    </row>
    <row r="1627" spans="1:25" x14ac:dyDescent="0.2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 t="shared" si="100"/>
        <v>1</v>
      </c>
      <c r="W1627">
        <f t="shared" si="101"/>
        <v>0</v>
      </c>
      <c r="X1627" t="str">
        <f t="shared" si="102"/>
        <v>0-12 Months</v>
      </c>
      <c r="Y1627" s="1" t="str">
        <f t="shared" si="103"/>
        <v>Medium</v>
      </c>
    </row>
    <row r="1628" spans="1:25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 t="shared" si="100"/>
        <v>0</v>
      </c>
      <c r="W1628">
        <f t="shared" si="101"/>
        <v>1</v>
      </c>
      <c r="X1628" t="str">
        <f t="shared" si="102"/>
        <v>13-24 Months</v>
      </c>
      <c r="Y1628" s="1" t="str">
        <f t="shared" si="103"/>
        <v>Medium</v>
      </c>
    </row>
    <row r="1629" spans="1:25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 t="shared" si="100"/>
        <v>0</v>
      </c>
      <c r="W1629">
        <f t="shared" si="101"/>
        <v>1</v>
      </c>
      <c r="X1629" t="str">
        <f t="shared" si="102"/>
        <v>0-12 Months</v>
      </c>
      <c r="Y1629" s="1" t="str">
        <f t="shared" si="103"/>
        <v>Medium</v>
      </c>
    </row>
    <row r="1630" spans="1:25" x14ac:dyDescent="0.2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 t="shared" si="100"/>
        <v>0</v>
      </c>
      <c r="W1630">
        <f t="shared" si="101"/>
        <v>1</v>
      </c>
      <c r="X1630" t="str">
        <f t="shared" si="102"/>
        <v>25-48 Months</v>
      </c>
      <c r="Y1630" s="1" t="str">
        <f t="shared" si="103"/>
        <v>High</v>
      </c>
    </row>
    <row r="1631" spans="1:25" x14ac:dyDescent="0.2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 t="shared" si="100"/>
        <v>0</v>
      </c>
      <c r="W1631">
        <f t="shared" si="101"/>
        <v>1</v>
      </c>
      <c r="X1631" t="str">
        <f t="shared" si="102"/>
        <v>49+ Months</v>
      </c>
      <c r="Y1631" s="1" t="str">
        <f t="shared" si="103"/>
        <v>Medium</v>
      </c>
    </row>
    <row r="1632" spans="1:25" x14ac:dyDescent="0.2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 t="shared" si="100"/>
        <v>0</v>
      </c>
      <c r="W1632">
        <f t="shared" si="101"/>
        <v>1</v>
      </c>
      <c r="X1632" t="str">
        <f t="shared" si="102"/>
        <v>25-48 Months</v>
      </c>
      <c r="Y1632" s="1" t="str">
        <f t="shared" si="103"/>
        <v>High</v>
      </c>
    </row>
    <row r="1633" spans="1:25" x14ac:dyDescent="0.2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 t="shared" si="100"/>
        <v>1</v>
      </c>
      <c r="W1633">
        <f t="shared" si="101"/>
        <v>0</v>
      </c>
      <c r="X1633" t="str">
        <f t="shared" si="102"/>
        <v>13-24 Months</v>
      </c>
      <c r="Y1633" s="1" t="str">
        <f t="shared" si="103"/>
        <v>High</v>
      </c>
    </row>
    <row r="1634" spans="1:25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 t="shared" si="100"/>
        <v>1</v>
      </c>
      <c r="W1634">
        <f t="shared" si="101"/>
        <v>0</v>
      </c>
      <c r="X1634" t="str">
        <f t="shared" si="102"/>
        <v>25-48 Months</v>
      </c>
      <c r="Y1634" s="1" t="str">
        <f t="shared" si="103"/>
        <v>High</v>
      </c>
    </row>
    <row r="1635" spans="1:25" x14ac:dyDescent="0.2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 t="shared" si="100"/>
        <v>0</v>
      </c>
      <c r="W1635">
        <f t="shared" si="101"/>
        <v>1</v>
      </c>
      <c r="X1635" t="str">
        <f t="shared" si="102"/>
        <v>0-12 Months</v>
      </c>
      <c r="Y1635" s="1" t="str">
        <f t="shared" si="103"/>
        <v>Low</v>
      </c>
    </row>
    <row r="1636" spans="1:25" x14ac:dyDescent="0.2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 t="shared" si="100"/>
        <v>0</v>
      </c>
      <c r="W1636">
        <f t="shared" si="101"/>
        <v>1</v>
      </c>
      <c r="X1636" t="str">
        <f t="shared" si="102"/>
        <v>49+ Months</v>
      </c>
      <c r="Y1636" s="1" t="str">
        <f t="shared" si="103"/>
        <v>Medium</v>
      </c>
    </row>
    <row r="1637" spans="1:25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 t="shared" si="100"/>
        <v>0</v>
      </c>
      <c r="W1637">
        <f t="shared" si="101"/>
        <v>1</v>
      </c>
      <c r="X1637" t="str">
        <f t="shared" si="102"/>
        <v>0-12 Months</v>
      </c>
      <c r="Y1637" s="1" t="str">
        <f t="shared" si="103"/>
        <v>Medium</v>
      </c>
    </row>
    <row r="1638" spans="1:25" x14ac:dyDescent="0.2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 t="shared" si="100"/>
        <v>0</v>
      </c>
      <c r="W1638">
        <f t="shared" si="101"/>
        <v>1</v>
      </c>
      <c r="X1638" t="str">
        <f t="shared" si="102"/>
        <v>25-48 Months</v>
      </c>
      <c r="Y1638" s="1" t="str">
        <f t="shared" si="103"/>
        <v>Low</v>
      </c>
    </row>
    <row r="1639" spans="1:25" x14ac:dyDescent="0.2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 t="shared" si="100"/>
        <v>0</v>
      </c>
      <c r="W1639">
        <f t="shared" si="101"/>
        <v>1</v>
      </c>
      <c r="X1639" t="str">
        <f t="shared" si="102"/>
        <v>49+ Months</v>
      </c>
      <c r="Y1639" s="1" t="str">
        <f t="shared" si="103"/>
        <v>Low</v>
      </c>
    </row>
    <row r="1640" spans="1:25" x14ac:dyDescent="0.2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 t="shared" si="100"/>
        <v>0</v>
      </c>
      <c r="W1640">
        <f t="shared" si="101"/>
        <v>1</v>
      </c>
      <c r="X1640" t="str">
        <f t="shared" si="102"/>
        <v>49+ Months</v>
      </c>
      <c r="Y1640" s="1" t="str">
        <f t="shared" si="103"/>
        <v>High</v>
      </c>
    </row>
    <row r="1641" spans="1:25" x14ac:dyDescent="0.2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 t="shared" si="100"/>
        <v>1</v>
      </c>
      <c r="W1641">
        <f t="shared" si="101"/>
        <v>0</v>
      </c>
      <c r="X1641" t="str">
        <f t="shared" si="102"/>
        <v>13-24 Months</v>
      </c>
      <c r="Y1641" s="1" t="str">
        <f t="shared" si="103"/>
        <v>Low</v>
      </c>
    </row>
    <row r="1642" spans="1:25" x14ac:dyDescent="0.2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 t="shared" si="100"/>
        <v>0</v>
      </c>
      <c r="W1642">
        <f t="shared" si="101"/>
        <v>1</v>
      </c>
      <c r="X1642" t="str">
        <f t="shared" si="102"/>
        <v>0-12 Months</v>
      </c>
      <c r="Y1642" s="1" t="str">
        <f t="shared" si="103"/>
        <v>Low</v>
      </c>
    </row>
    <row r="1643" spans="1:25" x14ac:dyDescent="0.2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 t="shared" si="100"/>
        <v>0</v>
      </c>
      <c r="W1643">
        <f t="shared" si="101"/>
        <v>1</v>
      </c>
      <c r="X1643" t="str">
        <f t="shared" si="102"/>
        <v>49+ Months</v>
      </c>
      <c r="Y1643" s="1" t="str">
        <f t="shared" si="103"/>
        <v>High</v>
      </c>
    </row>
    <row r="1644" spans="1:25" x14ac:dyDescent="0.2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 t="shared" si="100"/>
        <v>0</v>
      </c>
      <c r="W1644">
        <f t="shared" si="101"/>
        <v>1</v>
      </c>
      <c r="X1644" t="str">
        <f t="shared" si="102"/>
        <v>25-48 Months</v>
      </c>
      <c r="Y1644" s="1" t="str">
        <f t="shared" si="103"/>
        <v>Low</v>
      </c>
    </row>
    <row r="1645" spans="1:25" x14ac:dyDescent="0.2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 t="shared" si="100"/>
        <v>0</v>
      </c>
      <c r="W1645">
        <f t="shared" si="101"/>
        <v>1</v>
      </c>
      <c r="X1645" t="str">
        <f t="shared" si="102"/>
        <v>25-48 Months</v>
      </c>
      <c r="Y1645" s="1" t="str">
        <f t="shared" si="103"/>
        <v>High</v>
      </c>
    </row>
    <row r="1646" spans="1:25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 t="shared" si="100"/>
        <v>1</v>
      </c>
      <c r="W1646">
        <f t="shared" si="101"/>
        <v>0</v>
      </c>
      <c r="X1646" t="str">
        <f t="shared" si="102"/>
        <v>25-48 Months</v>
      </c>
      <c r="Y1646" s="1" t="str">
        <f t="shared" si="103"/>
        <v>High</v>
      </c>
    </row>
    <row r="1647" spans="1:25" x14ac:dyDescent="0.2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 t="shared" si="100"/>
        <v>1</v>
      </c>
      <c r="W1647">
        <f t="shared" si="101"/>
        <v>0</v>
      </c>
      <c r="X1647" t="str">
        <f t="shared" si="102"/>
        <v>25-48 Months</v>
      </c>
      <c r="Y1647" s="1" t="str">
        <f t="shared" si="103"/>
        <v>High</v>
      </c>
    </row>
    <row r="1648" spans="1:25" x14ac:dyDescent="0.2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 t="shared" si="100"/>
        <v>0</v>
      </c>
      <c r="W1648">
        <f t="shared" si="101"/>
        <v>1</v>
      </c>
      <c r="X1648" t="str">
        <f t="shared" si="102"/>
        <v>49+ Months</v>
      </c>
      <c r="Y1648" s="1" t="str">
        <f t="shared" si="103"/>
        <v>Medium</v>
      </c>
    </row>
    <row r="1649" spans="1:25" x14ac:dyDescent="0.2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 t="shared" si="100"/>
        <v>1</v>
      </c>
      <c r="W1649">
        <f t="shared" si="101"/>
        <v>0</v>
      </c>
      <c r="X1649" t="str">
        <f t="shared" si="102"/>
        <v>0-12 Months</v>
      </c>
      <c r="Y1649" s="1" t="str">
        <f t="shared" si="103"/>
        <v>Medium</v>
      </c>
    </row>
    <row r="1650" spans="1:25" x14ac:dyDescent="0.2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 t="shared" si="100"/>
        <v>0</v>
      </c>
      <c r="W1650">
        <f t="shared" si="101"/>
        <v>1</v>
      </c>
      <c r="X1650" t="str">
        <f t="shared" si="102"/>
        <v>49+ Months</v>
      </c>
      <c r="Y1650" s="1" t="str">
        <f t="shared" si="103"/>
        <v>High</v>
      </c>
    </row>
    <row r="1651" spans="1:25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 t="shared" si="100"/>
        <v>0</v>
      </c>
      <c r="W1651">
        <f t="shared" si="101"/>
        <v>1</v>
      </c>
      <c r="X1651" t="str">
        <f t="shared" si="102"/>
        <v>25-48 Months</v>
      </c>
      <c r="Y1651" s="1" t="str">
        <f t="shared" si="103"/>
        <v>Medium</v>
      </c>
    </row>
    <row r="1652" spans="1:25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 t="shared" si="100"/>
        <v>1</v>
      </c>
      <c r="W1652">
        <f t="shared" si="101"/>
        <v>0</v>
      </c>
      <c r="X1652" t="str">
        <f t="shared" si="102"/>
        <v>0-12 Months</v>
      </c>
      <c r="Y1652" s="1" t="str">
        <f t="shared" si="103"/>
        <v>High</v>
      </c>
    </row>
    <row r="1653" spans="1:25" x14ac:dyDescent="0.2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 t="shared" si="100"/>
        <v>1</v>
      </c>
      <c r="W1653">
        <f t="shared" si="101"/>
        <v>0</v>
      </c>
      <c r="X1653" t="str">
        <f t="shared" si="102"/>
        <v>0-12 Months</v>
      </c>
      <c r="Y1653" s="1" t="str">
        <f t="shared" si="103"/>
        <v>Medium</v>
      </c>
    </row>
    <row r="1654" spans="1:25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 t="shared" si="100"/>
        <v>0</v>
      </c>
      <c r="W1654">
        <f t="shared" si="101"/>
        <v>1</v>
      </c>
      <c r="X1654" t="str">
        <f t="shared" si="102"/>
        <v>13-24 Months</v>
      </c>
      <c r="Y1654" s="1" t="str">
        <f t="shared" si="103"/>
        <v>Low</v>
      </c>
    </row>
    <row r="1655" spans="1:25" x14ac:dyDescent="0.2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 t="shared" si="100"/>
        <v>0</v>
      </c>
      <c r="W1655">
        <f t="shared" si="101"/>
        <v>1</v>
      </c>
      <c r="X1655" t="str">
        <f t="shared" si="102"/>
        <v>49+ Months</v>
      </c>
      <c r="Y1655" s="1" t="str">
        <f t="shared" si="103"/>
        <v>Low</v>
      </c>
    </row>
    <row r="1656" spans="1:25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 t="shared" si="100"/>
        <v>0</v>
      </c>
      <c r="W1656">
        <f t="shared" si="101"/>
        <v>1</v>
      </c>
      <c r="X1656" t="str">
        <f t="shared" si="102"/>
        <v>0-12 Months</v>
      </c>
      <c r="Y1656" s="1" t="str">
        <f t="shared" si="103"/>
        <v>Low</v>
      </c>
    </row>
    <row r="1657" spans="1:25" x14ac:dyDescent="0.2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 t="shared" si="100"/>
        <v>1</v>
      </c>
      <c r="W1657">
        <f t="shared" si="101"/>
        <v>0</v>
      </c>
      <c r="X1657" t="str">
        <f t="shared" si="102"/>
        <v>0-12 Months</v>
      </c>
      <c r="Y1657" s="1" t="str">
        <f t="shared" si="103"/>
        <v>Low</v>
      </c>
    </row>
    <row r="1658" spans="1:25" x14ac:dyDescent="0.2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 t="shared" si="100"/>
        <v>0</v>
      </c>
      <c r="W1658">
        <f t="shared" si="101"/>
        <v>1</v>
      </c>
      <c r="X1658" t="str">
        <f t="shared" si="102"/>
        <v>49+ Months</v>
      </c>
      <c r="Y1658" s="1" t="str">
        <f t="shared" si="103"/>
        <v>High</v>
      </c>
    </row>
    <row r="1659" spans="1:25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 t="shared" si="100"/>
        <v>0</v>
      </c>
      <c r="W1659">
        <f t="shared" si="101"/>
        <v>1</v>
      </c>
      <c r="X1659" t="str">
        <f t="shared" si="102"/>
        <v>25-48 Months</v>
      </c>
      <c r="Y1659" s="1" t="str">
        <f t="shared" si="103"/>
        <v>Low</v>
      </c>
    </row>
    <row r="1660" spans="1:25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 t="shared" si="100"/>
        <v>1</v>
      </c>
      <c r="W1660">
        <f t="shared" si="101"/>
        <v>0</v>
      </c>
      <c r="X1660" t="str">
        <f t="shared" si="102"/>
        <v>49+ Months</v>
      </c>
      <c r="Y1660" s="1" t="str">
        <f t="shared" si="103"/>
        <v>High</v>
      </c>
    </row>
    <row r="1661" spans="1:25" x14ac:dyDescent="0.2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 t="shared" si="100"/>
        <v>0</v>
      </c>
      <c r="W1661">
        <f t="shared" si="101"/>
        <v>1</v>
      </c>
      <c r="X1661" t="str">
        <f t="shared" si="102"/>
        <v>49+ Months</v>
      </c>
      <c r="Y1661" s="1" t="str">
        <f t="shared" si="103"/>
        <v>Medium</v>
      </c>
    </row>
    <row r="1662" spans="1:25" x14ac:dyDescent="0.2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 t="shared" si="100"/>
        <v>0</v>
      </c>
      <c r="W1662">
        <f t="shared" si="101"/>
        <v>1</v>
      </c>
      <c r="X1662" t="str">
        <f t="shared" si="102"/>
        <v>25-48 Months</v>
      </c>
      <c r="Y1662" s="1" t="str">
        <f t="shared" si="103"/>
        <v>Low</v>
      </c>
    </row>
    <row r="1663" spans="1:25" x14ac:dyDescent="0.2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 t="shared" si="100"/>
        <v>0</v>
      </c>
      <c r="W1663">
        <f t="shared" si="101"/>
        <v>1</v>
      </c>
      <c r="X1663" t="str">
        <f t="shared" si="102"/>
        <v>49+ Months</v>
      </c>
      <c r="Y1663" s="1" t="str">
        <f t="shared" si="103"/>
        <v>High</v>
      </c>
    </row>
    <row r="1664" spans="1:25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 t="shared" si="100"/>
        <v>1</v>
      </c>
      <c r="W1664">
        <f t="shared" si="101"/>
        <v>0</v>
      </c>
      <c r="X1664" t="str">
        <f t="shared" si="102"/>
        <v>0-12 Months</v>
      </c>
      <c r="Y1664" s="1" t="str">
        <f t="shared" si="103"/>
        <v>Medium</v>
      </c>
    </row>
    <row r="1665" spans="1:25" x14ac:dyDescent="0.2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 t="shared" si="100"/>
        <v>1</v>
      </c>
      <c r="W1665">
        <f t="shared" si="101"/>
        <v>0</v>
      </c>
      <c r="X1665" t="str">
        <f t="shared" si="102"/>
        <v>49+ Months</v>
      </c>
      <c r="Y1665" s="1" t="str">
        <f t="shared" si="103"/>
        <v>High</v>
      </c>
    </row>
    <row r="1666" spans="1:25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 t="shared" ref="V1666:V1729" si="104">IF(U1666="Yes",1,0)</f>
        <v>1</v>
      </c>
      <c r="W1666">
        <f t="shared" ref="W1666:W1729" si="105">IF(U1666="No",1,0)</f>
        <v>0</v>
      </c>
      <c r="X1666" t="str">
        <f t="shared" ref="X1666:X1729" si="106">IF(F1666&lt;=12,"0-12 Months",IF(F1666&lt;=24,"13-24 Months",IF(F1666&lt;=48,"25-48 Months","49+ Months")))</f>
        <v>25-48 Months</v>
      </c>
      <c r="Y1666" s="1" t="str">
        <f t="shared" ref="Y1666:Y1729" si="107">IF(S1666&lt;50,"Low",IF(S1666&lt;80,"Medium","High"))</f>
        <v>High</v>
      </c>
    </row>
    <row r="1667" spans="1:25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 t="shared" si="104"/>
        <v>0</v>
      </c>
      <c r="W1667">
        <f t="shared" si="105"/>
        <v>1</v>
      </c>
      <c r="X1667" t="str">
        <f t="shared" si="106"/>
        <v>0-12 Months</v>
      </c>
      <c r="Y1667" s="1" t="str">
        <f t="shared" si="107"/>
        <v>Medium</v>
      </c>
    </row>
    <row r="1668" spans="1:25" x14ac:dyDescent="0.2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 t="shared" si="104"/>
        <v>0</v>
      </c>
      <c r="W1668">
        <f t="shared" si="105"/>
        <v>1</v>
      </c>
      <c r="X1668" t="str">
        <f t="shared" si="106"/>
        <v>0-12 Months</v>
      </c>
      <c r="Y1668" s="1" t="str">
        <f t="shared" si="107"/>
        <v>Low</v>
      </c>
    </row>
    <row r="1669" spans="1:25" x14ac:dyDescent="0.2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 t="shared" si="104"/>
        <v>0</v>
      </c>
      <c r="W1669">
        <f t="shared" si="105"/>
        <v>1</v>
      </c>
      <c r="X1669" t="str">
        <f t="shared" si="106"/>
        <v>13-24 Months</v>
      </c>
      <c r="Y1669" s="1" t="str">
        <f t="shared" si="107"/>
        <v>Low</v>
      </c>
    </row>
    <row r="1670" spans="1:25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 t="shared" si="104"/>
        <v>0</v>
      </c>
      <c r="W1670">
        <f t="shared" si="105"/>
        <v>1</v>
      </c>
      <c r="X1670" t="str">
        <f t="shared" si="106"/>
        <v>25-48 Months</v>
      </c>
      <c r="Y1670" s="1" t="str">
        <f t="shared" si="107"/>
        <v>High</v>
      </c>
    </row>
    <row r="1671" spans="1:25" x14ac:dyDescent="0.2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 t="shared" si="104"/>
        <v>0</v>
      </c>
      <c r="W1671">
        <f t="shared" si="105"/>
        <v>1</v>
      </c>
      <c r="X1671" t="str">
        <f t="shared" si="106"/>
        <v>0-12 Months</v>
      </c>
      <c r="Y1671" s="1" t="str">
        <f t="shared" si="107"/>
        <v>Medium</v>
      </c>
    </row>
    <row r="1672" spans="1:25" x14ac:dyDescent="0.2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 t="shared" si="104"/>
        <v>1</v>
      </c>
      <c r="W1672">
        <f t="shared" si="105"/>
        <v>0</v>
      </c>
      <c r="X1672" t="str">
        <f t="shared" si="106"/>
        <v>0-12 Months</v>
      </c>
      <c r="Y1672" s="1" t="str">
        <f t="shared" si="107"/>
        <v>Medium</v>
      </c>
    </row>
    <row r="1673" spans="1:25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 t="shared" si="104"/>
        <v>0</v>
      </c>
      <c r="W1673">
        <f t="shared" si="105"/>
        <v>1</v>
      </c>
      <c r="X1673" t="str">
        <f t="shared" si="106"/>
        <v>49+ Months</v>
      </c>
      <c r="Y1673" s="1" t="str">
        <f t="shared" si="107"/>
        <v>High</v>
      </c>
    </row>
    <row r="1674" spans="1:25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 t="shared" si="104"/>
        <v>0</v>
      </c>
      <c r="W1674">
        <f t="shared" si="105"/>
        <v>1</v>
      </c>
      <c r="X1674" t="str">
        <f t="shared" si="106"/>
        <v>49+ Months</v>
      </c>
      <c r="Y1674" s="1" t="str">
        <f t="shared" si="107"/>
        <v>Medium</v>
      </c>
    </row>
    <row r="1675" spans="1:25" x14ac:dyDescent="0.2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 t="shared" si="104"/>
        <v>1</v>
      </c>
      <c r="W1675">
        <f t="shared" si="105"/>
        <v>0</v>
      </c>
      <c r="X1675" t="str">
        <f t="shared" si="106"/>
        <v>25-48 Months</v>
      </c>
      <c r="Y1675" s="1" t="str">
        <f t="shared" si="107"/>
        <v>High</v>
      </c>
    </row>
    <row r="1676" spans="1:25" x14ac:dyDescent="0.2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 t="shared" si="104"/>
        <v>0</v>
      </c>
      <c r="W1676">
        <f t="shared" si="105"/>
        <v>1</v>
      </c>
      <c r="X1676" t="str">
        <f t="shared" si="106"/>
        <v>13-24 Months</v>
      </c>
      <c r="Y1676" s="1" t="str">
        <f t="shared" si="107"/>
        <v>Low</v>
      </c>
    </row>
    <row r="1677" spans="1:25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 t="shared" si="104"/>
        <v>1</v>
      </c>
      <c r="W1677">
        <f t="shared" si="105"/>
        <v>0</v>
      </c>
      <c r="X1677" t="str">
        <f t="shared" si="106"/>
        <v>25-48 Months</v>
      </c>
      <c r="Y1677" s="1" t="str">
        <f t="shared" si="107"/>
        <v>Medium</v>
      </c>
    </row>
    <row r="1678" spans="1:25" x14ac:dyDescent="0.2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 t="shared" si="104"/>
        <v>0</v>
      </c>
      <c r="W1678">
        <f t="shared" si="105"/>
        <v>1</v>
      </c>
      <c r="X1678" t="str">
        <f t="shared" si="106"/>
        <v>0-12 Months</v>
      </c>
      <c r="Y1678" s="1" t="str">
        <f t="shared" si="107"/>
        <v>High</v>
      </c>
    </row>
    <row r="1679" spans="1:25" x14ac:dyDescent="0.2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 t="shared" si="104"/>
        <v>0</v>
      </c>
      <c r="W1679">
        <f t="shared" si="105"/>
        <v>1</v>
      </c>
      <c r="X1679" t="str">
        <f t="shared" si="106"/>
        <v>0-12 Months</v>
      </c>
      <c r="Y1679" s="1" t="str">
        <f t="shared" si="107"/>
        <v>Low</v>
      </c>
    </row>
    <row r="1680" spans="1:25" x14ac:dyDescent="0.2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 t="shared" si="104"/>
        <v>0</v>
      </c>
      <c r="W1680">
        <f t="shared" si="105"/>
        <v>1</v>
      </c>
      <c r="X1680" t="str">
        <f t="shared" si="106"/>
        <v>49+ Months</v>
      </c>
      <c r="Y1680" s="1" t="str">
        <f t="shared" si="107"/>
        <v>High</v>
      </c>
    </row>
    <row r="1681" spans="1:25" x14ac:dyDescent="0.2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 t="shared" si="104"/>
        <v>0</v>
      </c>
      <c r="W1681">
        <f t="shared" si="105"/>
        <v>1</v>
      </c>
      <c r="X1681" t="str">
        <f t="shared" si="106"/>
        <v>0-12 Months</v>
      </c>
      <c r="Y1681" s="1" t="str">
        <f t="shared" si="107"/>
        <v>Low</v>
      </c>
    </row>
    <row r="1682" spans="1:25" x14ac:dyDescent="0.2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 t="shared" si="104"/>
        <v>0</v>
      </c>
      <c r="W1682">
        <f t="shared" si="105"/>
        <v>1</v>
      </c>
      <c r="X1682" t="str">
        <f t="shared" si="106"/>
        <v>49+ Months</v>
      </c>
      <c r="Y1682" s="1" t="str">
        <f t="shared" si="107"/>
        <v>Low</v>
      </c>
    </row>
    <row r="1683" spans="1:25" x14ac:dyDescent="0.2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 t="shared" si="104"/>
        <v>0</v>
      </c>
      <c r="W1683">
        <f t="shared" si="105"/>
        <v>1</v>
      </c>
      <c r="X1683" t="str">
        <f t="shared" si="106"/>
        <v>49+ Months</v>
      </c>
      <c r="Y1683" s="1" t="str">
        <f t="shared" si="107"/>
        <v>Low</v>
      </c>
    </row>
    <row r="1684" spans="1:25" x14ac:dyDescent="0.2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 t="shared" si="104"/>
        <v>0</v>
      </c>
      <c r="W1684">
        <f t="shared" si="105"/>
        <v>1</v>
      </c>
      <c r="X1684" t="str">
        <f t="shared" si="106"/>
        <v>49+ Months</v>
      </c>
      <c r="Y1684" s="1" t="str">
        <f t="shared" si="107"/>
        <v>High</v>
      </c>
    </row>
    <row r="1685" spans="1:25" x14ac:dyDescent="0.2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 t="shared" si="104"/>
        <v>0</v>
      </c>
      <c r="W1685">
        <f t="shared" si="105"/>
        <v>1</v>
      </c>
      <c r="X1685" t="str">
        <f t="shared" si="106"/>
        <v>13-24 Months</v>
      </c>
      <c r="Y1685" s="1" t="str">
        <f t="shared" si="107"/>
        <v>Low</v>
      </c>
    </row>
    <row r="1686" spans="1:25" x14ac:dyDescent="0.2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 t="shared" si="104"/>
        <v>0</v>
      </c>
      <c r="W1686">
        <f t="shared" si="105"/>
        <v>1</v>
      </c>
      <c r="X1686" t="str">
        <f t="shared" si="106"/>
        <v>25-48 Months</v>
      </c>
      <c r="Y1686" s="1" t="str">
        <f t="shared" si="107"/>
        <v>Medium</v>
      </c>
    </row>
    <row r="1687" spans="1:25" x14ac:dyDescent="0.2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 t="shared" si="104"/>
        <v>0</v>
      </c>
      <c r="W1687">
        <f t="shared" si="105"/>
        <v>1</v>
      </c>
      <c r="X1687" t="str">
        <f t="shared" si="106"/>
        <v>25-48 Months</v>
      </c>
      <c r="Y1687" s="1" t="str">
        <f t="shared" si="107"/>
        <v>Medium</v>
      </c>
    </row>
    <row r="1688" spans="1:25" x14ac:dyDescent="0.2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 t="shared" si="104"/>
        <v>1</v>
      </c>
      <c r="W1688">
        <f t="shared" si="105"/>
        <v>0</v>
      </c>
      <c r="X1688" t="str">
        <f t="shared" si="106"/>
        <v>25-48 Months</v>
      </c>
      <c r="Y1688" s="1" t="str">
        <f t="shared" si="107"/>
        <v>Medium</v>
      </c>
    </row>
    <row r="1689" spans="1:25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 t="shared" si="104"/>
        <v>0</v>
      </c>
      <c r="W1689">
        <f t="shared" si="105"/>
        <v>1</v>
      </c>
      <c r="X1689" t="str">
        <f t="shared" si="106"/>
        <v>0-12 Months</v>
      </c>
      <c r="Y1689" s="1" t="str">
        <f t="shared" si="107"/>
        <v>Low</v>
      </c>
    </row>
    <row r="1690" spans="1:25" x14ac:dyDescent="0.2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 t="shared" si="104"/>
        <v>0</v>
      </c>
      <c r="W1690">
        <f t="shared" si="105"/>
        <v>1</v>
      </c>
      <c r="X1690" t="str">
        <f t="shared" si="106"/>
        <v>25-48 Months</v>
      </c>
      <c r="Y1690" s="1" t="str">
        <f t="shared" si="107"/>
        <v>Low</v>
      </c>
    </row>
    <row r="1691" spans="1:25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 t="shared" si="104"/>
        <v>0</v>
      </c>
      <c r="W1691">
        <f t="shared" si="105"/>
        <v>1</v>
      </c>
      <c r="X1691" t="str">
        <f t="shared" si="106"/>
        <v>0-12 Months</v>
      </c>
      <c r="Y1691" s="1" t="str">
        <f t="shared" si="107"/>
        <v>Medium</v>
      </c>
    </row>
    <row r="1692" spans="1:25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 t="shared" si="104"/>
        <v>0</v>
      </c>
      <c r="W1692">
        <f t="shared" si="105"/>
        <v>1</v>
      </c>
      <c r="X1692" t="str">
        <f t="shared" si="106"/>
        <v>49+ Months</v>
      </c>
      <c r="Y1692" s="1" t="str">
        <f t="shared" si="107"/>
        <v>High</v>
      </c>
    </row>
    <row r="1693" spans="1:25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 t="shared" si="104"/>
        <v>0</v>
      </c>
      <c r="W1693">
        <f t="shared" si="105"/>
        <v>1</v>
      </c>
      <c r="X1693" t="str">
        <f t="shared" si="106"/>
        <v>49+ Months</v>
      </c>
      <c r="Y1693" s="1" t="str">
        <f t="shared" si="107"/>
        <v>Low</v>
      </c>
    </row>
    <row r="1694" spans="1:25" x14ac:dyDescent="0.2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 t="shared" si="104"/>
        <v>0</v>
      </c>
      <c r="W1694">
        <f t="shared" si="105"/>
        <v>1</v>
      </c>
      <c r="X1694" t="str">
        <f t="shared" si="106"/>
        <v>25-48 Months</v>
      </c>
      <c r="Y1694" s="1" t="str">
        <f t="shared" si="107"/>
        <v>Low</v>
      </c>
    </row>
    <row r="1695" spans="1:25" x14ac:dyDescent="0.2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 t="shared" si="104"/>
        <v>0</v>
      </c>
      <c r="W1695">
        <f t="shared" si="105"/>
        <v>1</v>
      </c>
      <c r="X1695" t="str">
        <f t="shared" si="106"/>
        <v>49+ Months</v>
      </c>
      <c r="Y1695" s="1" t="str">
        <f t="shared" si="107"/>
        <v>High</v>
      </c>
    </row>
    <row r="1696" spans="1:25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 t="shared" si="104"/>
        <v>1</v>
      </c>
      <c r="W1696">
        <f t="shared" si="105"/>
        <v>0</v>
      </c>
      <c r="X1696" t="str">
        <f t="shared" si="106"/>
        <v>0-12 Months</v>
      </c>
      <c r="Y1696" s="1" t="str">
        <f t="shared" si="107"/>
        <v>Low</v>
      </c>
    </row>
    <row r="1697" spans="1:25" x14ac:dyDescent="0.2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 t="shared" si="104"/>
        <v>0</v>
      </c>
      <c r="W1697">
        <f t="shared" si="105"/>
        <v>1</v>
      </c>
      <c r="X1697" t="str">
        <f t="shared" si="106"/>
        <v>49+ Months</v>
      </c>
      <c r="Y1697" s="1" t="str">
        <f t="shared" si="107"/>
        <v>Medium</v>
      </c>
    </row>
    <row r="1698" spans="1:25" x14ac:dyDescent="0.2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 t="shared" si="104"/>
        <v>1</v>
      </c>
      <c r="W1698">
        <f t="shared" si="105"/>
        <v>0</v>
      </c>
      <c r="X1698" t="str">
        <f t="shared" si="106"/>
        <v>0-12 Months</v>
      </c>
      <c r="Y1698" s="1" t="str">
        <f t="shared" si="107"/>
        <v>High</v>
      </c>
    </row>
    <row r="1699" spans="1:25" x14ac:dyDescent="0.2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 t="shared" si="104"/>
        <v>0</v>
      </c>
      <c r="W1699">
        <f t="shared" si="105"/>
        <v>1</v>
      </c>
      <c r="X1699" t="str">
        <f t="shared" si="106"/>
        <v>49+ Months</v>
      </c>
      <c r="Y1699" s="1" t="str">
        <f t="shared" si="107"/>
        <v>Medium</v>
      </c>
    </row>
    <row r="1700" spans="1:25" x14ac:dyDescent="0.2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 t="shared" si="104"/>
        <v>0</v>
      </c>
      <c r="W1700">
        <f t="shared" si="105"/>
        <v>1</v>
      </c>
      <c r="X1700" t="str">
        <f t="shared" si="106"/>
        <v>49+ Months</v>
      </c>
      <c r="Y1700" s="1" t="str">
        <f t="shared" si="107"/>
        <v>High</v>
      </c>
    </row>
    <row r="1701" spans="1:25" x14ac:dyDescent="0.2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 t="shared" si="104"/>
        <v>0</v>
      </c>
      <c r="W1701">
        <f t="shared" si="105"/>
        <v>1</v>
      </c>
      <c r="X1701" t="str">
        <f t="shared" si="106"/>
        <v>25-48 Months</v>
      </c>
      <c r="Y1701" s="1" t="str">
        <f t="shared" si="107"/>
        <v>Low</v>
      </c>
    </row>
    <row r="1702" spans="1:25" x14ac:dyDescent="0.2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 t="shared" si="104"/>
        <v>0</v>
      </c>
      <c r="W1702">
        <f t="shared" si="105"/>
        <v>1</v>
      </c>
      <c r="X1702" t="str">
        <f t="shared" si="106"/>
        <v>25-48 Months</v>
      </c>
      <c r="Y1702" s="1" t="str">
        <f t="shared" si="107"/>
        <v>Low</v>
      </c>
    </row>
    <row r="1703" spans="1:25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 t="shared" si="104"/>
        <v>1</v>
      </c>
      <c r="W1703">
        <f t="shared" si="105"/>
        <v>0</v>
      </c>
      <c r="X1703" t="str">
        <f t="shared" si="106"/>
        <v>49+ Months</v>
      </c>
      <c r="Y1703" s="1" t="str">
        <f t="shared" si="107"/>
        <v>High</v>
      </c>
    </row>
    <row r="1704" spans="1:25" x14ac:dyDescent="0.2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 t="shared" si="104"/>
        <v>1</v>
      </c>
      <c r="W1704">
        <f t="shared" si="105"/>
        <v>0</v>
      </c>
      <c r="X1704" t="str">
        <f t="shared" si="106"/>
        <v>13-24 Months</v>
      </c>
      <c r="Y1704" s="1" t="str">
        <f t="shared" si="107"/>
        <v>High</v>
      </c>
    </row>
    <row r="1705" spans="1:25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 t="shared" si="104"/>
        <v>0</v>
      </c>
      <c r="W1705">
        <f t="shared" si="105"/>
        <v>1</v>
      </c>
      <c r="X1705" t="str">
        <f t="shared" si="106"/>
        <v>0-12 Months</v>
      </c>
      <c r="Y1705" s="1" t="str">
        <f t="shared" si="107"/>
        <v>Low</v>
      </c>
    </row>
    <row r="1706" spans="1:25" x14ac:dyDescent="0.2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 t="shared" si="104"/>
        <v>1</v>
      </c>
      <c r="W1706">
        <f t="shared" si="105"/>
        <v>0</v>
      </c>
      <c r="X1706" t="str">
        <f t="shared" si="106"/>
        <v>0-12 Months</v>
      </c>
      <c r="Y1706" s="1" t="str">
        <f t="shared" si="107"/>
        <v>High</v>
      </c>
    </row>
    <row r="1707" spans="1:25" x14ac:dyDescent="0.2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 t="shared" si="104"/>
        <v>0</v>
      </c>
      <c r="W1707">
        <f t="shared" si="105"/>
        <v>1</v>
      </c>
      <c r="X1707" t="str">
        <f t="shared" si="106"/>
        <v>49+ Months</v>
      </c>
      <c r="Y1707" s="1" t="str">
        <f t="shared" si="107"/>
        <v>High</v>
      </c>
    </row>
    <row r="1708" spans="1:25" x14ac:dyDescent="0.2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 t="shared" si="104"/>
        <v>0</v>
      </c>
      <c r="W1708">
        <f t="shared" si="105"/>
        <v>1</v>
      </c>
      <c r="X1708" t="str">
        <f t="shared" si="106"/>
        <v>49+ Months</v>
      </c>
      <c r="Y1708" s="1" t="str">
        <f t="shared" si="107"/>
        <v>High</v>
      </c>
    </row>
    <row r="1709" spans="1:25" x14ac:dyDescent="0.2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 t="shared" si="104"/>
        <v>0</v>
      </c>
      <c r="W1709">
        <f t="shared" si="105"/>
        <v>1</v>
      </c>
      <c r="X1709" t="str">
        <f t="shared" si="106"/>
        <v>0-12 Months</v>
      </c>
      <c r="Y1709" s="1" t="str">
        <f t="shared" si="107"/>
        <v>Medium</v>
      </c>
    </row>
    <row r="1710" spans="1:25" x14ac:dyDescent="0.2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 t="shared" si="104"/>
        <v>1</v>
      </c>
      <c r="W1710">
        <f t="shared" si="105"/>
        <v>0</v>
      </c>
      <c r="X1710" t="str">
        <f t="shared" si="106"/>
        <v>0-12 Months</v>
      </c>
      <c r="Y1710" s="1" t="str">
        <f t="shared" si="107"/>
        <v>Medium</v>
      </c>
    </row>
    <row r="1711" spans="1:25" x14ac:dyDescent="0.2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 t="shared" si="104"/>
        <v>0</v>
      </c>
      <c r="W1711">
        <f t="shared" si="105"/>
        <v>1</v>
      </c>
      <c r="X1711" t="str">
        <f t="shared" si="106"/>
        <v>25-48 Months</v>
      </c>
      <c r="Y1711" s="1" t="str">
        <f t="shared" si="107"/>
        <v>Medium</v>
      </c>
    </row>
    <row r="1712" spans="1:25" x14ac:dyDescent="0.2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 t="shared" si="104"/>
        <v>0</v>
      </c>
      <c r="W1712">
        <f t="shared" si="105"/>
        <v>1</v>
      </c>
      <c r="X1712" t="str">
        <f t="shared" si="106"/>
        <v>0-12 Months</v>
      </c>
      <c r="Y1712" s="1" t="str">
        <f t="shared" si="107"/>
        <v>High</v>
      </c>
    </row>
    <row r="1713" spans="1:25" x14ac:dyDescent="0.2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 t="shared" si="104"/>
        <v>0</v>
      </c>
      <c r="W1713">
        <f t="shared" si="105"/>
        <v>1</v>
      </c>
      <c r="X1713" t="str">
        <f t="shared" si="106"/>
        <v>49+ Months</v>
      </c>
      <c r="Y1713" s="1" t="str">
        <f t="shared" si="107"/>
        <v>Low</v>
      </c>
    </row>
    <row r="1714" spans="1:25" x14ac:dyDescent="0.2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 t="shared" si="104"/>
        <v>0</v>
      </c>
      <c r="W1714">
        <f t="shared" si="105"/>
        <v>1</v>
      </c>
      <c r="X1714" t="str">
        <f t="shared" si="106"/>
        <v>25-48 Months</v>
      </c>
      <c r="Y1714" s="1" t="str">
        <f t="shared" si="107"/>
        <v>Medium</v>
      </c>
    </row>
    <row r="1715" spans="1:25" x14ac:dyDescent="0.2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 t="shared" si="104"/>
        <v>0</v>
      </c>
      <c r="W1715">
        <f t="shared" si="105"/>
        <v>1</v>
      </c>
      <c r="X1715" t="str">
        <f t="shared" si="106"/>
        <v>49+ Months</v>
      </c>
      <c r="Y1715" s="1" t="str">
        <f t="shared" si="107"/>
        <v>Medium</v>
      </c>
    </row>
    <row r="1716" spans="1:25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 t="shared" si="104"/>
        <v>0</v>
      </c>
      <c r="W1716">
        <f t="shared" si="105"/>
        <v>1</v>
      </c>
      <c r="X1716" t="str">
        <f t="shared" si="106"/>
        <v>49+ Months</v>
      </c>
      <c r="Y1716" s="1" t="str">
        <f t="shared" si="107"/>
        <v>Medium</v>
      </c>
    </row>
    <row r="1717" spans="1:25" x14ac:dyDescent="0.2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 t="shared" si="104"/>
        <v>0</v>
      </c>
      <c r="W1717">
        <f t="shared" si="105"/>
        <v>1</v>
      </c>
      <c r="X1717" t="str">
        <f t="shared" si="106"/>
        <v>25-48 Months</v>
      </c>
      <c r="Y1717" s="1" t="str">
        <f t="shared" si="107"/>
        <v>Low</v>
      </c>
    </row>
    <row r="1718" spans="1:25" x14ac:dyDescent="0.2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 t="shared" si="104"/>
        <v>0</v>
      </c>
      <c r="W1718">
        <f t="shared" si="105"/>
        <v>1</v>
      </c>
      <c r="X1718" t="str">
        <f t="shared" si="106"/>
        <v>0-12 Months</v>
      </c>
      <c r="Y1718" s="1" t="str">
        <f t="shared" si="107"/>
        <v>Medium</v>
      </c>
    </row>
    <row r="1719" spans="1:25" x14ac:dyDescent="0.2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 t="shared" si="104"/>
        <v>0</v>
      </c>
      <c r="W1719">
        <f t="shared" si="105"/>
        <v>1</v>
      </c>
      <c r="X1719" t="str">
        <f t="shared" si="106"/>
        <v>49+ Months</v>
      </c>
      <c r="Y1719" s="1" t="str">
        <f t="shared" si="107"/>
        <v>Low</v>
      </c>
    </row>
    <row r="1720" spans="1:25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 t="shared" si="104"/>
        <v>0</v>
      </c>
      <c r="W1720">
        <f t="shared" si="105"/>
        <v>1</v>
      </c>
      <c r="X1720" t="str">
        <f t="shared" si="106"/>
        <v>13-24 Months</v>
      </c>
      <c r="Y1720" s="1" t="str">
        <f t="shared" si="107"/>
        <v>Low</v>
      </c>
    </row>
    <row r="1721" spans="1:25" x14ac:dyDescent="0.2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 t="shared" si="104"/>
        <v>0</v>
      </c>
      <c r="W1721">
        <f t="shared" si="105"/>
        <v>1</v>
      </c>
      <c r="X1721" t="str">
        <f t="shared" si="106"/>
        <v>0-12 Months</v>
      </c>
      <c r="Y1721" s="1" t="str">
        <f t="shared" si="107"/>
        <v>High</v>
      </c>
    </row>
    <row r="1722" spans="1:25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 t="shared" si="104"/>
        <v>0</v>
      </c>
      <c r="W1722">
        <f t="shared" si="105"/>
        <v>1</v>
      </c>
      <c r="X1722" t="str">
        <f t="shared" si="106"/>
        <v>0-12 Months</v>
      </c>
      <c r="Y1722" s="1" t="str">
        <f t="shared" si="107"/>
        <v>High</v>
      </c>
    </row>
    <row r="1723" spans="1:25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 t="shared" si="104"/>
        <v>1</v>
      </c>
      <c r="W1723">
        <f t="shared" si="105"/>
        <v>0</v>
      </c>
      <c r="X1723" t="str">
        <f t="shared" si="106"/>
        <v>0-12 Months</v>
      </c>
      <c r="Y1723" s="1" t="str">
        <f t="shared" si="107"/>
        <v>Medium</v>
      </c>
    </row>
    <row r="1724" spans="1:25" x14ac:dyDescent="0.2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 t="shared" si="104"/>
        <v>0</v>
      </c>
      <c r="W1724">
        <f t="shared" si="105"/>
        <v>1</v>
      </c>
      <c r="X1724" t="str">
        <f t="shared" si="106"/>
        <v>49+ Months</v>
      </c>
      <c r="Y1724" s="1" t="str">
        <f t="shared" si="107"/>
        <v>Medium</v>
      </c>
    </row>
    <row r="1725" spans="1:25" x14ac:dyDescent="0.2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 t="shared" si="104"/>
        <v>0</v>
      </c>
      <c r="W1725">
        <f t="shared" si="105"/>
        <v>1</v>
      </c>
      <c r="X1725" t="str">
        <f t="shared" si="106"/>
        <v>0-12 Months</v>
      </c>
      <c r="Y1725" s="1" t="str">
        <f t="shared" si="107"/>
        <v>Low</v>
      </c>
    </row>
    <row r="1726" spans="1:25" x14ac:dyDescent="0.2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 t="shared" si="104"/>
        <v>0</v>
      </c>
      <c r="W1726">
        <f t="shared" si="105"/>
        <v>1</v>
      </c>
      <c r="X1726" t="str">
        <f t="shared" si="106"/>
        <v>0-12 Months</v>
      </c>
      <c r="Y1726" s="1" t="str">
        <f t="shared" si="107"/>
        <v>High</v>
      </c>
    </row>
    <row r="1727" spans="1:25" x14ac:dyDescent="0.2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 t="shared" si="104"/>
        <v>0</v>
      </c>
      <c r="W1727">
        <f t="shared" si="105"/>
        <v>1</v>
      </c>
      <c r="X1727" t="str">
        <f t="shared" si="106"/>
        <v>13-24 Months</v>
      </c>
      <c r="Y1727" s="1" t="str">
        <f t="shared" si="107"/>
        <v>High</v>
      </c>
    </row>
    <row r="1728" spans="1:25" x14ac:dyDescent="0.2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 t="shared" si="104"/>
        <v>0</v>
      </c>
      <c r="W1728">
        <f t="shared" si="105"/>
        <v>1</v>
      </c>
      <c r="X1728" t="str">
        <f t="shared" si="106"/>
        <v>25-48 Months</v>
      </c>
      <c r="Y1728" s="1" t="str">
        <f t="shared" si="107"/>
        <v>Low</v>
      </c>
    </row>
    <row r="1729" spans="1:25" x14ac:dyDescent="0.2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 t="shared" si="104"/>
        <v>0</v>
      </c>
      <c r="W1729">
        <f t="shared" si="105"/>
        <v>1</v>
      </c>
      <c r="X1729" t="str">
        <f t="shared" si="106"/>
        <v>25-48 Months</v>
      </c>
      <c r="Y1729" s="1" t="str">
        <f t="shared" si="107"/>
        <v>Medium</v>
      </c>
    </row>
    <row r="1730" spans="1:25" x14ac:dyDescent="0.2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 t="shared" ref="V1730:V1793" si="108">IF(U1730="Yes",1,0)</f>
        <v>0</v>
      </c>
      <c r="W1730">
        <f t="shared" ref="W1730:W1793" si="109">IF(U1730="No",1,0)</f>
        <v>1</v>
      </c>
      <c r="X1730" t="str">
        <f t="shared" ref="X1730:X1793" si="110">IF(F1730&lt;=12,"0-12 Months",IF(F1730&lt;=24,"13-24 Months",IF(F1730&lt;=48,"25-48 Months","49+ Months")))</f>
        <v>25-48 Months</v>
      </c>
      <c r="Y1730" s="1" t="str">
        <f t="shared" ref="Y1730:Y1793" si="111">IF(S1730&lt;50,"Low",IF(S1730&lt;80,"Medium","High"))</f>
        <v>High</v>
      </c>
    </row>
    <row r="1731" spans="1:25" x14ac:dyDescent="0.2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 t="shared" si="108"/>
        <v>0</v>
      </c>
      <c r="W1731">
        <f t="shared" si="109"/>
        <v>1</v>
      </c>
      <c r="X1731" t="str">
        <f t="shared" si="110"/>
        <v>49+ Months</v>
      </c>
      <c r="Y1731" s="1" t="str">
        <f t="shared" si="111"/>
        <v>High</v>
      </c>
    </row>
    <row r="1732" spans="1:25" x14ac:dyDescent="0.2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 t="shared" si="108"/>
        <v>1</v>
      </c>
      <c r="W1732">
        <f t="shared" si="109"/>
        <v>0</v>
      </c>
      <c r="X1732" t="str">
        <f t="shared" si="110"/>
        <v>0-12 Months</v>
      </c>
      <c r="Y1732" s="1" t="str">
        <f t="shared" si="111"/>
        <v>Medium</v>
      </c>
    </row>
    <row r="1733" spans="1:25" x14ac:dyDescent="0.2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 t="shared" si="108"/>
        <v>1</v>
      </c>
      <c r="W1733">
        <f t="shared" si="109"/>
        <v>0</v>
      </c>
      <c r="X1733" t="str">
        <f t="shared" si="110"/>
        <v>0-12 Months</v>
      </c>
      <c r="Y1733" s="1" t="str">
        <f t="shared" si="111"/>
        <v>Medium</v>
      </c>
    </row>
    <row r="1734" spans="1:25" x14ac:dyDescent="0.2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 t="shared" si="108"/>
        <v>0</v>
      </c>
      <c r="W1734">
        <f t="shared" si="109"/>
        <v>1</v>
      </c>
      <c r="X1734" t="str">
        <f t="shared" si="110"/>
        <v>49+ Months</v>
      </c>
      <c r="Y1734" s="1" t="str">
        <f t="shared" si="111"/>
        <v>High</v>
      </c>
    </row>
    <row r="1735" spans="1:25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 t="shared" si="108"/>
        <v>0</v>
      </c>
      <c r="W1735">
        <f t="shared" si="109"/>
        <v>1</v>
      </c>
      <c r="X1735" t="str">
        <f t="shared" si="110"/>
        <v>0-12 Months</v>
      </c>
      <c r="Y1735" s="1" t="str">
        <f t="shared" si="111"/>
        <v>Low</v>
      </c>
    </row>
    <row r="1736" spans="1:25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 t="shared" si="108"/>
        <v>1</v>
      </c>
      <c r="W1736">
        <f t="shared" si="109"/>
        <v>0</v>
      </c>
      <c r="X1736" t="str">
        <f t="shared" si="110"/>
        <v>0-12 Months</v>
      </c>
      <c r="Y1736" s="1" t="str">
        <f t="shared" si="111"/>
        <v>Low</v>
      </c>
    </row>
    <row r="1737" spans="1:25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 t="shared" si="108"/>
        <v>0</v>
      </c>
      <c r="W1737">
        <f t="shared" si="109"/>
        <v>1</v>
      </c>
      <c r="X1737" t="str">
        <f t="shared" si="110"/>
        <v>49+ Months</v>
      </c>
      <c r="Y1737" s="1" t="str">
        <f t="shared" si="111"/>
        <v>High</v>
      </c>
    </row>
    <row r="1738" spans="1:25" x14ac:dyDescent="0.2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 t="shared" si="108"/>
        <v>1</v>
      </c>
      <c r="W1738">
        <f t="shared" si="109"/>
        <v>0</v>
      </c>
      <c r="X1738" t="str">
        <f t="shared" si="110"/>
        <v>0-12 Months</v>
      </c>
      <c r="Y1738" s="1" t="str">
        <f t="shared" si="111"/>
        <v>Low</v>
      </c>
    </row>
    <row r="1739" spans="1:25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 t="shared" si="108"/>
        <v>0</v>
      </c>
      <c r="W1739">
        <f t="shared" si="109"/>
        <v>1</v>
      </c>
      <c r="X1739" t="str">
        <f t="shared" si="110"/>
        <v>0-12 Months</v>
      </c>
      <c r="Y1739" s="1" t="str">
        <f t="shared" si="111"/>
        <v>Low</v>
      </c>
    </row>
    <row r="1740" spans="1:25" x14ac:dyDescent="0.2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 t="shared" si="108"/>
        <v>0</v>
      </c>
      <c r="W1740">
        <f t="shared" si="109"/>
        <v>1</v>
      </c>
      <c r="X1740" t="str">
        <f t="shared" si="110"/>
        <v>49+ Months</v>
      </c>
      <c r="Y1740" s="1" t="str">
        <f t="shared" si="111"/>
        <v>High</v>
      </c>
    </row>
    <row r="1741" spans="1:25" x14ac:dyDescent="0.2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 t="shared" si="108"/>
        <v>1</v>
      </c>
      <c r="W1741">
        <f t="shared" si="109"/>
        <v>0</v>
      </c>
      <c r="X1741" t="str">
        <f t="shared" si="110"/>
        <v>0-12 Months</v>
      </c>
      <c r="Y1741" s="1" t="str">
        <f t="shared" si="111"/>
        <v>Medium</v>
      </c>
    </row>
    <row r="1742" spans="1:25" x14ac:dyDescent="0.2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 t="shared" si="108"/>
        <v>0</v>
      </c>
      <c r="W1742">
        <f t="shared" si="109"/>
        <v>1</v>
      </c>
      <c r="X1742" t="str">
        <f t="shared" si="110"/>
        <v>25-48 Months</v>
      </c>
      <c r="Y1742" s="1" t="str">
        <f t="shared" si="111"/>
        <v>Low</v>
      </c>
    </row>
    <row r="1743" spans="1:25" x14ac:dyDescent="0.2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 t="shared" si="108"/>
        <v>0</v>
      </c>
      <c r="W1743">
        <f t="shared" si="109"/>
        <v>1</v>
      </c>
      <c r="X1743" t="str">
        <f t="shared" si="110"/>
        <v>13-24 Months</v>
      </c>
      <c r="Y1743" s="1" t="str">
        <f t="shared" si="111"/>
        <v>Medium</v>
      </c>
    </row>
    <row r="1744" spans="1:25" x14ac:dyDescent="0.2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 t="shared" si="108"/>
        <v>1</v>
      </c>
      <c r="W1744">
        <f t="shared" si="109"/>
        <v>0</v>
      </c>
      <c r="X1744" t="str">
        <f t="shared" si="110"/>
        <v>0-12 Months</v>
      </c>
      <c r="Y1744" s="1" t="str">
        <f t="shared" si="111"/>
        <v>High</v>
      </c>
    </row>
    <row r="1745" spans="1:25" x14ac:dyDescent="0.2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 t="shared" si="108"/>
        <v>0</v>
      </c>
      <c r="W1745">
        <f t="shared" si="109"/>
        <v>1</v>
      </c>
      <c r="X1745" t="str">
        <f t="shared" si="110"/>
        <v>49+ Months</v>
      </c>
      <c r="Y1745" s="1" t="str">
        <f t="shared" si="111"/>
        <v>Low</v>
      </c>
    </row>
    <row r="1746" spans="1:25" x14ac:dyDescent="0.2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 t="shared" si="108"/>
        <v>0</v>
      </c>
      <c r="W1746">
        <f t="shared" si="109"/>
        <v>1</v>
      </c>
      <c r="X1746" t="str">
        <f t="shared" si="110"/>
        <v>25-48 Months</v>
      </c>
      <c r="Y1746" s="1" t="str">
        <f t="shared" si="111"/>
        <v>High</v>
      </c>
    </row>
    <row r="1747" spans="1:25" x14ac:dyDescent="0.2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 t="shared" si="108"/>
        <v>0</v>
      </c>
      <c r="W1747">
        <f t="shared" si="109"/>
        <v>1</v>
      </c>
      <c r="X1747" t="str">
        <f t="shared" si="110"/>
        <v>49+ Months</v>
      </c>
      <c r="Y1747" s="1" t="str">
        <f t="shared" si="111"/>
        <v>Low</v>
      </c>
    </row>
    <row r="1748" spans="1:25" x14ac:dyDescent="0.2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 t="shared" si="108"/>
        <v>0</v>
      </c>
      <c r="W1748">
        <f t="shared" si="109"/>
        <v>1</v>
      </c>
      <c r="X1748" t="str">
        <f t="shared" si="110"/>
        <v>49+ Months</v>
      </c>
      <c r="Y1748" s="1" t="str">
        <f t="shared" si="111"/>
        <v>High</v>
      </c>
    </row>
    <row r="1749" spans="1:25" x14ac:dyDescent="0.2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 t="shared" si="108"/>
        <v>1</v>
      </c>
      <c r="W1749">
        <f t="shared" si="109"/>
        <v>0</v>
      </c>
      <c r="X1749" t="str">
        <f t="shared" si="110"/>
        <v>0-12 Months</v>
      </c>
      <c r="Y1749" s="1" t="str">
        <f t="shared" si="111"/>
        <v>High</v>
      </c>
    </row>
    <row r="1750" spans="1:25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 t="shared" si="108"/>
        <v>0</v>
      </c>
      <c r="W1750">
        <f t="shared" si="109"/>
        <v>1</v>
      </c>
      <c r="X1750" t="str">
        <f t="shared" si="110"/>
        <v>49+ Months</v>
      </c>
      <c r="Y1750" s="1" t="str">
        <f t="shared" si="111"/>
        <v>Low</v>
      </c>
    </row>
    <row r="1751" spans="1:25" x14ac:dyDescent="0.2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 t="shared" si="108"/>
        <v>0</v>
      </c>
      <c r="W1751">
        <f t="shared" si="109"/>
        <v>1</v>
      </c>
      <c r="X1751" t="str">
        <f t="shared" si="110"/>
        <v>49+ Months</v>
      </c>
      <c r="Y1751" s="1" t="str">
        <f t="shared" si="111"/>
        <v>High</v>
      </c>
    </row>
    <row r="1752" spans="1:25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 t="shared" si="108"/>
        <v>0</v>
      </c>
      <c r="W1752">
        <f t="shared" si="109"/>
        <v>1</v>
      </c>
      <c r="X1752" t="str">
        <f t="shared" si="110"/>
        <v>49+ Months</v>
      </c>
      <c r="Y1752" s="1" t="str">
        <f t="shared" si="111"/>
        <v>High</v>
      </c>
    </row>
    <row r="1753" spans="1:25" x14ac:dyDescent="0.2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 t="shared" si="108"/>
        <v>1</v>
      </c>
      <c r="W1753">
        <f t="shared" si="109"/>
        <v>0</v>
      </c>
      <c r="X1753" t="str">
        <f t="shared" si="110"/>
        <v>13-24 Months</v>
      </c>
      <c r="Y1753" s="1" t="str">
        <f t="shared" si="111"/>
        <v>High</v>
      </c>
    </row>
    <row r="1754" spans="1:25" x14ac:dyDescent="0.2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 t="shared" si="108"/>
        <v>0</v>
      </c>
      <c r="W1754">
        <f t="shared" si="109"/>
        <v>1</v>
      </c>
      <c r="X1754" t="str">
        <f t="shared" si="110"/>
        <v>25-48 Months</v>
      </c>
      <c r="Y1754" s="1" t="str">
        <f t="shared" si="111"/>
        <v>Low</v>
      </c>
    </row>
    <row r="1755" spans="1:25" x14ac:dyDescent="0.2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 t="shared" si="108"/>
        <v>0</v>
      </c>
      <c r="W1755">
        <f t="shared" si="109"/>
        <v>1</v>
      </c>
      <c r="X1755" t="str">
        <f t="shared" si="110"/>
        <v>49+ Months</v>
      </c>
      <c r="Y1755" s="1" t="str">
        <f t="shared" si="111"/>
        <v>High</v>
      </c>
    </row>
    <row r="1756" spans="1:25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 t="shared" si="108"/>
        <v>0</v>
      </c>
      <c r="W1756">
        <f t="shared" si="109"/>
        <v>1</v>
      </c>
      <c r="X1756" t="str">
        <f t="shared" si="110"/>
        <v>49+ Months</v>
      </c>
      <c r="Y1756" s="1" t="str">
        <f t="shared" si="111"/>
        <v>Medium</v>
      </c>
    </row>
    <row r="1757" spans="1:25" x14ac:dyDescent="0.2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 t="shared" si="108"/>
        <v>0</v>
      </c>
      <c r="W1757">
        <f t="shared" si="109"/>
        <v>1</v>
      </c>
      <c r="X1757" t="str">
        <f t="shared" si="110"/>
        <v>0-12 Months</v>
      </c>
      <c r="Y1757" s="1" t="str">
        <f t="shared" si="111"/>
        <v>Medium</v>
      </c>
    </row>
    <row r="1758" spans="1:25" x14ac:dyDescent="0.2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 t="shared" si="108"/>
        <v>0</v>
      </c>
      <c r="W1758">
        <f t="shared" si="109"/>
        <v>1</v>
      </c>
      <c r="X1758" t="str">
        <f t="shared" si="110"/>
        <v>25-48 Months</v>
      </c>
      <c r="Y1758" s="1" t="str">
        <f t="shared" si="111"/>
        <v>Medium</v>
      </c>
    </row>
    <row r="1759" spans="1:25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 t="shared" si="108"/>
        <v>0</v>
      </c>
      <c r="W1759">
        <f t="shared" si="109"/>
        <v>1</v>
      </c>
      <c r="X1759" t="str">
        <f t="shared" si="110"/>
        <v>49+ Months</v>
      </c>
      <c r="Y1759" s="1" t="str">
        <f t="shared" si="111"/>
        <v>Medium</v>
      </c>
    </row>
    <row r="1760" spans="1:25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 t="shared" si="108"/>
        <v>0</v>
      </c>
      <c r="W1760">
        <f t="shared" si="109"/>
        <v>1</v>
      </c>
      <c r="X1760" t="str">
        <f t="shared" si="110"/>
        <v>49+ Months</v>
      </c>
      <c r="Y1760" s="1" t="str">
        <f t="shared" si="111"/>
        <v>Low</v>
      </c>
    </row>
    <row r="1761" spans="1:25" x14ac:dyDescent="0.2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 t="shared" si="108"/>
        <v>0</v>
      </c>
      <c r="W1761">
        <f t="shared" si="109"/>
        <v>1</v>
      </c>
      <c r="X1761" t="str">
        <f t="shared" si="110"/>
        <v>13-24 Months</v>
      </c>
      <c r="Y1761" s="1" t="str">
        <f t="shared" si="111"/>
        <v>Low</v>
      </c>
    </row>
    <row r="1762" spans="1:25" x14ac:dyDescent="0.2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 t="shared" si="108"/>
        <v>0</v>
      </c>
      <c r="W1762">
        <f t="shared" si="109"/>
        <v>1</v>
      </c>
      <c r="X1762" t="str">
        <f t="shared" si="110"/>
        <v>49+ Months</v>
      </c>
      <c r="Y1762" s="1" t="str">
        <f t="shared" si="111"/>
        <v>Medium</v>
      </c>
    </row>
    <row r="1763" spans="1:25" x14ac:dyDescent="0.2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 t="shared" si="108"/>
        <v>0</v>
      </c>
      <c r="W1763">
        <f t="shared" si="109"/>
        <v>1</v>
      </c>
      <c r="X1763" t="str">
        <f t="shared" si="110"/>
        <v>49+ Months</v>
      </c>
      <c r="Y1763" s="1" t="str">
        <f t="shared" si="111"/>
        <v>Low</v>
      </c>
    </row>
    <row r="1764" spans="1:25" x14ac:dyDescent="0.2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 t="shared" si="108"/>
        <v>0</v>
      </c>
      <c r="W1764">
        <f t="shared" si="109"/>
        <v>1</v>
      </c>
      <c r="X1764" t="str">
        <f t="shared" si="110"/>
        <v>25-48 Months</v>
      </c>
      <c r="Y1764" s="1" t="str">
        <f t="shared" si="111"/>
        <v>High</v>
      </c>
    </row>
    <row r="1765" spans="1:25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 t="shared" si="108"/>
        <v>0</v>
      </c>
      <c r="W1765">
        <f t="shared" si="109"/>
        <v>1</v>
      </c>
      <c r="X1765" t="str">
        <f t="shared" si="110"/>
        <v>0-12 Months</v>
      </c>
      <c r="Y1765" s="1" t="str">
        <f t="shared" si="111"/>
        <v>Low</v>
      </c>
    </row>
    <row r="1766" spans="1:25" x14ac:dyDescent="0.2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 t="shared" si="108"/>
        <v>0</v>
      </c>
      <c r="W1766">
        <f t="shared" si="109"/>
        <v>1</v>
      </c>
      <c r="X1766" t="str">
        <f t="shared" si="110"/>
        <v>49+ Months</v>
      </c>
      <c r="Y1766" s="1" t="str">
        <f t="shared" si="111"/>
        <v>Medium</v>
      </c>
    </row>
    <row r="1767" spans="1:25" x14ac:dyDescent="0.2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 t="shared" si="108"/>
        <v>0</v>
      </c>
      <c r="W1767">
        <f t="shared" si="109"/>
        <v>1</v>
      </c>
      <c r="X1767" t="str">
        <f t="shared" si="110"/>
        <v>49+ Months</v>
      </c>
      <c r="Y1767" s="1" t="str">
        <f t="shared" si="111"/>
        <v>High</v>
      </c>
    </row>
    <row r="1768" spans="1:25" x14ac:dyDescent="0.2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 t="shared" si="108"/>
        <v>0</v>
      </c>
      <c r="W1768">
        <f t="shared" si="109"/>
        <v>1</v>
      </c>
      <c r="X1768" t="str">
        <f t="shared" si="110"/>
        <v>25-48 Months</v>
      </c>
      <c r="Y1768" s="1" t="str">
        <f t="shared" si="111"/>
        <v>Low</v>
      </c>
    </row>
    <row r="1769" spans="1:25" x14ac:dyDescent="0.2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 t="shared" si="108"/>
        <v>0</v>
      </c>
      <c r="W1769">
        <f t="shared" si="109"/>
        <v>1</v>
      </c>
      <c r="X1769" t="str">
        <f t="shared" si="110"/>
        <v>49+ Months</v>
      </c>
      <c r="Y1769" s="1" t="str">
        <f t="shared" si="111"/>
        <v>High</v>
      </c>
    </row>
    <row r="1770" spans="1:25" x14ac:dyDescent="0.2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 t="shared" si="108"/>
        <v>0</v>
      </c>
      <c r="W1770">
        <f t="shared" si="109"/>
        <v>1</v>
      </c>
      <c r="X1770" t="str">
        <f t="shared" si="110"/>
        <v>49+ Months</v>
      </c>
      <c r="Y1770" s="1" t="str">
        <f t="shared" si="111"/>
        <v>Medium</v>
      </c>
    </row>
    <row r="1771" spans="1:25" x14ac:dyDescent="0.2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 t="shared" si="108"/>
        <v>0</v>
      </c>
      <c r="W1771">
        <f t="shared" si="109"/>
        <v>1</v>
      </c>
      <c r="X1771" t="str">
        <f t="shared" si="110"/>
        <v>49+ Months</v>
      </c>
      <c r="Y1771" s="1" t="str">
        <f t="shared" si="111"/>
        <v>High</v>
      </c>
    </row>
    <row r="1772" spans="1:25" x14ac:dyDescent="0.2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 t="shared" si="108"/>
        <v>1</v>
      </c>
      <c r="W1772">
        <f t="shared" si="109"/>
        <v>0</v>
      </c>
      <c r="X1772" t="str">
        <f t="shared" si="110"/>
        <v>25-48 Months</v>
      </c>
      <c r="Y1772" s="1" t="str">
        <f t="shared" si="111"/>
        <v>High</v>
      </c>
    </row>
    <row r="1773" spans="1:25" x14ac:dyDescent="0.2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 t="shared" si="108"/>
        <v>1</v>
      </c>
      <c r="W1773">
        <f t="shared" si="109"/>
        <v>0</v>
      </c>
      <c r="X1773" t="str">
        <f t="shared" si="110"/>
        <v>13-24 Months</v>
      </c>
      <c r="Y1773" s="1" t="str">
        <f t="shared" si="111"/>
        <v>High</v>
      </c>
    </row>
    <row r="1774" spans="1:25" x14ac:dyDescent="0.2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 t="shared" si="108"/>
        <v>1</v>
      </c>
      <c r="W1774">
        <f t="shared" si="109"/>
        <v>0</v>
      </c>
      <c r="X1774" t="str">
        <f t="shared" si="110"/>
        <v>0-12 Months</v>
      </c>
      <c r="Y1774" s="1" t="str">
        <f t="shared" si="111"/>
        <v>Medium</v>
      </c>
    </row>
    <row r="1775" spans="1:25" x14ac:dyDescent="0.2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 t="shared" si="108"/>
        <v>0</v>
      </c>
      <c r="W1775">
        <f t="shared" si="109"/>
        <v>1</v>
      </c>
      <c r="X1775" t="str">
        <f t="shared" si="110"/>
        <v>49+ Months</v>
      </c>
      <c r="Y1775" s="1" t="str">
        <f t="shared" si="111"/>
        <v>Low</v>
      </c>
    </row>
    <row r="1776" spans="1:25" x14ac:dyDescent="0.2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 t="shared" si="108"/>
        <v>0</v>
      </c>
      <c r="W1776">
        <f t="shared" si="109"/>
        <v>1</v>
      </c>
      <c r="X1776" t="str">
        <f t="shared" si="110"/>
        <v>0-12 Months</v>
      </c>
      <c r="Y1776" s="1" t="str">
        <f t="shared" si="111"/>
        <v>Low</v>
      </c>
    </row>
    <row r="1777" spans="1:25" x14ac:dyDescent="0.2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 t="shared" si="108"/>
        <v>0</v>
      </c>
      <c r="W1777">
        <f t="shared" si="109"/>
        <v>1</v>
      </c>
      <c r="X1777" t="str">
        <f t="shared" si="110"/>
        <v>49+ Months</v>
      </c>
      <c r="Y1777" s="1" t="str">
        <f t="shared" si="111"/>
        <v>High</v>
      </c>
    </row>
    <row r="1778" spans="1:25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 t="shared" si="108"/>
        <v>0</v>
      </c>
      <c r="W1778">
        <f t="shared" si="109"/>
        <v>1</v>
      </c>
      <c r="X1778" t="str">
        <f t="shared" si="110"/>
        <v>49+ Months</v>
      </c>
      <c r="Y1778" s="1" t="str">
        <f t="shared" si="111"/>
        <v>Low</v>
      </c>
    </row>
    <row r="1779" spans="1:25" x14ac:dyDescent="0.2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 t="shared" si="108"/>
        <v>0</v>
      </c>
      <c r="W1779">
        <f t="shared" si="109"/>
        <v>1</v>
      </c>
      <c r="X1779" t="str">
        <f t="shared" si="110"/>
        <v>25-48 Months</v>
      </c>
      <c r="Y1779" s="1" t="str">
        <f t="shared" si="111"/>
        <v>Medium</v>
      </c>
    </row>
    <row r="1780" spans="1:25" x14ac:dyDescent="0.2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 t="shared" si="108"/>
        <v>0</v>
      </c>
      <c r="W1780">
        <f t="shared" si="109"/>
        <v>1</v>
      </c>
      <c r="X1780" t="str">
        <f t="shared" si="110"/>
        <v>49+ Months</v>
      </c>
      <c r="Y1780" s="1" t="str">
        <f t="shared" si="111"/>
        <v>Low</v>
      </c>
    </row>
    <row r="1781" spans="1:25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 t="shared" si="108"/>
        <v>0</v>
      </c>
      <c r="W1781">
        <f t="shared" si="109"/>
        <v>1</v>
      </c>
      <c r="X1781" t="str">
        <f t="shared" si="110"/>
        <v>0-12 Months</v>
      </c>
      <c r="Y1781" s="1" t="str">
        <f t="shared" si="111"/>
        <v>High</v>
      </c>
    </row>
    <row r="1782" spans="1:25" x14ac:dyDescent="0.2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 t="shared" si="108"/>
        <v>1</v>
      </c>
      <c r="W1782">
        <f t="shared" si="109"/>
        <v>0</v>
      </c>
      <c r="X1782" t="str">
        <f t="shared" si="110"/>
        <v>13-24 Months</v>
      </c>
      <c r="Y1782" s="1" t="str">
        <f t="shared" si="111"/>
        <v>Low</v>
      </c>
    </row>
    <row r="1783" spans="1:25" x14ac:dyDescent="0.2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 t="shared" si="108"/>
        <v>0</v>
      </c>
      <c r="W1783">
        <f t="shared" si="109"/>
        <v>1</v>
      </c>
      <c r="X1783" t="str">
        <f t="shared" si="110"/>
        <v>49+ Months</v>
      </c>
      <c r="Y1783" s="1" t="str">
        <f t="shared" si="111"/>
        <v>High</v>
      </c>
    </row>
    <row r="1784" spans="1:25" x14ac:dyDescent="0.2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 t="shared" si="108"/>
        <v>0</v>
      </c>
      <c r="W1784">
        <f t="shared" si="109"/>
        <v>1</v>
      </c>
      <c r="X1784" t="str">
        <f t="shared" si="110"/>
        <v>25-48 Months</v>
      </c>
      <c r="Y1784" s="1" t="str">
        <f t="shared" si="111"/>
        <v>Medium</v>
      </c>
    </row>
    <row r="1785" spans="1:25" x14ac:dyDescent="0.2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 t="shared" si="108"/>
        <v>1</v>
      </c>
      <c r="W1785">
        <f t="shared" si="109"/>
        <v>0</v>
      </c>
      <c r="X1785" t="str">
        <f t="shared" si="110"/>
        <v>0-12 Months</v>
      </c>
      <c r="Y1785" s="1" t="str">
        <f t="shared" si="111"/>
        <v>Medium</v>
      </c>
    </row>
    <row r="1786" spans="1:25" x14ac:dyDescent="0.2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 t="shared" si="108"/>
        <v>1</v>
      </c>
      <c r="W1786">
        <f t="shared" si="109"/>
        <v>0</v>
      </c>
      <c r="X1786" t="str">
        <f t="shared" si="110"/>
        <v>0-12 Months</v>
      </c>
      <c r="Y1786" s="1" t="str">
        <f t="shared" si="111"/>
        <v>Low</v>
      </c>
    </row>
    <row r="1787" spans="1:25" x14ac:dyDescent="0.2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 t="shared" si="108"/>
        <v>0</v>
      </c>
      <c r="W1787">
        <f t="shared" si="109"/>
        <v>1</v>
      </c>
      <c r="X1787" t="str">
        <f t="shared" si="110"/>
        <v>49+ Months</v>
      </c>
      <c r="Y1787" s="1" t="str">
        <f t="shared" si="111"/>
        <v>High</v>
      </c>
    </row>
    <row r="1788" spans="1:25" x14ac:dyDescent="0.2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 t="shared" si="108"/>
        <v>1</v>
      </c>
      <c r="W1788">
        <f t="shared" si="109"/>
        <v>0</v>
      </c>
      <c r="X1788" t="str">
        <f t="shared" si="110"/>
        <v>25-48 Months</v>
      </c>
      <c r="Y1788" s="1" t="str">
        <f t="shared" si="111"/>
        <v>High</v>
      </c>
    </row>
    <row r="1789" spans="1:25" x14ac:dyDescent="0.2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 t="shared" si="108"/>
        <v>0</v>
      </c>
      <c r="W1789">
        <f t="shared" si="109"/>
        <v>1</v>
      </c>
      <c r="X1789" t="str">
        <f t="shared" si="110"/>
        <v>25-48 Months</v>
      </c>
      <c r="Y1789" s="1" t="str">
        <f t="shared" si="111"/>
        <v>High</v>
      </c>
    </row>
    <row r="1790" spans="1:25" x14ac:dyDescent="0.2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 t="shared" si="108"/>
        <v>0</v>
      </c>
      <c r="W1790">
        <f t="shared" si="109"/>
        <v>1</v>
      </c>
      <c r="X1790" t="str">
        <f t="shared" si="110"/>
        <v>49+ Months</v>
      </c>
      <c r="Y1790" s="1" t="str">
        <f t="shared" si="111"/>
        <v>Low</v>
      </c>
    </row>
    <row r="1791" spans="1:25" x14ac:dyDescent="0.2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 t="shared" si="108"/>
        <v>0</v>
      </c>
      <c r="W1791">
        <f t="shared" si="109"/>
        <v>1</v>
      </c>
      <c r="X1791" t="str">
        <f t="shared" si="110"/>
        <v>49+ Months</v>
      </c>
      <c r="Y1791" s="1" t="str">
        <f t="shared" si="111"/>
        <v>Low</v>
      </c>
    </row>
    <row r="1792" spans="1:25" x14ac:dyDescent="0.2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 t="shared" si="108"/>
        <v>1</v>
      </c>
      <c r="W1792">
        <f t="shared" si="109"/>
        <v>0</v>
      </c>
      <c r="X1792" t="str">
        <f t="shared" si="110"/>
        <v>0-12 Months</v>
      </c>
      <c r="Y1792" s="1" t="str">
        <f t="shared" si="111"/>
        <v>Medium</v>
      </c>
    </row>
    <row r="1793" spans="1:25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 t="shared" si="108"/>
        <v>0</v>
      </c>
      <c r="W1793">
        <f t="shared" si="109"/>
        <v>1</v>
      </c>
      <c r="X1793" t="str">
        <f t="shared" si="110"/>
        <v>25-48 Months</v>
      </c>
      <c r="Y1793" s="1" t="str">
        <f t="shared" si="111"/>
        <v>Medium</v>
      </c>
    </row>
    <row r="1794" spans="1:25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 t="shared" ref="V1794:V1857" si="112">IF(U1794="Yes",1,0)</f>
        <v>0</v>
      </c>
      <c r="W1794">
        <f t="shared" ref="W1794:W1857" si="113">IF(U1794="No",1,0)</f>
        <v>1</v>
      </c>
      <c r="X1794" t="str">
        <f t="shared" ref="X1794:X1857" si="114">IF(F1794&lt;=12,"0-12 Months",IF(F1794&lt;=24,"13-24 Months",IF(F1794&lt;=48,"25-48 Months","49+ Months")))</f>
        <v>25-48 Months</v>
      </c>
      <c r="Y1794" s="1" t="str">
        <f t="shared" ref="Y1794:Y1857" si="115">IF(S1794&lt;50,"Low",IF(S1794&lt;80,"Medium","High"))</f>
        <v>Medium</v>
      </c>
    </row>
    <row r="1795" spans="1:25" x14ac:dyDescent="0.2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 t="shared" si="112"/>
        <v>0</v>
      </c>
      <c r="W1795">
        <f t="shared" si="113"/>
        <v>1</v>
      </c>
      <c r="X1795" t="str">
        <f t="shared" si="114"/>
        <v>49+ Months</v>
      </c>
      <c r="Y1795" s="1" t="str">
        <f t="shared" si="115"/>
        <v>Low</v>
      </c>
    </row>
    <row r="1796" spans="1:25" x14ac:dyDescent="0.2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 t="shared" si="112"/>
        <v>0</v>
      </c>
      <c r="W1796">
        <f t="shared" si="113"/>
        <v>1</v>
      </c>
      <c r="X1796" t="str">
        <f t="shared" si="114"/>
        <v>49+ Months</v>
      </c>
      <c r="Y1796" s="1" t="str">
        <f t="shared" si="115"/>
        <v>High</v>
      </c>
    </row>
    <row r="1797" spans="1:25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 t="shared" si="112"/>
        <v>1</v>
      </c>
      <c r="W1797">
        <f t="shared" si="113"/>
        <v>0</v>
      </c>
      <c r="X1797" t="str">
        <f t="shared" si="114"/>
        <v>13-24 Months</v>
      </c>
      <c r="Y1797" s="1" t="str">
        <f t="shared" si="115"/>
        <v>High</v>
      </c>
    </row>
    <row r="1798" spans="1:25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 t="shared" si="112"/>
        <v>0</v>
      </c>
      <c r="W1798">
        <f t="shared" si="113"/>
        <v>1</v>
      </c>
      <c r="X1798" t="str">
        <f t="shared" si="114"/>
        <v>13-24 Months</v>
      </c>
      <c r="Y1798" s="1" t="str">
        <f t="shared" si="115"/>
        <v>Medium</v>
      </c>
    </row>
    <row r="1799" spans="1:25" x14ac:dyDescent="0.2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 t="shared" si="112"/>
        <v>0</v>
      </c>
      <c r="W1799">
        <f t="shared" si="113"/>
        <v>1</v>
      </c>
      <c r="X1799" t="str">
        <f t="shared" si="114"/>
        <v>25-48 Months</v>
      </c>
      <c r="Y1799" s="1" t="str">
        <f t="shared" si="115"/>
        <v>Low</v>
      </c>
    </row>
    <row r="1800" spans="1:25" x14ac:dyDescent="0.2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 t="shared" si="112"/>
        <v>0</v>
      </c>
      <c r="W1800">
        <f t="shared" si="113"/>
        <v>1</v>
      </c>
      <c r="X1800" t="str">
        <f t="shared" si="114"/>
        <v>25-48 Months</v>
      </c>
      <c r="Y1800" s="1" t="str">
        <f t="shared" si="115"/>
        <v>Low</v>
      </c>
    </row>
    <row r="1801" spans="1:25" x14ac:dyDescent="0.2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 t="shared" si="112"/>
        <v>1</v>
      </c>
      <c r="W1801">
        <f t="shared" si="113"/>
        <v>0</v>
      </c>
      <c r="X1801" t="str">
        <f t="shared" si="114"/>
        <v>0-12 Months</v>
      </c>
      <c r="Y1801" s="1" t="str">
        <f t="shared" si="115"/>
        <v>High</v>
      </c>
    </row>
    <row r="1802" spans="1:25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 t="shared" si="112"/>
        <v>0</v>
      </c>
      <c r="W1802">
        <f t="shared" si="113"/>
        <v>1</v>
      </c>
      <c r="X1802" t="str">
        <f t="shared" si="114"/>
        <v>0-12 Months</v>
      </c>
      <c r="Y1802" s="1" t="str">
        <f t="shared" si="115"/>
        <v>Low</v>
      </c>
    </row>
    <row r="1803" spans="1:25" x14ac:dyDescent="0.2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 t="shared" si="112"/>
        <v>0</v>
      </c>
      <c r="W1803">
        <f t="shared" si="113"/>
        <v>1</v>
      </c>
      <c r="X1803" t="str">
        <f t="shared" si="114"/>
        <v>13-24 Months</v>
      </c>
      <c r="Y1803" s="1" t="str">
        <f t="shared" si="115"/>
        <v>Medium</v>
      </c>
    </row>
    <row r="1804" spans="1:25" x14ac:dyDescent="0.2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 t="shared" si="112"/>
        <v>0</v>
      </c>
      <c r="W1804">
        <f t="shared" si="113"/>
        <v>1</v>
      </c>
      <c r="X1804" t="str">
        <f t="shared" si="114"/>
        <v>0-12 Months</v>
      </c>
      <c r="Y1804" s="1" t="str">
        <f t="shared" si="115"/>
        <v>Low</v>
      </c>
    </row>
    <row r="1805" spans="1:25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 t="shared" si="112"/>
        <v>0</v>
      </c>
      <c r="W1805">
        <f t="shared" si="113"/>
        <v>1</v>
      </c>
      <c r="X1805" t="str">
        <f t="shared" si="114"/>
        <v>25-48 Months</v>
      </c>
      <c r="Y1805" s="1" t="str">
        <f t="shared" si="115"/>
        <v>Medium</v>
      </c>
    </row>
    <row r="1806" spans="1:25" x14ac:dyDescent="0.2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 t="shared" si="112"/>
        <v>0</v>
      </c>
      <c r="W1806">
        <f t="shared" si="113"/>
        <v>1</v>
      </c>
      <c r="X1806" t="str">
        <f t="shared" si="114"/>
        <v>25-48 Months</v>
      </c>
      <c r="Y1806" s="1" t="str">
        <f t="shared" si="115"/>
        <v>Low</v>
      </c>
    </row>
    <row r="1807" spans="1:25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 t="shared" si="112"/>
        <v>0</v>
      </c>
      <c r="W1807">
        <f t="shared" si="113"/>
        <v>1</v>
      </c>
      <c r="X1807" t="str">
        <f t="shared" si="114"/>
        <v>49+ Months</v>
      </c>
      <c r="Y1807" s="1" t="str">
        <f t="shared" si="115"/>
        <v>Medium</v>
      </c>
    </row>
    <row r="1808" spans="1:25" x14ac:dyDescent="0.2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 t="shared" si="112"/>
        <v>0</v>
      </c>
      <c r="W1808">
        <f t="shared" si="113"/>
        <v>1</v>
      </c>
      <c r="X1808" t="str">
        <f t="shared" si="114"/>
        <v>25-48 Months</v>
      </c>
      <c r="Y1808" s="1" t="str">
        <f t="shared" si="115"/>
        <v>Low</v>
      </c>
    </row>
    <row r="1809" spans="1:25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 t="shared" si="112"/>
        <v>1</v>
      </c>
      <c r="W1809">
        <f t="shared" si="113"/>
        <v>0</v>
      </c>
      <c r="X1809" t="str">
        <f t="shared" si="114"/>
        <v>0-12 Months</v>
      </c>
      <c r="Y1809" s="1" t="str">
        <f t="shared" si="115"/>
        <v>Medium</v>
      </c>
    </row>
    <row r="1810" spans="1:25" x14ac:dyDescent="0.2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 t="shared" si="112"/>
        <v>1</v>
      </c>
      <c r="W1810">
        <f t="shared" si="113"/>
        <v>0</v>
      </c>
      <c r="X1810" t="str">
        <f t="shared" si="114"/>
        <v>13-24 Months</v>
      </c>
      <c r="Y1810" s="1" t="str">
        <f t="shared" si="115"/>
        <v>Medium</v>
      </c>
    </row>
    <row r="1811" spans="1:25" x14ac:dyDescent="0.2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 t="shared" si="112"/>
        <v>1</v>
      </c>
      <c r="W1811">
        <f t="shared" si="113"/>
        <v>0</v>
      </c>
      <c r="X1811" t="str">
        <f t="shared" si="114"/>
        <v>25-48 Months</v>
      </c>
      <c r="Y1811" s="1" t="str">
        <f t="shared" si="115"/>
        <v>High</v>
      </c>
    </row>
    <row r="1812" spans="1:25" x14ac:dyDescent="0.2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 t="shared" si="112"/>
        <v>0</v>
      </c>
      <c r="W1812">
        <f t="shared" si="113"/>
        <v>1</v>
      </c>
      <c r="X1812" t="str">
        <f t="shared" si="114"/>
        <v>49+ Months</v>
      </c>
      <c r="Y1812" s="1" t="str">
        <f t="shared" si="115"/>
        <v>High</v>
      </c>
    </row>
    <row r="1813" spans="1:25" x14ac:dyDescent="0.2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 t="shared" si="112"/>
        <v>0</v>
      </c>
      <c r="W1813">
        <f t="shared" si="113"/>
        <v>1</v>
      </c>
      <c r="X1813" t="str">
        <f t="shared" si="114"/>
        <v>13-24 Months</v>
      </c>
      <c r="Y1813" s="1" t="str">
        <f t="shared" si="115"/>
        <v>Medium</v>
      </c>
    </row>
    <row r="1814" spans="1:25" x14ac:dyDescent="0.2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 t="shared" si="112"/>
        <v>0</v>
      </c>
      <c r="W1814">
        <f t="shared" si="113"/>
        <v>1</v>
      </c>
      <c r="X1814" t="str">
        <f t="shared" si="114"/>
        <v>13-24 Months</v>
      </c>
      <c r="Y1814" s="1" t="str">
        <f t="shared" si="115"/>
        <v>High</v>
      </c>
    </row>
    <row r="1815" spans="1:25" x14ac:dyDescent="0.2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 t="shared" si="112"/>
        <v>0</v>
      </c>
      <c r="W1815">
        <f t="shared" si="113"/>
        <v>1</v>
      </c>
      <c r="X1815" t="str">
        <f t="shared" si="114"/>
        <v>0-12 Months</v>
      </c>
      <c r="Y1815" s="1" t="str">
        <f t="shared" si="115"/>
        <v>Medium</v>
      </c>
    </row>
    <row r="1816" spans="1:25" x14ac:dyDescent="0.2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 t="shared" si="112"/>
        <v>0</v>
      </c>
      <c r="W1816">
        <f t="shared" si="113"/>
        <v>1</v>
      </c>
      <c r="X1816" t="str">
        <f t="shared" si="114"/>
        <v>0-12 Months</v>
      </c>
      <c r="Y1816" s="1" t="str">
        <f t="shared" si="115"/>
        <v>Low</v>
      </c>
    </row>
    <row r="1817" spans="1:25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 t="shared" si="112"/>
        <v>0</v>
      </c>
      <c r="W1817">
        <f t="shared" si="113"/>
        <v>1</v>
      </c>
      <c r="X1817" t="str">
        <f t="shared" si="114"/>
        <v>49+ Months</v>
      </c>
      <c r="Y1817" s="1" t="str">
        <f t="shared" si="115"/>
        <v>Low</v>
      </c>
    </row>
    <row r="1818" spans="1:25" x14ac:dyDescent="0.2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 t="shared" si="112"/>
        <v>0</v>
      </c>
      <c r="W1818">
        <f t="shared" si="113"/>
        <v>1</v>
      </c>
      <c r="X1818" t="str">
        <f t="shared" si="114"/>
        <v>0-12 Months</v>
      </c>
      <c r="Y1818" s="1" t="str">
        <f t="shared" si="115"/>
        <v>Low</v>
      </c>
    </row>
    <row r="1819" spans="1:25" x14ac:dyDescent="0.2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 t="shared" si="112"/>
        <v>0</v>
      </c>
      <c r="W1819">
        <f t="shared" si="113"/>
        <v>1</v>
      </c>
      <c r="X1819" t="str">
        <f t="shared" si="114"/>
        <v>49+ Months</v>
      </c>
      <c r="Y1819" s="1" t="str">
        <f t="shared" si="115"/>
        <v>High</v>
      </c>
    </row>
    <row r="1820" spans="1:25" x14ac:dyDescent="0.2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 t="shared" si="112"/>
        <v>0</v>
      </c>
      <c r="W1820">
        <f t="shared" si="113"/>
        <v>1</v>
      </c>
      <c r="X1820" t="str">
        <f t="shared" si="114"/>
        <v>49+ Months</v>
      </c>
      <c r="Y1820" s="1" t="str">
        <f t="shared" si="115"/>
        <v>Medium</v>
      </c>
    </row>
    <row r="1821" spans="1:25" x14ac:dyDescent="0.2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 t="shared" si="112"/>
        <v>0</v>
      </c>
      <c r="W1821">
        <f t="shared" si="113"/>
        <v>1</v>
      </c>
      <c r="X1821" t="str">
        <f t="shared" si="114"/>
        <v>49+ Months</v>
      </c>
      <c r="Y1821" s="1" t="str">
        <f t="shared" si="115"/>
        <v>Medium</v>
      </c>
    </row>
    <row r="1822" spans="1:25" x14ac:dyDescent="0.2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 t="shared" si="112"/>
        <v>0</v>
      </c>
      <c r="W1822">
        <f t="shared" si="113"/>
        <v>1</v>
      </c>
      <c r="X1822" t="str">
        <f t="shared" si="114"/>
        <v>0-12 Months</v>
      </c>
      <c r="Y1822" s="1" t="str">
        <f t="shared" si="115"/>
        <v>Low</v>
      </c>
    </row>
    <row r="1823" spans="1:25" x14ac:dyDescent="0.2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 t="shared" si="112"/>
        <v>1</v>
      </c>
      <c r="W1823">
        <f t="shared" si="113"/>
        <v>0</v>
      </c>
      <c r="X1823" t="str">
        <f t="shared" si="114"/>
        <v>25-48 Months</v>
      </c>
      <c r="Y1823" s="1" t="str">
        <f t="shared" si="115"/>
        <v>High</v>
      </c>
    </row>
    <row r="1824" spans="1:25" x14ac:dyDescent="0.2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 t="shared" si="112"/>
        <v>1</v>
      </c>
      <c r="W1824">
        <f t="shared" si="113"/>
        <v>0</v>
      </c>
      <c r="X1824" t="str">
        <f t="shared" si="114"/>
        <v>25-48 Months</v>
      </c>
      <c r="Y1824" s="1" t="str">
        <f t="shared" si="115"/>
        <v>High</v>
      </c>
    </row>
    <row r="1825" spans="1:25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 t="shared" si="112"/>
        <v>1</v>
      </c>
      <c r="W1825">
        <f t="shared" si="113"/>
        <v>0</v>
      </c>
      <c r="X1825" t="str">
        <f t="shared" si="114"/>
        <v>13-24 Months</v>
      </c>
      <c r="Y1825" s="1" t="str">
        <f t="shared" si="115"/>
        <v>Medium</v>
      </c>
    </row>
    <row r="1826" spans="1:25" x14ac:dyDescent="0.2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 t="shared" si="112"/>
        <v>0</v>
      </c>
      <c r="W1826">
        <f t="shared" si="113"/>
        <v>1</v>
      </c>
      <c r="X1826" t="str">
        <f t="shared" si="114"/>
        <v>49+ Months</v>
      </c>
      <c r="Y1826" s="1" t="str">
        <f t="shared" si="115"/>
        <v>Low</v>
      </c>
    </row>
    <row r="1827" spans="1:25" x14ac:dyDescent="0.2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 t="shared" si="112"/>
        <v>0</v>
      </c>
      <c r="W1827">
        <f t="shared" si="113"/>
        <v>1</v>
      </c>
      <c r="X1827" t="str">
        <f t="shared" si="114"/>
        <v>25-48 Months</v>
      </c>
      <c r="Y1827" s="1" t="str">
        <f t="shared" si="115"/>
        <v>Medium</v>
      </c>
    </row>
    <row r="1828" spans="1:25" x14ac:dyDescent="0.2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 t="shared" si="112"/>
        <v>0</v>
      </c>
      <c r="W1828">
        <f t="shared" si="113"/>
        <v>1</v>
      </c>
      <c r="X1828" t="str">
        <f t="shared" si="114"/>
        <v>49+ Months</v>
      </c>
      <c r="Y1828" s="1" t="str">
        <f t="shared" si="115"/>
        <v>High</v>
      </c>
    </row>
    <row r="1829" spans="1:25" x14ac:dyDescent="0.2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 t="shared" si="112"/>
        <v>0</v>
      </c>
      <c r="W1829">
        <f t="shared" si="113"/>
        <v>1</v>
      </c>
      <c r="X1829" t="str">
        <f t="shared" si="114"/>
        <v>25-48 Months</v>
      </c>
      <c r="Y1829" s="1" t="str">
        <f t="shared" si="115"/>
        <v>Medium</v>
      </c>
    </row>
    <row r="1830" spans="1:25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 t="shared" si="112"/>
        <v>0</v>
      </c>
      <c r="W1830">
        <f t="shared" si="113"/>
        <v>1</v>
      </c>
      <c r="X1830" t="str">
        <f t="shared" si="114"/>
        <v>25-48 Months</v>
      </c>
      <c r="Y1830" s="1" t="str">
        <f t="shared" si="115"/>
        <v>Low</v>
      </c>
    </row>
    <row r="1831" spans="1:25" x14ac:dyDescent="0.2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 t="shared" si="112"/>
        <v>0</v>
      </c>
      <c r="W1831">
        <f t="shared" si="113"/>
        <v>1</v>
      </c>
      <c r="X1831" t="str">
        <f t="shared" si="114"/>
        <v>0-12 Months</v>
      </c>
      <c r="Y1831" s="1" t="str">
        <f t="shared" si="115"/>
        <v>Medium</v>
      </c>
    </row>
    <row r="1832" spans="1:25" x14ac:dyDescent="0.2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 t="shared" si="112"/>
        <v>0</v>
      </c>
      <c r="W1832">
        <f t="shared" si="113"/>
        <v>1</v>
      </c>
      <c r="X1832" t="str">
        <f t="shared" si="114"/>
        <v>25-48 Months</v>
      </c>
      <c r="Y1832" s="1" t="str">
        <f t="shared" si="115"/>
        <v>Low</v>
      </c>
    </row>
    <row r="1833" spans="1:25" x14ac:dyDescent="0.2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 t="shared" si="112"/>
        <v>0</v>
      </c>
      <c r="W1833">
        <f t="shared" si="113"/>
        <v>1</v>
      </c>
      <c r="X1833" t="str">
        <f t="shared" si="114"/>
        <v>13-24 Months</v>
      </c>
      <c r="Y1833" s="1" t="str">
        <f t="shared" si="115"/>
        <v>Medium</v>
      </c>
    </row>
    <row r="1834" spans="1:25" x14ac:dyDescent="0.2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 t="shared" si="112"/>
        <v>1</v>
      </c>
      <c r="W1834">
        <f t="shared" si="113"/>
        <v>0</v>
      </c>
      <c r="X1834" t="str">
        <f t="shared" si="114"/>
        <v>49+ Months</v>
      </c>
      <c r="Y1834" s="1" t="str">
        <f t="shared" si="115"/>
        <v>Low</v>
      </c>
    </row>
    <row r="1835" spans="1:25" x14ac:dyDescent="0.2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 t="shared" si="112"/>
        <v>0</v>
      </c>
      <c r="W1835">
        <f t="shared" si="113"/>
        <v>1</v>
      </c>
      <c r="X1835" t="str">
        <f t="shared" si="114"/>
        <v>0-12 Months</v>
      </c>
      <c r="Y1835" s="1" t="str">
        <f t="shared" si="115"/>
        <v>Low</v>
      </c>
    </row>
    <row r="1836" spans="1:25" x14ac:dyDescent="0.2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 t="shared" si="112"/>
        <v>1</v>
      </c>
      <c r="W1836">
        <f t="shared" si="113"/>
        <v>0</v>
      </c>
      <c r="X1836" t="str">
        <f t="shared" si="114"/>
        <v>0-12 Months</v>
      </c>
      <c r="Y1836" s="1" t="str">
        <f t="shared" si="115"/>
        <v>Low</v>
      </c>
    </row>
    <row r="1837" spans="1:25" x14ac:dyDescent="0.2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 t="shared" si="112"/>
        <v>0</v>
      </c>
      <c r="W1837">
        <f t="shared" si="113"/>
        <v>1</v>
      </c>
      <c r="X1837" t="str">
        <f t="shared" si="114"/>
        <v>0-12 Months</v>
      </c>
      <c r="Y1837" s="1" t="str">
        <f t="shared" si="115"/>
        <v>Low</v>
      </c>
    </row>
    <row r="1838" spans="1:25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 t="shared" si="112"/>
        <v>1</v>
      </c>
      <c r="W1838">
        <f t="shared" si="113"/>
        <v>0</v>
      </c>
      <c r="X1838" t="str">
        <f t="shared" si="114"/>
        <v>13-24 Months</v>
      </c>
      <c r="Y1838" s="1" t="str">
        <f t="shared" si="115"/>
        <v>High</v>
      </c>
    </row>
    <row r="1839" spans="1:25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 t="shared" si="112"/>
        <v>1</v>
      </c>
      <c r="W1839">
        <f t="shared" si="113"/>
        <v>0</v>
      </c>
      <c r="X1839" t="str">
        <f t="shared" si="114"/>
        <v>0-12 Months</v>
      </c>
      <c r="Y1839" s="1" t="str">
        <f t="shared" si="115"/>
        <v>Low</v>
      </c>
    </row>
    <row r="1840" spans="1:25" x14ac:dyDescent="0.2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 t="shared" si="112"/>
        <v>0</v>
      </c>
      <c r="W1840">
        <f t="shared" si="113"/>
        <v>1</v>
      </c>
      <c r="X1840" t="str">
        <f t="shared" si="114"/>
        <v>49+ Months</v>
      </c>
      <c r="Y1840" s="1" t="str">
        <f t="shared" si="115"/>
        <v>High</v>
      </c>
    </row>
    <row r="1841" spans="1:25" x14ac:dyDescent="0.2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 t="shared" si="112"/>
        <v>0</v>
      </c>
      <c r="W1841">
        <f t="shared" si="113"/>
        <v>1</v>
      </c>
      <c r="X1841" t="str">
        <f t="shared" si="114"/>
        <v>0-12 Months</v>
      </c>
      <c r="Y1841" s="1" t="str">
        <f t="shared" si="115"/>
        <v>Low</v>
      </c>
    </row>
    <row r="1842" spans="1:25" x14ac:dyDescent="0.2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 t="shared" si="112"/>
        <v>1</v>
      </c>
      <c r="W1842">
        <f t="shared" si="113"/>
        <v>0</v>
      </c>
      <c r="X1842" t="str">
        <f t="shared" si="114"/>
        <v>49+ Months</v>
      </c>
      <c r="Y1842" s="1" t="str">
        <f t="shared" si="115"/>
        <v>High</v>
      </c>
    </row>
    <row r="1843" spans="1:25" x14ac:dyDescent="0.2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 t="shared" si="112"/>
        <v>0</v>
      </c>
      <c r="W1843">
        <f t="shared" si="113"/>
        <v>1</v>
      </c>
      <c r="X1843" t="str">
        <f t="shared" si="114"/>
        <v>49+ Months</v>
      </c>
      <c r="Y1843" s="1" t="str">
        <f t="shared" si="115"/>
        <v>Low</v>
      </c>
    </row>
    <row r="1844" spans="1:25" x14ac:dyDescent="0.2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 t="shared" si="112"/>
        <v>0</v>
      </c>
      <c r="W1844">
        <f t="shared" si="113"/>
        <v>1</v>
      </c>
      <c r="X1844" t="str">
        <f t="shared" si="114"/>
        <v>25-48 Months</v>
      </c>
      <c r="Y1844" s="1" t="str">
        <f t="shared" si="115"/>
        <v>Medium</v>
      </c>
    </row>
    <row r="1845" spans="1:25" x14ac:dyDescent="0.2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 t="shared" si="112"/>
        <v>0</v>
      </c>
      <c r="W1845">
        <f t="shared" si="113"/>
        <v>1</v>
      </c>
      <c r="X1845" t="str">
        <f t="shared" si="114"/>
        <v>49+ Months</v>
      </c>
      <c r="Y1845" s="1" t="str">
        <f t="shared" si="115"/>
        <v>Low</v>
      </c>
    </row>
    <row r="1846" spans="1:25" x14ac:dyDescent="0.2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 t="shared" si="112"/>
        <v>0</v>
      </c>
      <c r="W1846">
        <f t="shared" si="113"/>
        <v>1</v>
      </c>
      <c r="X1846" t="str">
        <f t="shared" si="114"/>
        <v>49+ Months</v>
      </c>
      <c r="Y1846" s="1" t="str">
        <f t="shared" si="115"/>
        <v>Medium</v>
      </c>
    </row>
    <row r="1847" spans="1:25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 t="shared" si="112"/>
        <v>0</v>
      </c>
      <c r="W1847">
        <f t="shared" si="113"/>
        <v>1</v>
      </c>
      <c r="X1847" t="str">
        <f t="shared" si="114"/>
        <v>49+ Months</v>
      </c>
      <c r="Y1847" s="1" t="str">
        <f t="shared" si="115"/>
        <v>Low</v>
      </c>
    </row>
    <row r="1848" spans="1:25" x14ac:dyDescent="0.2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 t="shared" si="112"/>
        <v>0</v>
      </c>
      <c r="W1848">
        <f t="shared" si="113"/>
        <v>1</v>
      </c>
      <c r="X1848" t="str">
        <f t="shared" si="114"/>
        <v>13-24 Months</v>
      </c>
      <c r="Y1848" s="1" t="str">
        <f t="shared" si="115"/>
        <v>Low</v>
      </c>
    </row>
    <row r="1849" spans="1:25" x14ac:dyDescent="0.2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 t="shared" si="112"/>
        <v>0</v>
      </c>
      <c r="W1849">
        <f t="shared" si="113"/>
        <v>1</v>
      </c>
      <c r="X1849" t="str">
        <f t="shared" si="114"/>
        <v>49+ Months</v>
      </c>
      <c r="Y1849" s="1" t="str">
        <f t="shared" si="115"/>
        <v>Low</v>
      </c>
    </row>
    <row r="1850" spans="1:25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 t="shared" si="112"/>
        <v>0</v>
      </c>
      <c r="W1850">
        <f t="shared" si="113"/>
        <v>1</v>
      </c>
      <c r="X1850" t="str">
        <f t="shared" si="114"/>
        <v>25-48 Months</v>
      </c>
      <c r="Y1850" s="1" t="str">
        <f t="shared" si="115"/>
        <v>Low</v>
      </c>
    </row>
    <row r="1851" spans="1:25" x14ac:dyDescent="0.2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 t="shared" si="112"/>
        <v>1</v>
      </c>
      <c r="W1851">
        <f t="shared" si="113"/>
        <v>0</v>
      </c>
      <c r="X1851" t="str">
        <f t="shared" si="114"/>
        <v>0-12 Months</v>
      </c>
      <c r="Y1851" s="1" t="str">
        <f t="shared" si="115"/>
        <v>Low</v>
      </c>
    </row>
    <row r="1852" spans="1:25" x14ac:dyDescent="0.2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 t="shared" si="112"/>
        <v>0</v>
      </c>
      <c r="W1852">
        <f t="shared" si="113"/>
        <v>1</v>
      </c>
      <c r="X1852" t="str">
        <f t="shared" si="114"/>
        <v>25-48 Months</v>
      </c>
      <c r="Y1852" s="1" t="str">
        <f t="shared" si="115"/>
        <v>Medium</v>
      </c>
    </row>
    <row r="1853" spans="1:25" x14ac:dyDescent="0.2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 t="shared" si="112"/>
        <v>1</v>
      </c>
      <c r="W1853">
        <f t="shared" si="113"/>
        <v>0</v>
      </c>
      <c r="X1853" t="str">
        <f t="shared" si="114"/>
        <v>0-12 Months</v>
      </c>
      <c r="Y1853" s="1" t="str">
        <f t="shared" si="115"/>
        <v>Low</v>
      </c>
    </row>
    <row r="1854" spans="1:25" x14ac:dyDescent="0.2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 t="shared" si="112"/>
        <v>1</v>
      </c>
      <c r="W1854">
        <f t="shared" si="113"/>
        <v>0</v>
      </c>
      <c r="X1854" t="str">
        <f t="shared" si="114"/>
        <v>0-12 Months</v>
      </c>
      <c r="Y1854" s="1" t="str">
        <f t="shared" si="115"/>
        <v>Low</v>
      </c>
    </row>
    <row r="1855" spans="1:25" x14ac:dyDescent="0.2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 t="shared" si="112"/>
        <v>1</v>
      </c>
      <c r="W1855">
        <f t="shared" si="113"/>
        <v>0</v>
      </c>
      <c r="X1855" t="str">
        <f t="shared" si="114"/>
        <v>0-12 Months</v>
      </c>
      <c r="Y1855" s="1" t="str">
        <f t="shared" si="115"/>
        <v>Low</v>
      </c>
    </row>
    <row r="1856" spans="1:25" x14ac:dyDescent="0.2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 t="shared" si="112"/>
        <v>1</v>
      </c>
      <c r="W1856">
        <f t="shared" si="113"/>
        <v>0</v>
      </c>
      <c r="X1856" t="str">
        <f t="shared" si="114"/>
        <v>0-12 Months</v>
      </c>
      <c r="Y1856" s="1" t="str">
        <f t="shared" si="115"/>
        <v>Low</v>
      </c>
    </row>
    <row r="1857" spans="1:25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 t="shared" si="112"/>
        <v>0</v>
      </c>
      <c r="W1857">
        <f t="shared" si="113"/>
        <v>1</v>
      </c>
      <c r="X1857" t="str">
        <f t="shared" si="114"/>
        <v>25-48 Months</v>
      </c>
      <c r="Y1857" s="1" t="str">
        <f t="shared" si="115"/>
        <v>Low</v>
      </c>
    </row>
    <row r="1858" spans="1:25" x14ac:dyDescent="0.2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 t="shared" ref="V1858:V1921" si="116">IF(U1858="Yes",1,0)</f>
        <v>1</v>
      </c>
      <c r="W1858">
        <f t="shared" ref="W1858:W1921" si="117">IF(U1858="No",1,0)</f>
        <v>0</v>
      </c>
      <c r="X1858" t="str">
        <f t="shared" ref="X1858:X1921" si="118">IF(F1858&lt;=12,"0-12 Months",IF(F1858&lt;=24,"13-24 Months",IF(F1858&lt;=48,"25-48 Months","49+ Months")))</f>
        <v>25-48 Months</v>
      </c>
      <c r="Y1858" s="1" t="str">
        <f t="shared" ref="Y1858:Y1921" si="119">IF(S1858&lt;50,"Low",IF(S1858&lt;80,"Medium","High"))</f>
        <v>Medium</v>
      </c>
    </row>
    <row r="1859" spans="1:25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 t="shared" si="116"/>
        <v>0</v>
      </c>
      <c r="W1859">
        <f t="shared" si="117"/>
        <v>1</v>
      </c>
      <c r="X1859" t="str">
        <f t="shared" si="118"/>
        <v>49+ Months</v>
      </c>
      <c r="Y1859" s="1" t="str">
        <f t="shared" si="119"/>
        <v>Medium</v>
      </c>
    </row>
    <row r="1860" spans="1:25" x14ac:dyDescent="0.2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 t="shared" si="116"/>
        <v>1</v>
      </c>
      <c r="W1860">
        <f t="shared" si="117"/>
        <v>0</v>
      </c>
      <c r="X1860" t="str">
        <f t="shared" si="118"/>
        <v>13-24 Months</v>
      </c>
      <c r="Y1860" s="1" t="str">
        <f t="shared" si="119"/>
        <v>Medium</v>
      </c>
    </row>
    <row r="1861" spans="1:25" x14ac:dyDescent="0.2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 t="shared" si="116"/>
        <v>1</v>
      </c>
      <c r="W1861">
        <f t="shared" si="117"/>
        <v>0</v>
      </c>
      <c r="X1861" t="str">
        <f t="shared" si="118"/>
        <v>49+ Months</v>
      </c>
      <c r="Y1861" s="1" t="str">
        <f t="shared" si="119"/>
        <v>High</v>
      </c>
    </row>
    <row r="1862" spans="1:25" x14ac:dyDescent="0.2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 t="shared" si="116"/>
        <v>0</v>
      </c>
      <c r="W1862">
        <f t="shared" si="117"/>
        <v>1</v>
      </c>
      <c r="X1862" t="str">
        <f t="shared" si="118"/>
        <v>49+ Months</v>
      </c>
      <c r="Y1862" s="1" t="str">
        <f t="shared" si="119"/>
        <v>Low</v>
      </c>
    </row>
    <row r="1863" spans="1:25" x14ac:dyDescent="0.2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 t="shared" si="116"/>
        <v>1</v>
      </c>
      <c r="W1863">
        <f t="shared" si="117"/>
        <v>0</v>
      </c>
      <c r="X1863" t="str">
        <f t="shared" si="118"/>
        <v>0-12 Months</v>
      </c>
      <c r="Y1863" s="1" t="str">
        <f t="shared" si="119"/>
        <v>Low</v>
      </c>
    </row>
    <row r="1864" spans="1:25" x14ac:dyDescent="0.2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 t="shared" si="116"/>
        <v>0</v>
      </c>
      <c r="W1864">
        <f t="shared" si="117"/>
        <v>1</v>
      </c>
      <c r="X1864" t="str">
        <f t="shared" si="118"/>
        <v>49+ Months</v>
      </c>
      <c r="Y1864" s="1" t="str">
        <f t="shared" si="119"/>
        <v>Medium</v>
      </c>
    </row>
    <row r="1865" spans="1:25" x14ac:dyDescent="0.2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 t="shared" si="116"/>
        <v>0</v>
      </c>
      <c r="W1865">
        <f t="shared" si="117"/>
        <v>1</v>
      </c>
      <c r="X1865" t="str">
        <f t="shared" si="118"/>
        <v>0-12 Months</v>
      </c>
      <c r="Y1865" s="1" t="str">
        <f t="shared" si="119"/>
        <v>Low</v>
      </c>
    </row>
    <row r="1866" spans="1:25" x14ac:dyDescent="0.2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 t="shared" si="116"/>
        <v>0</v>
      </c>
      <c r="W1866">
        <f t="shared" si="117"/>
        <v>1</v>
      </c>
      <c r="X1866" t="str">
        <f t="shared" si="118"/>
        <v>25-48 Months</v>
      </c>
      <c r="Y1866" s="1" t="str">
        <f t="shared" si="119"/>
        <v>Medium</v>
      </c>
    </row>
    <row r="1867" spans="1:25" x14ac:dyDescent="0.2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 t="shared" si="116"/>
        <v>0</v>
      </c>
      <c r="W1867">
        <f t="shared" si="117"/>
        <v>1</v>
      </c>
      <c r="X1867" t="str">
        <f t="shared" si="118"/>
        <v>25-48 Months</v>
      </c>
      <c r="Y1867" s="1" t="str">
        <f t="shared" si="119"/>
        <v>High</v>
      </c>
    </row>
    <row r="1868" spans="1:25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 t="shared" si="116"/>
        <v>0</v>
      </c>
      <c r="W1868">
        <f t="shared" si="117"/>
        <v>1</v>
      </c>
      <c r="X1868" t="str">
        <f t="shared" si="118"/>
        <v>49+ Months</v>
      </c>
      <c r="Y1868" s="1" t="str">
        <f t="shared" si="119"/>
        <v>High</v>
      </c>
    </row>
    <row r="1869" spans="1:25" x14ac:dyDescent="0.2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 t="shared" si="116"/>
        <v>1</v>
      </c>
      <c r="W1869">
        <f t="shared" si="117"/>
        <v>0</v>
      </c>
      <c r="X1869" t="str">
        <f t="shared" si="118"/>
        <v>0-12 Months</v>
      </c>
      <c r="Y1869" s="1" t="str">
        <f t="shared" si="119"/>
        <v>High</v>
      </c>
    </row>
    <row r="1870" spans="1:25" x14ac:dyDescent="0.2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 t="shared" si="116"/>
        <v>0</v>
      </c>
      <c r="W1870">
        <f t="shared" si="117"/>
        <v>1</v>
      </c>
      <c r="X1870" t="str">
        <f t="shared" si="118"/>
        <v>0-12 Months</v>
      </c>
      <c r="Y1870" s="1" t="str">
        <f t="shared" si="119"/>
        <v>Low</v>
      </c>
    </row>
    <row r="1871" spans="1:25" x14ac:dyDescent="0.2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 t="shared" si="116"/>
        <v>0</v>
      </c>
      <c r="W1871">
        <f t="shared" si="117"/>
        <v>1</v>
      </c>
      <c r="X1871" t="str">
        <f t="shared" si="118"/>
        <v>49+ Months</v>
      </c>
      <c r="Y1871" s="1" t="str">
        <f t="shared" si="119"/>
        <v>Low</v>
      </c>
    </row>
    <row r="1872" spans="1:25" x14ac:dyDescent="0.2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 t="shared" si="116"/>
        <v>0</v>
      </c>
      <c r="W1872">
        <f t="shared" si="117"/>
        <v>1</v>
      </c>
      <c r="X1872" t="str">
        <f t="shared" si="118"/>
        <v>0-12 Months</v>
      </c>
      <c r="Y1872" s="1" t="str">
        <f t="shared" si="119"/>
        <v>Low</v>
      </c>
    </row>
    <row r="1873" spans="1:25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 t="shared" si="116"/>
        <v>0</v>
      </c>
      <c r="W1873">
        <f t="shared" si="117"/>
        <v>1</v>
      </c>
      <c r="X1873" t="str">
        <f t="shared" si="118"/>
        <v>49+ Months</v>
      </c>
      <c r="Y1873" s="1" t="str">
        <f t="shared" si="119"/>
        <v>High</v>
      </c>
    </row>
    <row r="1874" spans="1:25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 t="shared" si="116"/>
        <v>0</v>
      </c>
      <c r="W1874">
        <f t="shared" si="117"/>
        <v>1</v>
      </c>
      <c r="X1874" t="str">
        <f t="shared" si="118"/>
        <v>25-48 Months</v>
      </c>
      <c r="Y1874" s="1" t="str">
        <f t="shared" si="119"/>
        <v>Low</v>
      </c>
    </row>
    <row r="1875" spans="1:25" x14ac:dyDescent="0.2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 t="shared" si="116"/>
        <v>0</v>
      </c>
      <c r="W1875">
        <f t="shared" si="117"/>
        <v>1</v>
      </c>
      <c r="X1875" t="str">
        <f t="shared" si="118"/>
        <v>49+ Months</v>
      </c>
      <c r="Y1875" s="1" t="str">
        <f t="shared" si="119"/>
        <v>Medium</v>
      </c>
    </row>
    <row r="1876" spans="1:25" x14ac:dyDescent="0.2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 t="shared" si="116"/>
        <v>0</v>
      </c>
      <c r="W1876">
        <f t="shared" si="117"/>
        <v>1</v>
      </c>
      <c r="X1876" t="str">
        <f t="shared" si="118"/>
        <v>25-48 Months</v>
      </c>
      <c r="Y1876" s="1" t="str">
        <f t="shared" si="119"/>
        <v>High</v>
      </c>
    </row>
    <row r="1877" spans="1:25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 t="shared" si="116"/>
        <v>0</v>
      </c>
      <c r="W1877">
        <f t="shared" si="117"/>
        <v>1</v>
      </c>
      <c r="X1877" t="str">
        <f t="shared" si="118"/>
        <v>49+ Months</v>
      </c>
      <c r="Y1877" s="1" t="str">
        <f t="shared" si="119"/>
        <v>High</v>
      </c>
    </row>
    <row r="1878" spans="1:25" x14ac:dyDescent="0.2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 t="shared" si="116"/>
        <v>0</v>
      </c>
      <c r="W1878">
        <f t="shared" si="117"/>
        <v>1</v>
      </c>
      <c r="X1878" t="str">
        <f t="shared" si="118"/>
        <v>25-48 Months</v>
      </c>
      <c r="Y1878" s="1" t="str">
        <f t="shared" si="119"/>
        <v>High</v>
      </c>
    </row>
    <row r="1879" spans="1:25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 t="shared" si="116"/>
        <v>0</v>
      </c>
      <c r="W1879">
        <f t="shared" si="117"/>
        <v>1</v>
      </c>
      <c r="X1879" t="str">
        <f t="shared" si="118"/>
        <v>49+ Months</v>
      </c>
      <c r="Y1879" s="1" t="str">
        <f t="shared" si="119"/>
        <v>High</v>
      </c>
    </row>
    <row r="1880" spans="1:25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 t="shared" si="116"/>
        <v>0</v>
      </c>
      <c r="W1880">
        <f t="shared" si="117"/>
        <v>1</v>
      </c>
      <c r="X1880" t="str">
        <f t="shared" si="118"/>
        <v>0-12 Months</v>
      </c>
      <c r="Y1880" s="1" t="str">
        <f t="shared" si="119"/>
        <v>Low</v>
      </c>
    </row>
    <row r="1881" spans="1:25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 t="shared" si="116"/>
        <v>1</v>
      </c>
      <c r="W1881">
        <f t="shared" si="117"/>
        <v>0</v>
      </c>
      <c r="X1881" t="str">
        <f t="shared" si="118"/>
        <v>0-12 Months</v>
      </c>
      <c r="Y1881" s="1" t="str">
        <f t="shared" si="119"/>
        <v>Medium</v>
      </c>
    </row>
    <row r="1882" spans="1:25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 t="shared" si="116"/>
        <v>1</v>
      </c>
      <c r="W1882">
        <f t="shared" si="117"/>
        <v>0</v>
      </c>
      <c r="X1882" t="str">
        <f t="shared" si="118"/>
        <v>0-12 Months</v>
      </c>
      <c r="Y1882" s="1" t="str">
        <f t="shared" si="119"/>
        <v>High</v>
      </c>
    </row>
    <row r="1883" spans="1:25" x14ac:dyDescent="0.2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 t="shared" si="116"/>
        <v>0</v>
      </c>
      <c r="W1883">
        <f t="shared" si="117"/>
        <v>1</v>
      </c>
      <c r="X1883" t="str">
        <f t="shared" si="118"/>
        <v>25-48 Months</v>
      </c>
      <c r="Y1883" s="1" t="str">
        <f t="shared" si="119"/>
        <v>Low</v>
      </c>
    </row>
    <row r="1884" spans="1:25" x14ac:dyDescent="0.2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 t="shared" si="116"/>
        <v>0</v>
      </c>
      <c r="W1884">
        <f t="shared" si="117"/>
        <v>1</v>
      </c>
      <c r="X1884" t="str">
        <f t="shared" si="118"/>
        <v>25-48 Months</v>
      </c>
      <c r="Y1884" s="1" t="str">
        <f t="shared" si="119"/>
        <v>Medium</v>
      </c>
    </row>
    <row r="1885" spans="1:25" x14ac:dyDescent="0.2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 t="shared" si="116"/>
        <v>1</v>
      </c>
      <c r="W1885">
        <f t="shared" si="117"/>
        <v>0</v>
      </c>
      <c r="X1885" t="str">
        <f t="shared" si="118"/>
        <v>25-48 Months</v>
      </c>
      <c r="Y1885" s="1" t="str">
        <f t="shared" si="119"/>
        <v>High</v>
      </c>
    </row>
    <row r="1886" spans="1:25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 t="shared" si="116"/>
        <v>0</v>
      </c>
      <c r="W1886">
        <f t="shared" si="117"/>
        <v>1</v>
      </c>
      <c r="X1886" t="str">
        <f t="shared" si="118"/>
        <v>25-48 Months</v>
      </c>
      <c r="Y1886" s="1" t="str">
        <f t="shared" si="119"/>
        <v>Medium</v>
      </c>
    </row>
    <row r="1887" spans="1:25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 t="shared" si="116"/>
        <v>0</v>
      </c>
      <c r="W1887">
        <f t="shared" si="117"/>
        <v>1</v>
      </c>
      <c r="X1887" t="str">
        <f t="shared" si="118"/>
        <v>13-24 Months</v>
      </c>
      <c r="Y1887" s="1" t="str">
        <f t="shared" si="119"/>
        <v>Medium</v>
      </c>
    </row>
    <row r="1888" spans="1:25" x14ac:dyDescent="0.2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 t="shared" si="116"/>
        <v>0</v>
      </c>
      <c r="W1888">
        <f t="shared" si="117"/>
        <v>1</v>
      </c>
      <c r="X1888" t="str">
        <f t="shared" si="118"/>
        <v>49+ Months</v>
      </c>
      <c r="Y1888" s="1" t="str">
        <f t="shared" si="119"/>
        <v>Medium</v>
      </c>
    </row>
    <row r="1889" spans="1:25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 t="shared" si="116"/>
        <v>1</v>
      </c>
      <c r="W1889">
        <f t="shared" si="117"/>
        <v>0</v>
      </c>
      <c r="X1889" t="str">
        <f t="shared" si="118"/>
        <v>13-24 Months</v>
      </c>
      <c r="Y1889" s="1" t="str">
        <f t="shared" si="119"/>
        <v>Medium</v>
      </c>
    </row>
    <row r="1890" spans="1:25" x14ac:dyDescent="0.2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 t="shared" si="116"/>
        <v>0</v>
      </c>
      <c r="W1890">
        <f t="shared" si="117"/>
        <v>1</v>
      </c>
      <c r="X1890" t="str">
        <f t="shared" si="118"/>
        <v>13-24 Months</v>
      </c>
      <c r="Y1890" s="1" t="str">
        <f t="shared" si="119"/>
        <v>Medium</v>
      </c>
    </row>
    <row r="1891" spans="1:25" x14ac:dyDescent="0.2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 t="shared" si="116"/>
        <v>0</v>
      </c>
      <c r="W1891">
        <f t="shared" si="117"/>
        <v>1</v>
      </c>
      <c r="X1891" t="str">
        <f t="shared" si="118"/>
        <v>13-24 Months</v>
      </c>
      <c r="Y1891" s="1" t="str">
        <f t="shared" si="119"/>
        <v>Low</v>
      </c>
    </row>
    <row r="1892" spans="1:25" x14ac:dyDescent="0.2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 t="shared" si="116"/>
        <v>1</v>
      </c>
      <c r="W1892">
        <f t="shared" si="117"/>
        <v>0</v>
      </c>
      <c r="X1892" t="str">
        <f t="shared" si="118"/>
        <v>0-12 Months</v>
      </c>
      <c r="Y1892" s="1" t="str">
        <f t="shared" si="119"/>
        <v>Low</v>
      </c>
    </row>
    <row r="1893" spans="1:25" x14ac:dyDescent="0.2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 t="shared" si="116"/>
        <v>1</v>
      </c>
      <c r="W1893">
        <f t="shared" si="117"/>
        <v>0</v>
      </c>
      <c r="X1893" t="str">
        <f t="shared" si="118"/>
        <v>0-12 Months</v>
      </c>
      <c r="Y1893" s="1" t="str">
        <f t="shared" si="119"/>
        <v>Low</v>
      </c>
    </row>
    <row r="1894" spans="1:25" x14ac:dyDescent="0.2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 t="shared" si="116"/>
        <v>0</v>
      </c>
      <c r="W1894">
        <f t="shared" si="117"/>
        <v>1</v>
      </c>
      <c r="X1894" t="str">
        <f t="shared" si="118"/>
        <v>0-12 Months</v>
      </c>
      <c r="Y1894" s="1" t="str">
        <f t="shared" si="119"/>
        <v>Medium</v>
      </c>
    </row>
    <row r="1895" spans="1:25" x14ac:dyDescent="0.2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 t="shared" si="116"/>
        <v>0</v>
      </c>
      <c r="W1895">
        <f t="shared" si="117"/>
        <v>1</v>
      </c>
      <c r="X1895" t="str">
        <f t="shared" si="118"/>
        <v>13-24 Months</v>
      </c>
      <c r="Y1895" s="1" t="str">
        <f t="shared" si="119"/>
        <v>Medium</v>
      </c>
    </row>
    <row r="1896" spans="1:25" x14ac:dyDescent="0.2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 t="shared" si="116"/>
        <v>0</v>
      </c>
      <c r="W1896">
        <f t="shared" si="117"/>
        <v>1</v>
      </c>
      <c r="X1896" t="str">
        <f t="shared" si="118"/>
        <v>25-48 Months</v>
      </c>
      <c r="Y1896" s="1" t="str">
        <f t="shared" si="119"/>
        <v>Low</v>
      </c>
    </row>
    <row r="1897" spans="1:25" x14ac:dyDescent="0.2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 t="shared" si="116"/>
        <v>0</v>
      </c>
      <c r="W1897">
        <f t="shared" si="117"/>
        <v>1</v>
      </c>
      <c r="X1897" t="str">
        <f t="shared" si="118"/>
        <v>49+ Months</v>
      </c>
      <c r="Y1897" s="1" t="str">
        <f t="shared" si="119"/>
        <v>High</v>
      </c>
    </row>
    <row r="1898" spans="1:25" x14ac:dyDescent="0.2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 t="shared" si="116"/>
        <v>0</v>
      </c>
      <c r="W1898">
        <f t="shared" si="117"/>
        <v>1</v>
      </c>
      <c r="X1898" t="str">
        <f t="shared" si="118"/>
        <v>25-48 Months</v>
      </c>
      <c r="Y1898" s="1" t="str">
        <f t="shared" si="119"/>
        <v>Medium</v>
      </c>
    </row>
    <row r="1899" spans="1:25" x14ac:dyDescent="0.2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 t="shared" si="116"/>
        <v>1</v>
      </c>
      <c r="W1899">
        <f t="shared" si="117"/>
        <v>0</v>
      </c>
      <c r="X1899" t="str">
        <f t="shared" si="118"/>
        <v>25-48 Months</v>
      </c>
      <c r="Y1899" s="1" t="str">
        <f t="shared" si="119"/>
        <v>Medium</v>
      </c>
    </row>
    <row r="1900" spans="1:25" x14ac:dyDescent="0.2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 t="shared" si="116"/>
        <v>1</v>
      </c>
      <c r="W1900">
        <f t="shared" si="117"/>
        <v>0</v>
      </c>
      <c r="X1900" t="str">
        <f t="shared" si="118"/>
        <v>0-12 Months</v>
      </c>
      <c r="Y1900" s="1" t="str">
        <f t="shared" si="119"/>
        <v>Medium</v>
      </c>
    </row>
    <row r="1901" spans="1:25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 t="shared" si="116"/>
        <v>0</v>
      </c>
      <c r="W1901">
        <f t="shared" si="117"/>
        <v>1</v>
      </c>
      <c r="X1901" t="str">
        <f t="shared" si="118"/>
        <v>13-24 Months</v>
      </c>
      <c r="Y1901" s="1" t="str">
        <f t="shared" si="119"/>
        <v>High</v>
      </c>
    </row>
    <row r="1902" spans="1:25" x14ac:dyDescent="0.2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 t="shared" si="116"/>
        <v>0</v>
      </c>
      <c r="W1902">
        <f t="shared" si="117"/>
        <v>1</v>
      </c>
      <c r="X1902" t="str">
        <f t="shared" si="118"/>
        <v>0-12 Months</v>
      </c>
      <c r="Y1902" s="1" t="str">
        <f t="shared" si="119"/>
        <v>Low</v>
      </c>
    </row>
    <row r="1903" spans="1:25" x14ac:dyDescent="0.2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 t="shared" si="116"/>
        <v>0</v>
      </c>
      <c r="W1903">
        <f t="shared" si="117"/>
        <v>1</v>
      </c>
      <c r="X1903" t="str">
        <f t="shared" si="118"/>
        <v>0-12 Months</v>
      </c>
      <c r="Y1903" s="1" t="str">
        <f t="shared" si="119"/>
        <v>Low</v>
      </c>
    </row>
    <row r="1904" spans="1:25" x14ac:dyDescent="0.2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 t="shared" si="116"/>
        <v>0</v>
      </c>
      <c r="W1904">
        <f t="shared" si="117"/>
        <v>1</v>
      </c>
      <c r="X1904" t="str">
        <f t="shared" si="118"/>
        <v>49+ Months</v>
      </c>
      <c r="Y1904" s="1" t="str">
        <f t="shared" si="119"/>
        <v>High</v>
      </c>
    </row>
    <row r="1905" spans="1:25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 t="shared" si="116"/>
        <v>0</v>
      </c>
      <c r="W1905">
        <f t="shared" si="117"/>
        <v>1</v>
      </c>
      <c r="X1905" t="str">
        <f t="shared" si="118"/>
        <v>0-12 Months</v>
      </c>
      <c r="Y1905" s="1" t="str">
        <f t="shared" si="119"/>
        <v>High</v>
      </c>
    </row>
    <row r="1906" spans="1:25" x14ac:dyDescent="0.2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 t="shared" si="116"/>
        <v>1</v>
      </c>
      <c r="W1906">
        <f t="shared" si="117"/>
        <v>0</v>
      </c>
      <c r="X1906" t="str">
        <f t="shared" si="118"/>
        <v>49+ Months</v>
      </c>
      <c r="Y1906" s="1" t="str">
        <f t="shared" si="119"/>
        <v>High</v>
      </c>
    </row>
    <row r="1907" spans="1:25" x14ac:dyDescent="0.2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 t="shared" si="116"/>
        <v>0</v>
      </c>
      <c r="W1907">
        <f t="shared" si="117"/>
        <v>1</v>
      </c>
      <c r="X1907" t="str">
        <f t="shared" si="118"/>
        <v>25-48 Months</v>
      </c>
      <c r="Y1907" s="1" t="str">
        <f t="shared" si="119"/>
        <v>Low</v>
      </c>
    </row>
    <row r="1908" spans="1:25" x14ac:dyDescent="0.2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 t="shared" si="116"/>
        <v>0</v>
      </c>
      <c r="W1908">
        <f t="shared" si="117"/>
        <v>1</v>
      </c>
      <c r="X1908" t="str">
        <f t="shared" si="118"/>
        <v>25-48 Months</v>
      </c>
      <c r="Y1908" s="1" t="str">
        <f t="shared" si="119"/>
        <v>Low</v>
      </c>
    </row>
    <row r="1909" spans="1:25" x14ac:dyDescent="0.2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 t="shared" si="116"/>
        <v>0</v>
      </c>
      <c r="W1909">
        <f t="shared" si="117"/>
        <v>1</v>
      </c>
      <c r="X1909" t="str">
        <f t="shared" si="118"/>
        <v>0-12 Months</v>
      </c>
      <c r="Y1909" s="1" t="str">
        <f t="shared" si="119"/>
        <v>Medium</v>
      </c>
    </row>
    <row r="1910" spans="1:25" x14ac:dyDescent="0.2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 t="shared" si="116"/>
        <v>0</v>
      </c>
      <c r="W1910">
        <f t="shared" si="117"/>
        <v>1</v>
      </c>
      <c r="X1910" t="str">
        <f t="shared" si="118"/>
        <v>49+ Months</v>
      </c>
      <c r="Y1910" s="1" t="str">
        <f t="shared" si="119"/>
        <v>Low</v>
      </c>
    </row>
    <row r="1911" spans="1:25" x14ac:dyDescent="0.2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 t="shared" si="116"/>
        <v>0</v>
      </c>
      <c r="W1911">
        <f t="shared" si="117"/>
        <v>1</v>
      </c>
      <c r="X1911" t="str">
        <f t="shared" si="118"/>
        <v>0-12 Months</v>
      </c>
      <c r="Y1911" s="1" t="str">
        <f t="shared" si="119"/>
        <v>Low</v>
      </c>
    </row>
    <row r="1912" spans="1:25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 t="shared" si="116"/>
        <v>0</v>
      </c>
      <c r="W1912">
        <f t="shared" si="117"/>
        <v>1</v>
      </c>
      <c r="X1912" t="str">
        <f t="shared" si="118"/>
        <v>0-12 Months</v>
      </c>
      <c r="Y1912" s="1" t="str">
        <f t="shared" si="119"/>
        <v>Low</v>
      </c>
    </row>
    <row r="1913" spans="1:25" x14ac:dyDescent="0.2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 t="shared" si="116"/>
        <v>0</v>
      </c>
      <c r="W1913">
        <f t="shared" si="117"/>
        <v>1</v>
      </c>
      <c r="X1913" t="str">
        <f t="shared" si="118"/>
        <v>49+ Months</v>
      </c>
      <c r="Y1913" s="1" t="str">
        <f t="shared" si="119"/>
        <v>High</v>
      </c>
    </row>
    <row r="1914" spans="1:25" x14ac:dyDescent="0.2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 t="shared" si="116"/>
        <v>0</v>
      </c>
      <c r="W1914">
        <f t="shared" si="117"/>
        <v>1</v>
      </c>
      <c r="X1914" t="str">
        <f t="shared" si="118"/>
        <v>25-48 Months</v>
      </c>
      <c r="Y1914" s="1" t="str">
        <f t="shared" si="119"/>
        <v>Low</v>
      </c>
    </row>
    <row r="1915" spans="1:25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 t="shared" si="116"/>
        <v>0</v>
      </c>
      <c r="W1915">
        <f t="shared" si="117"/>
        <v>1</v>
      </c>
      <c r="X1915" t="str">
        <f t="shared" si="118"/>
        <v>49+ Months</v>
      </c>
      <c r="Y1915" s="1" t="str">
        <f t="shared" si="119"/>
        <v>High</v>
      </c>
    </row>
    <row r="1916" spans="1:25" x14ac:dyDescent="0.2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 t="shared" si="116"/>
        <v>0</v>
      </c>
      <c r="W1916">
        <f t="shared" si="117"/>
        <v>1</v>
      </c>
      <c r="X1916" t="str">
        <f t="shared" si="118"/>
        <v>0-12 Months</v>
      </c>
      <c r="Y1916" s="1" t="str">
        <f t="shared" si="119"/>
        <v>Medium</v>
      </c>
    </row>
    <row r="1917" spans="1:25" x14ac:dyDescent="0.2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 t="shared" si="116"/>
        <v>0</v>
      </c>
      <c r="W1917">
        <f t="shared" si="117"/>
        <v>1</v>
      </c>
      <c r="X1917" t="str">
        <f t="shared" si="118"/>
        <v>13-24 Months</v>
      </c>
      <c r="Y1917" s="1" t="str">
        <f t="shared" si="119"/>
        <v>Medium</v>
      </c>
    </row>
    <row r="1918" spans="1:25" x14ac:dyDescent="0.2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 t="shared" si="116"/>
        <v>1</v>
      </c>
      <c r="W1918">
        <f t="shared" si="117"/>
        <v>0</v>
      </c>
      <c r="X1918" t="str">
        <f t="shared" si="118"/>
        <v>25-48 Months</v>
      </c>
      <c r="Y1918" s="1" t="str">
        <f t="shared" si="119"/>
        <v>High</v>
      </c>
    </row>
    <row r="1919" spans="1:25" x14ac:dyDescent="0.2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 t="shared" si="116"/>
        <v>0</v>
      </c>
      <c r="W1919">
        <f t="shared" si="117"/>
        <v>1</v>
      </c>
      <c r="X1919" t="str">
        <f t="shared" si="118"/>
        <v>49+ Months</v>
      </c>
      <c r="Y1919" s="1" t="str">
        <f t="shared" si="119"/>
        <v>High</v>
      </c>
    </row>
    <row r="1920" spans="1:25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 t="shared" si="116"/>
        <v>0</v>
      </c>
      <c r="W1920">
        <f t="shared" si="117"/>
        <v>1</v>
      </c>
      <c r="X1920" t="str">
        <f t="shared" si="118"/>
        <v>13-24 Months</v>
      </c>
      <c r="Y1920" s="1" t="str">
        <f t="shared" si="119"/>
        <v>Medium</v>
      </c>
    </row>
    <row r="1921" spans="1:25" x14ac:dyDescent="0.2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 t="shared" si="116"/>
        <v>1</v>
      </c>
      <c r="W1921">
        <f t="shared" si="117"/>
        <v>0</v>
      </c>
      <c r="X1921" t="str">
        <f t="shared" si="118"/>
        <v>0-12 Months</v>
      </c>
      <c r="Y1921" s="1" t="str">
        <f t="shared" si="119"/>
        <v>Medium</v>
      </c>
    </row>
    <row r="1922" spans="1:25" x14ac:dyDescent="0.2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 t="shared" ref="V1922:V1985" si="120">IF(U1922="Yes",1,0)</f>
        <v>0</v>
      </c>
      <c r="W1922">
        <f t="shared" ref="W1922:W1985" si="121">IF(U1922="No",1,0)</f>
        <v>1</v>
      </c>
      <c r="X1922" t="str">
        <f t="shared" ref="X1922:X1985" si="122">IF(F1922&lt;=12,"0-12 Months",IF(F1922&lt;=24,"13-24 Months",IF(F1922&lt;=48,"25-48 Months","49+ Months")))</f>
        <v>13-24 Months</v>
      </c>
      <c r="Y1922" s="1" t="str">
        <f t="shared" ref="Y1922:Y1985" si="123">IF(S1922&lt;50,"Low",IF(S1922&lt;80,"Medium","High"))</f>
        <v>Low</v>
      </c>
    </row>
    <row r="1923" spans="1:25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 t="shared" si="120"/>
        <v>0</v>
      </c>
      <c r="W1923">
        <f t="shared" si="121"/>
        <v>1</v>
      </c>
      <c r="X1923" t="str">
        <f t="shared" si="122"/>
        <v>49+ Months</v>
      </c>
      <c r="Y1923" s="1" t="str">
        <f t="shared" si="123"/>
        <v>High</v>
      </c>
    </row>
    <row r="1924" spans="1:25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 t="shared" si="120"/>
        <v>0</v>
      </c>
      <c r="W1924">
        <f t="shared" si="121"/>
        <v>1</v>
      </c>
      <c r="X1924" t="str">
        <f t="shared" si="122"/>
        <v>25-48 Months</v>
      </c>
      <c r="Y1924" s="1" t="str">
        <f t="shared" si="123"/>
        <v>Medium</v>
      </c>
    </row>
    <row r="1925" spans="1:25" x14ac:dyDescent="0.2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 t="shared" si="120"/>
        <v>0</v>
      </c>
      <c r="W1925">
        <f t="shared" si="121"/>
        <v>1</v>
      </c>
      <c r="X1925" t="str">
        <f t="shared" si="122"/>
        <v>25-48 Months</v>
      </c>
      <c r="Y1925" s="1" t="str">
        <f t="shared" si="123"/>
        <v>Low</v>
      </c>
    </row>
    <row r="1926" spans="1:25" x14ac:dyDescent="0.2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 t="shared" si="120"/>
        <v>0</v>
      </c>
      <c r="W1926">
        <f t="shared" si="121"/>
        <v>1</v>
      </c>
      <c r="X1926" t="str">
        <f t="shared" si="122"/>
        <v>13-24 Months</v>
      </c>
      <c r="Y1926" s="1" t="str">
        <f t="shared" si="123"/>
        <v>High</v>
      </c>
    </row>
    <row r="1927" spans="1:25" x14ac:dyDescent="0.2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 t="shared" si="120"/>
        <v>0</v>
      </c>
      <c r="W1927">
        <f t="shared" si="121"/>
        <v>1</v>
      </c>
      <c r="X1927" t="str">
        <f t="shared" si="122"/>
        <v>49+ Months</v>
      </c>
      <c r="Y1927" s="1" t="str">
        <f t="shared" si="123"/>
        <v>Medium</v>
      </c>
    </row>
    <row r="1928" spans="1:25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 t="shared" si="120"/>
        <v>1</v>
      </c>
      <c r="W1928">
        <f t="shared" si="121"/>
        <v>0</v>
      </c>
      <c r="X1928" t="str">
        <f t="shared" si="122"/>
        <v>49+ Months</v>
      </c>
      <c r="Y1928" s="1" t="str">
        <f t="shared" si="123"/>
        <v>High</v>
      </c>
    </row>
    <row r="1929" spans="1:25" x14ac:dyDescent="0.2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 t="shared" si="120"/>
        <v>1</v>
      </c>
      <c r="W1929">
        <f t="shared" si="121"/>
        <v>0</v>
      </c>
      <c r="X1929" t="str">
        <f t="shared" si="122"/>
        <v>25-48 Months</v>
      </c>
      <c r="Y1929" s="1" t="str">
        <f t="shared" si="123"/>
        <v>High</v>
      </c>
    </row>
    <row r="1930" spans="1:25" x14ac:dyDescent="0.2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 t="shared" si="120"/>
        <v>1</v>
      </c>
      <c r="W1930">
        <f t="shared" si="121"/>
        <v>0</v>
      </c>
      <c r="X1930" t="str">
        <f t="shared" si="122"/>
        <v>25-48 Months</v>
      </c>
      <c r="Y1930" s="1" t="str">
        <f t="shared" si="123"/>
        <v>Low</v>
      </c>
    </row>
    <row r="1931" spans="1:25" x14ac:dyDescent="0.2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 t="shared" si="120"/>
        <v>0</v>
      </c>
      <c r="W1931">
        <f t="shared" si="121"/>
        <v>1</v>
      </c>
      <c r="X1931" t="str">
        <f t="shared" si="122"/>
        <v>0-12 Months</v>
      </c>
      <c r="Y1931" s="1" t="str">
        <f t="shared" si="123"/>
        <v>High</v>
      </c>
    </row>
    <row r="1932" spans="1:25" x14ac:dyDescent="0.2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 t="shared" si="120"/>
        <v>0</v>
      </c>
      <c r="W1932">
        <f t="shared" si="121"/>
        <v>1</v>
      </c>
      <c r="X1932" t="str">
        <f t="shared" si="122"/>
        <v>0-12 Months</v>
      </c>
      <c r="Y1932" s="1" t="str">
        <f t="shared" si="123"/>
        <v>Low</v>
      </c>
    </row>
    <row r="1933" spans="1:25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 t="shared" si="120"/>
        <v>0</v>
      </c>
      <c r="W1933">
        <f t="shared" si="121"/>
        <v>1</v>
      </c>
      <c r="X1933" t="str">
        <f t="shared" si="122"/>
        <v>49+ Months</v>
      </c>
      <c r="Y1933" s="1" t="str">
        <f t="shared" si="123"/>
        <v>High</v>
      </c>
    </row>
    <row r="1934" spans="1:25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 t="shared" si="120"/>
        <v>0</v>
      </c>
      <c r="W1934">
        <f t="shared" si="121"/>
        <v>1</v>
      </c>
      <c r="X1934" t="str">
        <f t="shared" si="122"/>
        <v>0-12 Months</v>
      </c>
      <c r="Y1934" s="1" t="str">
        <f t="shared" si="123"/>
        <v>Low</v>
      </c>
    </row>
    <row r="1935" spans="1:25" x14ac:dyDescent="0.2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 t="shared" si="120"/>
        <v>0</v>
      </c>
      <c r="W1935">
        <f t="shared" si="121"/>
        <v>1</v>
      </c>
      <c r="X1935" t="str">
        <f t="shared" si="122"/>
        <v>13-24 Months</v>
      </c>
      <c r="Y1935" s="1" t="str">
        <f t="shared" si="123"/>
        <v>Low</v>
      </c>
    </row>
    <row r="1936" spans="1:25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 t="shared" si="120"/>
        <v>1</v>
      </c>
      <c r="W1936">
        <f t="shared" si="121"/>
        <v>0</v>
      </c>
      <c r="X1936" t="str">
        <f t="shared" si="122"/>
        <v>0-12 Months</v>
      </c>
      <c r="Y1936" s="1" t="str">
        <f t="shared" si="123"/>
        <v>Medium</v>
      </c>
    </row>
    <row r="1937" spans="1:25" x14ac:dyDescent="0.2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 t="shared" si="120"/>
        <v>0</v>
      </c>
      <c r="W1937">
        <f t="shared" si="121"/>
        <v>1</v>
      </c>
      <c r="X1937" t="str">
        <f t="shared" si="122"/>
        <v>49+ Months</v>
      </c>
      <c r="Y1937" s="1" t="str">
        <f t="shared" si="123"/>
        <v>Low</v>
      </c>
    </row>
    <row r="1938" spans="1:25" x14ac:dyDescent="0.2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 t="shared" si="120"/>
        <v>0</v>
      </c>
      <c r="W1938">
        <f t="shared" si="121"/>
        <v>1</v>
      </c>
      <c r="X1938" t="str">
        <f t="shared" si="122"/>
        <v>49+ Months</v>
      </c>
      <c r="Y1938" s="1" t="str">
        <f t="shared" si="123"/>
        <v>Medium</v>
      </c>
    </row>
    <row r="1939" spans="1:25" x14ac:dyDescent="0.2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 t="shared" si="120"/>
        <v>0</v>
      </c>
      <c r="W1939">
        <f t="shared" si="121"/>
        <v>1</v>
      </c>
      <c r="X1939" t="str">
        <f t="shared" si="122"/>
        <v>13-24 Months</v>
      </c>
      <c r="Y1939" s="1" t="str">
        <f t="shared" si="123"/>
        <v>Low</v>
      </c>
    </row>
    <row r="1940" spans="1:25" x14ac:dyDescent="0.2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 t="shared" si="120"/>
        <v>0</v>
      </c>
      <c r="W1940">
        <f t="shared" si="121"/>
        <v>1</v>
      </c>
      <c r="X1940" t="str">
        <f t="shared" si="122"/>
        <v>0-12 Months</v>
      </c>
      <c r="Y1940" s="1" t="str">
        <f t="shared" si="123"/>
        <v>Low</v>
      </c>
    </row>
    <row r="1941" spans="1:25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 t="shared" si="120"/>
        <v>0</v>
      </c>
      <c r="W1941">
        <f t="shared" si="121"/>
        <v>1</v>
      </c>
      <c r="X1941" t="str">
        <f t="shared" si="122"/>
        <v>0-12 Months</v>
      </c>
      <c r="Y1941" s="1" t="str">
        <f t="shared" si="123"/>
        <v>Low</v>
      </c>
    </row>
    <row r="1942" spans="1:25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 t="shared" si="120"/>
        <v>0</v>
      </c>
      <c r="W1942">
        <f t="shared" si="121"/>
        <v>1</v>
      </c>
      <c r="X1942" t="str">
        <f t="shared" si="122"/>
        <v>49+ Months</v>
      </c>
      <c r="Y1942" s="1" t="str">
        <f t="shared" si="123"/>
        <v>Medium</v>
      </c>
    </row>
    <row r="1943" spans="1:25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 t="shared" si="120"/>
        <v>0</v>
      </c>
      <c r="W1943">
        <f t="shared" si="121"/>
        <v>1</v>
      </c>
      <c r="X1943" t="str">
        <f t="shared" si="122"/>
        <v>0-12 Months</v>
      </c>
      <c r="Y1943" s="1" t="str">
        <f t="shared" si="123"/>
        <v>Medium</v>
      </c>
    </row>
    <row r="1944" spans="1:25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 t="shared" si="120"/>
        <v>0</v>
      </c>
      <c r="W1944">
        <f t="shared" si="121"/>
        <v>1</v>
      </c>
      <c r="X1944" t="str">
        <f t="shared" si="122"/>
        <v>25-48 Months</v>
      </c>
      <c r="Y1944" s="1" t="str">
        <f t="shared" si="123"/>
        <v>Low</v>
      </c>
    </row>
    <row r="1945" spans="1:25" x14ac:dyDescent="0.2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 t="shared" si="120"/>
        <v>0</v>
      </c>
      <c r="W1945">
        <f t="shared" si="121"/>
        <v>1</v>
      </c>
      <c r="X1945" t="str">
        <f t="shared" si="122"/>
        <v>0-12 Months</v>
      </c>
      <c r="Y1945" s="1" t="str">
        <f t="shared" si="123"/>
        <v>Low</v>
      </c>
    </row>
    <row r="1946" spans="1:25" x14ac:dyDescent="0.2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 t="shared" si="120"/>
        <v>1</v>
      </c>
      <c r="W1946">
        <f t="shared" si="121"/>
        <v>0</v>
      </c>
      <c r="X1946" t="str">
        <f t="shared" si="122"/>
        <v>0-12 Months</v>
      </c>
      <c r="Y1946" s="1" t="str">
        <f t="shared" si="123"/>
        <v>Low</v>
      </c>
    </row>
    <row r="1947" spans="1:25" x14ac:dyDescent="0.2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 t="shared" si="120"/>
        <v>0</v>
      </c>
      <c r="W1947">
        <f t="shared" si="121"/>
        <v>1</v>
      </c>
      <c r="X1947" t="str">
        <f t="shared" si="122"/>
        <v>49+ Months</v>
      </c>
      <c r="Y1947" s="1" t="str">
        <f t="shared" si="123"/>
        <v>Low</v>
      </c>
    </row>
    <row r="1948" spans="1:25" x14ac:dyDescent="0.2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 t="shared" si="120"/>
        <v>0</v>
      </c>
      <c r="W1948">
        <f t="shared" si="121"/>
        <v>1</v>
      </c>
      <c r="X1948" t="str">
        <f t="shared" si="122"/>
        <v>49+ Months</v>
      </c>
      <c r="Y1948" s="1" t="str">
        <f t="shared" si="123"/>
        <v>High</v>
      </c>
    </row>
    <row r="1949" spans="1:25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 t="shared" si="120"/>
        <v>0</v>
      </c>
      <c r="W1949">
        <f t="shared" si="121"/>
        <v>1</v>
      </c>
      <c r="X1949" t="str">
        <f t="shared" si="122"/>
        <v>49+ Months</v>
      </c>
      <c r="Y1949" s="1" t="str">
        <f t="shared" si="123"/>
        <v>High</v>
      </c>
    </row>
    <row r="1950" spans="1:25" x14ac:dyDescent="0.2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 t="shared" si="120"/>
        <v>1</v>
      </c>
      <c r="W1950">
        <f t="shared" si="121"/>
        <v>0</v>
      </c>
      <c r="X1950" t="str">
        <f t="shared" si="122"/>
        <v>0-12 Months</v>
      </c>
      <c r="Y1950" s="1" t="str">
        <f t="shared" si="123"/>
        <v>High</v>
      </c>
    </row>
    <row r="1951" spans="1:25" x14ac:dyDescent="0.2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 t="shared" si="120"/>
        <v>0</v>
      </c>
      <c r="W1951">
        <f t="shared" si="121"/>
        <v>1</v>
      </c>
      <c r="X1951" t="str">
        <f t="shared" si="122"/>
        <v>49+ Months</v>
      </c>
      <c r="Y1951" s="1" t="str">
        <f t="shared" si="123"/>
        <v>High</v>
      </c>
    </row>
    <row r="1952" spans="1:25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 t="shared" si="120"/>
        <v>1</v>
      </c>
      <c r="W1952">
        <f t="shared" si="121"/>
        <v>0</v>
      </c>
      <c r="X1952" t="str">
        <f t="shared" si="122"/>
        <v>49+ Months</v>
      </c>
      <c r="Y1952" s="1" t="str">
        <f t="shared" si="123"/>
        <v>High</v>
      </c>
    </row>
    <row r="1953" spans="1:25" x14ac:dyDescent="0.2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 t="shared" si="120"/>
        <v>0</v>
      </c>
      <c r="W1953">
        <f t="shared" si="121"/>
        <v>1</v>
      </c>
      <c r="X1953" t="str">
        <f t="shared" si="122"/>
        <v>13-24 Months</v>
      </c>
      <c r="Y1953" s="1" t="str">
        <f t="shared" si="123"/>
        <v>Medium</v>
      </c>
    </row>
    <row r="1954" spans="1:25" x14ac:dyDescent="0.2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 t="shared" si="120"/>
        <v>0</v>
      </c>
      <c r="W1954">
        <f t="shared" si="121"/>
        <v>1</v>
      </c>
      <c r="X1954" t="str">
        <f t="shared" si="122"/>
        <v>13-24 Months</v>
      </c>
      <c r="Y1954" s="1" t="str">
        <f t="shared" si="123"/>
        <v>High</v>
      </c>
    </row>
    <row r="1955" spans="1:25" x14ac:dyDescent="0.2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 t="shared" si="120"/>
        <v>1</v>
      </c>
      <c r="W1955">
        <f t="shared" si="121"/>
        <v>0</v>
      </c>
      <c r="X1955" t="str">
        <f t="shared" si="122"/>
        <v>0-12 Months</v>
      </c>
      <c r="Y1955" s="1" t="str">
        <f t="shared" si="123"/>
        <v>Medium</v>
      </c>
    </row>
    <row r="1956" spans="1:25" x14ac:dyDescent="0.2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 t="shared" si="120"/>
        <v>1</v>
      </c>
      <c r="W1956">
        <f t="shared" si="121"/>
        <v>0</v>
      </c>
      <c r="X1956" t="str">
        <f t="shared" si="122"/>
        <v>0-12 Months</v>
      </c>
      <c r="Y1956" s="1" t="str">
        <f t="shared" si="123"/>
        <v>Medium</v>
      </c>
    </row>
    <row r="1957" spans="1:25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 t="shared" si="120"/>
        <v>0</v>
      </c>
      <c r="W1957">
        <f t="shared" si="121"/>
        <v>1</v>
      </c>
      <c r="X1957" t="str">
        <f t="shared" si="122"/>
        <v>49+ Months</v>
      </c>
      <c r="Y1957" s="1" t="str">
        <f t="shared" si="123"/>
        <v>High</v>
      </c>
    </row>
    <row r="1958" spans="1:25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 t="shared" si="120"/>
        <v>0</v>
      </c>
      <c r="W1958">
        <f t="shared" si="121"/>
        <v>1</v>
      </c>
      <c r="X1958" t="str">
        <f t="shared" si="122"/>
        <v>49+ Months</v>
      </c>
      <c r="Y1958" s="1" t="str">
        <f t="shared" si="123"/>
        <v>High</v>
      </c>
    </row>
    <row r="1959" spans="1:25" x14ac:dyDescent="0.2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 t="shared" si="120"/>
        <v>0</v>
      </c>
      <c r="W1959">
        <f t="shared" si="121"/>
        <v>1</v>
      </c>
      <c r="X1959" t="str">
        <f t="shared" si="122"/>
        <v>25-48 Months</v>
      </c>
      <c r="Y1959" s="1" t="str">
        <f t="shared" si="123"/>
        <v>Medium</v>
      </c>
    </row>
    <row r="1960" spans="1:25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 t="shared" si="120"/>
        <v>0</v>
      </c>
      <c r="W1960">
        <f t="shared" si="121"/>
        <v>1</v>
      </c>
      <c r="X1960" t="str">
        <f t="shared" si="122"/>
        <v>13-24 Months</v>
      </c>
      <c r="Y1960" s="1" t="str">
        <f t="shared" si="123"/>
        <v>High</v>
      </c>
    </row>
    <row r="1961" spans="1:25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 t="shared" si="120"/>
        <v>0</v>
      </c>
      <c r="W1961">
        <f t="shared" si="121"/>
        <v>1</v>
      </c>
      <c r="X1961" t="str">
        <f t="shared" si="122"/>
        <v>0-12 Months</v>
      </c>
      <c r="Y1961" s="1" t="str">
        <f t="shared" si="123"/>
        <v>Low</v>
      </c>
    </row>
    <row r="1962" spans="1:25" x14ac:dyDescent="0.2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 t="shared" si="120"/>
        <v>0</v>
      </c>
      <c r="W1962">
        <f t="shared" si="121"/>
        <v>1</v>
      </c>
      <c r="X1962" t="str">
        <f t="shared" si="122"/>
        <v>25-48 Months</v>
      </c>
      <c r="Y1962" s="1" t="str">
        <f t="shared" si="123"/>
        <v>High</v>
      </c>
    </row>
    <row r="1963" spans="1:25" x14ac:dyDescent="0.2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 t="shared" si="120"/>
        <v>0</v>
      </c>
      <c r="W1963">
        <f t="shared" si="121"/>
        <v>1</v>
      </c>
      <c r="X1963" t="str">
        <f t="shared" si="122"/>
        <v>25-48 Months</v>
      </c>
      <c r="Y1963" s="1" t="str">
        <f t="shared" si="123"/>
        <v>Medium</v>
      </c>
    </row>
    <row r="1964" spans="1:25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 t="shared" si="120"/>
        <v>0</v>
      </c>
      <c r="W1964">
        <f t="shared" si="121"/>
        <v>1</v>
      </c>
      <c r="X1964" t="str">
        <f t="shared" si="122"/>
        <v>13-24 Months</v>
      </c>
      <c r="Y1964" s="1" t="str">
        <f t="shared" si="123"/>
        <v>High</v>
      </c>
    </row>
    <row r="1965" spans="1:25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 t="shared" si="120"/>
        <v>0</v>
      </c>
      <c r="W1965">
        <f t="shared" si="121"/>
        <v>1</v>
      </c>
      <c r="X1965" t="str">
        <f t="shared" si="122"/>
        <v>0-12 Months</v>
      </c>
      <c r="Y1965" s="1" t="str">
        <f t="shared" si="123"/>
        <v>Medium</v>
      </c>
    </row>
    <row r="1966" spans="1:25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 t="shared" si="120"/>
        <v>0</v>
      </c>
      <c r="W1966">
        <f t="shared" si="121"/>
        <v>1</v>
      </c>
      <c r="X1966" t="str">
        <f t="shared" si="122"/>
        <v>49+ Months</v>
      </c>
      <c r="Y1966" s="1" t="str">
        <f t="shared" si="123"/>
        <v>Medium</v>
      </c>
    </row>
    <row r="1967" spans="1:25" x14ac:dyDescent="0.2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 t="shared" si="120"/>
        <v>1</v>
      </c>
      <c r="W1967">
        <f t="shared" si="121"/>
        <v>0</v>
      </c>
      <c r="X1967" t="str">
        <f t="shared" si="122"/>
        <v>13-24 Months</v>
      </c>
      <c r="Y1967" s="1" t="str">
        <f t="shared" si="123"/>
        <v>Low</v>
      </c>
    </row>
    <row r="1968" spans="1:25" x14ac:dyDescent="0.2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 t="shared" si="120"/>
        <v>0</v>
      </c>
      <c r="W1968">
        <f t="shared" si="121"/>
        <v>1</v>
      </c>
      <c r="X1968" t="str">
        <f t="shared" si="122"/>
        <v>13-24 Months</v>
      </c>
      <c r="Y1968" s="1" t="str">
        <f t="shared" si="123"/>
        <v>Medium</v>
      </c>
    </row>
    <row r="1969" spans="1:25" x14ac:dyDescent="0.2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 t="shared" si="120"/>
        <v>1</v>
      </c>
      <c r="W1969">
        <f t="shared" si="121"/>
        <v>0</v>
      </c>
      <c r="X1969" t="str">
        <f t="shared" si="122"/>
        <v>49+ Months</v>
      </c>
      <c r="Y1969" s="1" t="str">
        <f t="shared" si="123"/>
        <v>Medium</v>
      </c>
    </row>
    <row r="1970" spans="1:25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 t="shared" si="120"/>
        <v>0</v>
      </c>
      <c r="W1970">
        <f t="shared" si="121"/>
        <v>1</v>
      </c>
      <c r="X1970" t="str">
        <f t="shared" si="122"/>
        <v>49+ Months</v>
      </c>
      <c r="Y1970" s="1" t="str">
        <f t="shared" si="123"/>
        <v>High</v>
      </c>
    </row>
    <row r="1971" spans="1:25" x14ac:dyDescent="0.2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 t="shared" si="120"/>
        <v>0</v>
      </c>
      <c r="W1971">
        <f t="shared" si="121"/>
        <v>1</v>
      </c>
      <c r="X1971" t="str">
        <f t="shared" si="122"/>
        <v>49+ Months</v>
      </c>
      <c r="Y1971" s="1" t="str">
        <f t="shared" si="123"/>
        <v>Medium</v>
      </c>
    </row>
    <row r="1972" spans="1:25" x14ac:dyDescent="0.2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 t="shared" si="120"/>
        <v>1</v>
      </c>
      <c r="W1972">
        <f t="shared" si="121"/>
        <v>0</v>
      </c>
      <c r="X1972" t="str">
        <f t="shared" si="122"/>
        <v>0-12 Months</v>
      </c>
      <c r="Y1972" s="1" t="str">
        <f t="shared" si="123"/>
        <v>High</v>
      </c>
    </row>
    <row r="1973" spans="1:25" x14ac:dyDescent="0.2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 t="shared" si="120"/>
        <v>0</v>
      </c>
      <c r="W1973">
        <f t="shared" si="121"/>
        <v>1</v>
      </c>
      <c r="X1973" t="str">
        <f t="shared" si="122"/>
        <v>13-24 Months</v>
      </c>
      <c r="Y1973" s="1" t="str">
        <f t="shared" si="123"/>
        <v>Low</v>
      </c>
    </row>
    <row r="1974" spans="1:25" x14ac:dyDescent="0.2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 t="shared" si="120"/>
        <v>0</v>
      </c>
      <c r="W1974">
        <f t="shared" si="121"/>
        <v>1</v>
      </c>
      <c r="X1974" t="str">
        <f t="shared" si="122"/>
        <v>13-24 Months</v>
      </c>
      <c r="Y1974" s="1" t="str">
        <f t="shared" si="123"/>
        <v>High</v>
      </c>
    </row>
    <row r="1975" spans="1:25" x14ac:dyDescent="0.2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 t="shared" si="120"/>
        <v>0</v>
      </c>
      <c r="W1975">
        <f t="shared" si="121"/>
        <v>1</v>
      </c>
      <c r="X1975" t="str">
        <f t="shared" si="122"/>
        <v>49+ Months</v>
      </c>
      <c r="Y1975" s="1" t="str">
        <f t="shared" si="123"/>
        <v>High</v>
      </c>
    </row>
    <row r="1976" spans="1:25" x14ac:dyDescent="0.2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 t="shared" si="120"/>
        <v>1</v>
      </c>
      <c r="W1976">
        <f t="shared" si="121"/>
        <v>0</v>
      </c>
      <c r="X1976" t="str">
        <f t="shared" si="122"/>
        <v>0-12 Months</v>
      </c>
      <c r="Y1976" s="1" t="str">
        <f t="shared" si="123"/>
        <v>Medium</v>
      </c>
    </row>
    <row r="1977" spans="1:25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 t="shared" si="120"/>
        <v>0</v>
      </c>
      <c r="W1977">
        <f t="shared" si="121"/>
        <v>1</v>
      </c>
      <c r="X1977" t="str">
        <f t="shared" si="122"/>
        <v>13-24 Months</v>
      </c>
      <c r="Y1977" s="1" t="str">
        <f t="shared" si="123"/>
        <v>Low</v>
      </c>
    </row>
    <row r="1978" spans="1:25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 t="shared" si="120"/>
        <v>1</v>
      </c>
      <c r="W1978">
        <f t="shared" si="121"/>
        <v>0</v>
      </c>
      <c r="X1978" t="str">
        <f t="shared" si="122"/>
        <v>0-12 Months</v>
      </c>
      <c r="Y1978" s="1" t="str">
        <f t="shared" si="123"/>
        <v>High</v>
      </c>
    </row>
    <row r="1979" spans="1:25" x14ac:dyDescent="0.2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 t="shared" si="120"/>
        <v>0</v>
      </c>
      <c r="W1979">
        <f t="shared" si="121"/>
        <v>1</v>
      </c>
      <c r="X1979" t="str">
        <f t="shared" si="122"/>
        <v>25-48 Months</v>
      </c>
      <c r="Y1979" s="1" t="str">
        <f t="shared" si="123"/>
        <v>High</v>
      </c>
    </row>
    <row r="1980" spans="1:25" x14ac:dyDescent="0.2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 t="shared" si="120"/>
        <v>0</v>
      </c>
      <c r="W1980">
        <f t="shared" si="121"/>
        <v>1</v>
      </c>
      <c r="X1980" t="str">
        <f t="shared" si="122"/>
        <v>49+ Months</v>
      </c>
      <c r="Y1980" s="1" t="str">
        <f t="shared" si="123"/>
        <v>Medium</v>
      </c>
    </row>
    <row r="1981" spans="1:25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 t="shared" si="120"/>
        <v>0</v>
      </c>
      <c r="W1981">
        <f t="shared" si="121"/>
        <v>1</v>
      </c>
      <c r="X1981" t="str">
        <f t="shared" si="122"/>
        <v>25-48 Months</v>
      </c>
      <c r="Y1981" s="1" t="str">
        <f t="shared" si="123"/>
        <v>Low</v>
      </c>
    </row>
    <row r="1982" spans="1:25" x14ac:dyDescent="0.2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 t="shared" si="120"/>
        <v>0</v>
      </c>
      <c r="W1982">
        <f t="shared" si="121"/>
        <v>1</v>
      </c>
      <c r="X1982" t="str">
        <f t="shared" si="122"/>
        <v>0-12 Months</v>
      </c>
      <c r="Y1982" s="1" t="str">
        <f t="shared" si="123"/>
        <v>High</v>
      </c>
    </row>
    <row r="1983" spans="1:25" x14ac:dyDescent="0.2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 t="shared" si="120"/>
        <v>1</v>
      </c>
      <c r="W1983">
        <f t="shared" si="121"/>
        <v>0</v>
      </c>
      <c r="X1983" t="str">
        <f t="shared" si="122"/>
        <v>49+ Months</v>
      </c>
      <c r="Y1983" s="1" t="str">
        <f t="shared" si="123"/>
        <v>High</v>
      </c>
    </row>
    <row r="1984" spans="1:25" x14ac:dyDescent="0.2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 t="shared" si="120"/>
        <v>0</v>
      </c>
      <c r="W1984">
        <f t="shared" si="121"/>
        <v>1</v>
      </c>
      <c r="X1984" t="str">
        <f t="shared" si="122"/>
        <v>13-24 Months</v>
      </c>
      <c r="Y1984" s="1" t="str">
        <f t="shared" si="123"/>
        <v>Low</v>
      </c>
    </row>
    <row r="1985" spans="1:25" x14ac:dyDescent="0.2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 t="shared" si="120"/>
        <v>0</v>
      </c>
      <c r="W1985">
        <f t="shared" si="121"/>
        <v>1</v>
      </c>
      <c r="X1985" t="str">
        <f t="shared" si="122"/>
        <v>25-48 Months</v>
      </c>
      <c r="Y1985" s="1" t="str">
        <f t="shared" si="123"/>
        <v>High</v>
      </c>
    </row>
    <row r="1986" spans="1:25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 t="shared" ref="V1986:V2049" si="124">IF(U1986="Yes",1,0)</f>
        <v>1</v>
      </c>
      <c r="W1986">
        <f t="shared" ref="W1986:W2049" si="125">IF(U1986="No",1,0)</f>
        <v>0</v>
      </c>
      <c r="X1986" t="str">
        <f t="shared" ref="X1986:X2049" si="126">IF(F1986&lt;=12,"0-12 Months",IF(F1986&lt;=24,"13-24 Months",IF(F1986&lt;=48,"25-48 Months","49+ Months")))</f>
        <v>13-24 Months</v>
      </c>
      <c r="Y1986" s="1" t="str">
        <f t="shared" ref="Y1986:Y2049" si="127">IF(S1986&lt;50,"Low",IF(S1986&lt;80,"Medium","High"))</f>
        <v>High</v>
      </c>
    </row>
    <row r="1987" spans="1:25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 t="shared" si="124"/>
        <v>1</v>
      </c>
      <c r="W1987">
        <f t="shared" si="125"/>
        <v>0</v>
      </c>
      <c r="X1987" t="str">
        <f t="shared" si="126"/>
        <v>0-12 Months</v>
      </c>
      <c r="Y1987" s="1" t="str">
        <f t="shared" si="127"/>
        <v>Low</v>
      </c>
    </row>
    <row r="1988" spans="1:25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 t="shared" si="124"/>
        <v>0</v>
      </c>
      <c r="W1988">
        <f t="shared" si="125"/>
        <v>1</v>
      </c>
      <c r="X1988" t="str">
        <f t="shared" si="126"/>
        <v>49+ Months</v>
      </c>
      <c r="Y1988" s="1" t="str">
        <f t="shared" si="127"/>
        <v>High</v>
      </c>
    </row>
    <row r="1989" spans="1:25" x14ac:dyDescent="0.2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 t="shared" si="124"/>
        <v>1</v>
      </c>
      <c r="W1989">
        <f t="shared" si="125"/>
        <v>0</v>
      </c>
      <c r="X1989" t="str">
        <f t="shared" si="126"/>
        <v>25-48 Months</v>
      </c>
      <c r="Y1989" s="1" t="str">
        <f t="shared" si="127"/>
        <v>High</v>
      </c>
    </row>
    <row r="1990" spans="1:25" x14ac:dyDescent="0.2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 t="shared" si="124"/>
        <v>1</v>
      </c>
      <c r="W1990">
        <f t="shared" si="125"/>
        <v>0</v>
      </c>
      <c r="X1990" t="str">
        <f t="shared" si="126"/>
        <v>49+ Months</v>
      </c>
      <c r="Y1990" s="1" t="str">
        <f t="shared" si="127"/>
        <v>High</v>
      </c>
    </row>
    <row r="1991" spans="1:25" x14ac:dyDescent="0.2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 t="shared" si="124"/>
        <v>0</v>
      </c>
      <c r="W1991">
        <f t="shared" si="125"/>
        <v>1</v>
      </c>
      <c r="X1991" t="str">
        <f t="shared" si="126"/>
        <v>25-48 Months</v>
      </c>
      <c r="Y1991" s="1" t="str">
        <f t="shared" si="127"/>
        <v>Low</v>
      </c>
    </row>
    <row r="1992" spans="1:25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 t="shared" si="124"/>
        <v>1</v>
      </c>
      <c r="W1992">
        <f t="shared" si="125"/>
        <v>0</v>
      </c>
      <c r="X1992" t="str">
        <f t="shared" si="126"/>
        <v>13-24 Months</v>
      </c>
      <c r="Y1992" s="1" t="str">
        <f t="shared" si="127"/>
        <v>High</v>
      </c>
    </row>
    <row r="1993" spans="1:25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 t="shared" si="124"/>
        <v>0</v>
      </c>
      <c r="W1993">
        <f t="shared" si="125"/>
        <v>1</v>
      </c>
      <c r="X1993" t="str">
        <f t="shared" si="126"/>
        <v>25-48 Months</v>
      </c>
      <c r="Y1993" s="1" t="str">
        <f t="shared" si="127"/>
        <v>Medium</v>
      </c>
    </row>
    <row r="1994" spans="1:25" x14ac:dyDescent="0.2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 t="shared" si="124"/>
        <v>0</v>
      </c>
      <c r="W1994">
        <f t="shared" si="125"/>
        <v>1</v>
      </c>
      <c r="X1994" t="str">
        <f t="shared" si="126"/>
        <v>13-24 Months</v>
      </c>
      <c r="Y1994" s="1" t="str">
        <f t="shared" si="127"/>
        <v>High</v>
      </c>
    </row>
    <row r="1995" spans="1:25" x14ac:dyDescent="0.2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 t="shared" si="124"/>
        <v>1</v>
      </c>
      <c r="W1995">
        <f t="shared" si="125"/>
        <v>0</v>
      </c>
      <c r="X1995" t="str">
        <f t="shared" si="126"/>
        <v>0-12 Months</v>
      </c>
      <c r="Y1995" s="1" t="str">
        <f t="shared" si="127"/>
        <v>Low</v>
      </c>
    </row>
    <row r="1996" spans="1:25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 t="shared" si="124"/>
        <v>0</v>
      </c>
      <c r="W1996">
        <f t="shared" si="125"/>
        <v>1</v>
      </c>
      <c r="X1996" t="str">
        <f t="shared" si="126"/>
        <v>13-24 Months</v>
      </c>
      <c r="Y1996" s="1" t="str">
        <f t="shared" si="127"/>
        <v>Low</v>
      </c>
    </row>
    <row r="1997" spans="1:25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 t="shared" si="124"/>
        <v>1</v>
      </c>
      <c r="W1997">
        <f t="shared" si="125"/>
        <v>0</v>
      </c>
      <c r="X1997" t="str">
        <f t="shared" si="126"/>
        <v>0-12 Months</v>
      </c>
      <c r="Y1997" s="1" t="str">
        <f t="shared" si="127"/>
        <v>Medium</v>
      </c>
    </row>
    <row r="1998" spans="1:25" x14ac:dyDescent="0.2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 t="shared" si="124"/>
        <v>0</v>
      </c>
      <c r="W1998">
        <f t="shared" si="125"/>
        <v>1</v>
      </c>
      <c r="X1998" t="str">
        <f t="shared" si="126"/>
        <v>49+ Months</v>
      </c>
      <c r="Y1998" s="1" t="str">
        <f t="shared" si="127"/>
        <v>Medium</v>
      </c>
    </row>
    <row r="1999" spans="1:25" x14ac:dyDescent="0.2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 t="shared" si="124"/>
        <v>0</v>
      </c>
      <c r="W1999">
        <f t="shared" si="125"/>
        <v>1</v>
      </c>
      <c r="X1999" t="str">
        <f t="shared" si="126"/>
        <v>49+ Months</v>
      </c>
      <c r="Y1999" s="1" t="str">
        <f t="shared" si="127"/>
        <v>High</v>
      </c>
    </row>
    <row r="2000" spans="1:25" x14ac:dyDescent="0.2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 t="shared" si="124"/>
        <v>1</v>
      </c>
      <c r="W2000">
        <f t="shared" si="125"/>
        <v>0</v>
      </c>
      <c r="X2000" t="str">
        <f t="shared" si="126"/>
        <v>0-12 Months</v>
      </c>
      <c r="Y2000" s="1" t="str">
        <f t="shared" si="127"/>
        <v>Low</v>
      </c>
    </row>
    <row r="2001" spans="1:25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 t="shared" si="124"/>
        <v>1</v>
      </c>
      <c r="W2001">
        <f t="shared" si="125"/>
        <v>0</v>
      </c>
      <c r="X2001" t="str">
        <f t="shared" si="126"/>
        <v>13-24 Months</v>
      </c>
      <c r="Y2001" s="1" t="str">
        <f t="shared" si="127"/>
        <v>Medium</v>
      </c>
    </row>
    <row r="2002" spans="1:25" x14ac:dyDescent="0.2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 t="shared" si="124"/>
        <v>0</v>
      </c>
      <c r="W2002">
        <f t="shared" si="125"/>
        <v>1</v>
      </c>
      <c r="X2002" t="str">
        <f t="shared" si="126"/>
        <v>0-12 Months</v>
      </c>
      <c r="Y2002" s="1" t="str">
        <f t="shared" si="127"/>
        <v>Medium</v>
      </c>
    </row>
    <row r="2003" spans="1:25" x14ac:dyDescent="0.2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 t="shared" si="124"/>
        <v>0</v>
      </c>
      <c r="W2003">
        <f t="shared" si="125"/>
        <v>1</v>
      </c>
      <c r="X2003" t="str">
        <f t="shared" si="126"/>
        <v>0-12 Months</v>
      </c>
      <c r="Y2003" s="1" t="str">
        <f t="shared" si="127"/>
        <v>Low</v>
      </c>
    </row>
    <row r="2004" spans="1:25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 t="shared" si="124"/>
        <v>0</v>
      </c>
      <c r="W2004">
        <f t="shared" si="125"/>
        <v>1</v>
      </c>
      <c r="X2004" t="str">
        <f t="shared" si="126"/>
        <v>49+ Months</v>
      </c>
      <c r="Y2004" s="1" t="str">
        <f t="shared" si="127"/>
        <v>Low</v>
      </c>
    </row>
    <row r="2005" spans="1:25" x14ac:dyDescent="0.2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 t="shared" si="124"/>
        <v>1</v>
      </c>
      <c r="W2005">
        <f t="shared" si="125"/>
        <v>0</v>
      </c>
      <c r="X2005" t="str">
        <f t="shared" si="126"/>
        <v>49+ Months</v>
      </c>
      <c r="Y2005" s="1" t="str">
        <f t="shared" si="127"/>
        <v>High</v>
      </c>
    </row>
    <row r="2006" spans="1:25" x14ac:dyDescent="0.2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 t="shared" si="124"/>
        <v>1</v>
      </c>
      <c r="W2006">
        <f t="shared" si="125"/>
        <v>0</v>
      </c>
      <c r="X2006" t="str">
        <f t="shared" si="126"/>
        <v>13-24 Months</v>
      </c>
      <c r="Y2006" s="1" t="str">
        <f t="shared" si="127"/>
        <v>High</v>
      </c>
    </row>
    <row r="2007" spans="1:25" x14ac:dyDescent="0.2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 t="shared" si="124"/>
        <v>1</v>
      </c>
      <c r="W2007">
        <f t="shared" si="125"/>
        <v>0</v>
      </c>
      <c r="X2007" t="str">
        <f t="shared" si="126"/>
        <v>49+ Months</v>
      </c>
      <c r="Y2007" s="1" t="str">
        <f t="shared" si="127"/>
        <v>High</v>
      </c>
    </row>
    <row r="2008" spans="1:25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 t="shared" si="124"/>
        <v>1</v>
      </c>
      <c r="W2008">
        <f t="shared" si="125"/>
        <v>0</v>
      </c>
      <c r="X2008" t="str">
        <f t="shared" si="126"/>
        <v>0-12 Months</v>
      </c>
      <c r="Y2008" s="1" t="str">
        <f t="shared" si="127"/>
        <v>Low</v>
      </c>
    </row>
    <row r="2009" spans="1:25" x14ac:dyDescent="0.2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 t="shared" si="124"/>
        <v>1</v>
      </c>
      <c r="W2009">
        <f t="shared" si="125"/>
        <v>0</v>
      </c>
      <c r="X2009" t="str">
        <f t="shared" si="126"/>
        <v>0-12 Months</v>
      </c>
      <c r="Y2009" s="1" t="str">
        <f t="shared" si="127"/>
        <v>High</v>
      </c>
    </row>
    <row r="2010" spans="1:25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 t="shared" si="124"/>
        <v>1</v>
      </c>
      <c r="W2010">
        <f t="shared" si="125"/>
        <v>0</v>
      </c>
      <c r="X2010" t="str">
        <f t="shared" si="126"/>
        <v>0-12 Months</v>
      </c>
      <c r="Y2010" s="1" t="str">
        <f t="shared" si="127"/>
        <v>High</v>
      </c>
    </row>
    <row r="2011" spans="1:25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 t="shared" si="124"/>
        <v>0</v>
      </c>
      <c r="W2011">
        <f t="shared" si="125"/>
        <v>1</v>
      </c>
      <c r="X2011" t="str">
        <f t="shared" si="126"/>
        <v>49+ Months</v>
      </c>
      <c r="Y2011" s="1" t="str">
        <f t="shared" si="127"/>
        <v>Medium</v>
      </c>
    </row>
    <row r="2012" spans="1:25" x14ac:dyDescent="0.2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 t="shared" si="124"/>
        <v>1</v>
      </c>
      <c r="W2012">
        <f t="shared" si="125"/>
        <v>0</v>
      </c>
      <c r="X2012" t="str">
        <f t="shared" si="126"/>
        <v>0-12 Months</v>
      </c>
      <c r="Y2012" s="1" t="str">
        <f t="shared" si="127"/>
        <v>Medium</v>
      </c>
    </row>
    <row r="2013" spans="1:25" x14ac:dyDescent="0.2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 t="shared" si="124"/>
        <v>0</v>
      </c>
      <c r="W2013">
        <f t="shared" si="125"/>
        <v>1</v>
      </c>
      <c r="X2013" t="str">
        <f t="shared" si="126"/>
        <v>49+ Months</v>
      </c>
      <c r="Y2013" s="1" t="str">
        <f t="shared" si="127"/>
        <v>High</v>
      </c>
    </row>
    <row r="2014" spans="1:25" x14ac:dyDescent="0.2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 t="shared" si="124"/>
        <v>1</v>
      </c>
      <c r="W2014">
        <f t="shared" si="125"/>
        <v>0</v>
      </c>
      <c r="X2014" t="str">
        <f t="shared" si="126"/>
        <v>25-48 Months</v>
      </c>
      <c r="Y2014" s="1" t="str">
        <f t="shared" si="127"/>
        <v>High</v>
      </c>
    </row>
    <row r="2015" spans="1:25" x14ac:dyDescent="0.2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 t="shared" si="124"/>
        <v>0</v>
      </c>
      <c r="W2015">
        <f t="shared" si="125"/>
        <v>1</v>
      </c>
      <c r="X2015" t="str">
        <f t="shared" si="126"/>
        <v>25-48 Months</v>
      </c>
      <c r="Y2015" s="1" t="str">
        <f t="shared" si="127"/>
        <v>Low</v>
      </c>
    </row>
    <row r="2016" spans="1:25" x14ac:dyDescent="0.2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 t="shared" si="124"/>
        <v>0</v>
      </c>
      <c r="W2016">
        <f t="shared" si="125"/>
        <v>1</v>
      </c>
      <c r="X2016" t="str">
        <f t="shared" si="126"/>
        <v>13-24 Months</v>
      </c>
      <c r="Y2016" s="1" t="str">
        <f t="shared" si="127"/>
        <v>Medium</v>
      </c>
    </row>
    <row r="2017" spans="1:25" x14ac:dyDescent="0.2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 t="shared" si="124"/>
        <v>0</v>
      </c>
      <c r="W2017">
        <f t="shared" si="125"/>
        <v>1</v>
      </c>
      <c r="X2017" t="str">
        <f t="shared" si="126"/>
        <v>25-48 Months</v>
      </c>
      <c r="Y2017" s="1" t="str">
        <f t="shared" si="127"/>
        <v>Low</v>
      </c>
    </row>
    <row r="2018" spans="1:25" x14ac:dyDescent="0.2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 t="shared" si="124"/>
        <v>1</v>
      </c>
      <c r="W2018">
        <f t="shared" si="125"/>
        <v>0</v>
      </c>
      <c r="X2018" t="str">
        <f t="shared" si="126"/>
        <v>0-12 Months</v>
      </c>
      <c r="Y2018" s="1" t="str">
        <f t="shared" si="127"/>
        <v>High</v>
      </c>
    </row>
    <row r="2019" spans="1:25" x14ac:dyDescent="0.2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 t="shared" si="124"/>
        <v>0</v>
      </c>
      <c r="W2019">
        <f t="shared" si="125"/>
        <v>1</v>
      </c>
      <c r="X2019" t="str">
        <f t="shared" si="126"/>
        <v>25-48 Months</v>
      </c>
      <c r="Y2019" s="1" t="str">
        <f t="shared" si="127"/>
        <v>Low</v>
      </c>
    </row>
    <row r="2020" spans="1:25" x14ac:dyDescent="0.2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 t="shared" si="124"/>
        <v>1</v>
      </c>
      <c r="W2020">
        <f t="shared" si="125"/>
        <v>0</v>
      </c>
      <c r="X2020" t="str">
        <f t="shared" si="126"/>
        <v>0-12 Months</v>
      </c>
      <c r="Y2020" s="1" t="str">
        <f t="shared" si="127"/>
        <v>Low</v>
      </c>
    </row>
    <row r="2021" spans="1:25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 t="shared" si="124"/>
        <v>1</v>
      </c>
      <c r="W2021">
        <f t="shared" si="125"/>
        <v>0</v>
      </c>
      <c r="X2021" t="str">
        <f t="shared" si="126"/>
        <v>49+ Months</v>
      </c>
      <c r="Y2021" s="1" t="str">
        <f t="shared" si="127"/>
        <v>High</v>
      </c>
    </row>
    <row r="2022" spans="1:25" x14ac:dyDescent="0.2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 t="shared" si="124"/>
        <v>0</v>
      </c>
      <c r="W2022">
        <f t="shared" si="125"/>
        <v>1</v>
      </c>
      <c r="X2022" t="str">
        <f t="shared" si="126"/>
        <v>49+ Months</v>
      </c>
      <c r="Y2022" s="1" t="str">
        <f t="shared" si="127"/>
        <v>Medium</v>
      </c>
    </row>
    <row r="2023" spans="1:25" x14ac:dyDescent="0.2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 t="shared" si="124"/>
        <v>0</v>
      </c>
      <c r="W2023">
        <f t="shared" si="125"/>
        <v>1</v>
      </c>
      <c r="X2023" t="str">
        <f t="shared" si="126"/>
        <v>49+ Months</v>
      </c>
      <c r="Y2023" s="1" t="str">
        <f t="shared" si="127"/>
        <v>High</v>
      </c>
    </row>
    <row r="2024" spans="1:25" x14ac:dyDescent="0.2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 t="shared" si="124"/>
        <v>0</v>
      </c>
      <c r="W2024">
        <f t="shared" si="125"/>
        <v>1</v>
      </c>
      <c r="X2024" t="str">
        <f t="shared" si="126"/>
        <v>13-24 Months</v>
      </c>
      <c r="Y2024" s="1" t="str">
        <f t="shared" si="127"/>
        <v>High</v>
      </c>
    </row>
    <row r="2025" spans="1:25" x14ac:dyDescent="0.2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 t="shared" si="124"/>
        <v>1</v>
      </c>
      <c r="W2025">
        <f t="shared" si="125"/>
        <v>0</v>
      </c>
      <c r="X2025" t="str">
        <f t="shared" si="126"/>
        <v>0-12 Months</v>
      </c>
      <c r="Y2025" s="1" t="str">
        <f t="shared" si="127"/>
        <v>High</v>
      </c>
    </row>
    <row r="2026" spans="1:25" x14ac:dyDescent="0.2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 t="shared" si="124"/>
        <v>0</v>
      </c>
      <c r="W2026">
        <f t="shared" si="125"/>
        <v>1</v>
      </c>
      <c r="X2026" t="str">
        <f t="shared" si="126"/>
        <v>0-12 Months</v>
      </c>
      <c r="Y2026" s="1" t="str">
        <f t="shared" si="127"/>
        <v>High</v>
      </c>
    </row>
    <row r="2027" spans="1:25" x14ac:dyDescent="0.2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 t="shared" si="124"/>
        <v>0</v>
      </c>
      <c r="W2027">
        <f t="shared" si="125"/>
        <v>1</v>
      </c>
      <c r="X2027" t="str">
        <f t="shared" si="126"/>
        <v>49+ Months</v>
      </c>
      <c r="Y2027" s="1" t="str">
        <f t="shared" si="127"/>
        <v>High</v>
      </c>
    </row>
    <row r="2028" spans="1:25" x14ac:dyDescent="0.2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 t="shared" si="124"/>
        <v>0</v>
      </c>
      <c r="W2028">
        <f t="shared" si="125"/>
        <v>1</v>
      </c>
      <c r="X2028" t="str">
        <f t="shared" si="126"/>
        <v>49+ Months</v>
      </c>
      <c r="Y2028" s="1" t="str">
        <f t="shared" si="127"/>
        <v>High</v>
      </c>
    </row>
    <row r="2029" spans="1:25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 t="shared" si="124"/>
        <v>0</v>
      </c>
      <c r="W2029">
        <f t="shared" si="125"/>
        <v>1</v>
      </c>
      <c r="X2029" t="str">
        <f t="shared" si="126"/>
        <v>13-24 Months</v>
      </c>
      <c r="Y2029" s="1" t="str">
        <f t="shared" si="127"/>
        <v>Low</v>
      </c>
    </row>
    <row r="2030" spans="1:25" x14ac:dyDescent="0.2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 t="shared" si="124"/>
        <v>0</v>
      </c>
      <c r="W2030">
        <f t="shared" si="125"/>
        <v>1</v>
      </c>
      <c r="X2030" t="str">
        <f t="shared" si="126"/>
        <v>13-24 Months</v>
      </c>
      <c r="Y2030" s="1" t="str">
        <f t="shared" si="127"/>
        <v>Low</v>
      </c>
    </row>
    <row r="2031" spans="1:25" x14ac:dyDescent="0.2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 t="shared" si="124"/>
        <v>1</v>
      </c>
      <c r="W2031">
        <f t="shared" si="125"/>
        <v>0</v>
      </c>
      <c r="X2031" t="str">
        <f t="shared" si="126"/>
        <v>49+ Months</v>
      </c>
      <c r="Y2031" s="1" t="str">
        <f t="shared" si="127"/>
        <v>High</v>
      </c>
    </row>
    <row r="2032" spans="1:25" x14ac:dyDescent="0.2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 t="shared" si="124"/>
        <v>0</v>
      </c>
      <c r="W2032">
        <f t="shared" si="125"/>
        <v>1</v>
      </c>
      <c r="X2032" t="str">
        <f t="shared" si="126"/>
        <v>0-12 Months</v>
      </c>
      <c r="Y2032" s="1" t="str">
        <f t="shared" si="127"/>
        <v>Medium</v>
      </c>
    </row>
    <row r="2033" spans="1:25" x14ac:dyDescent="0.2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 t="shared" si="124"/>
        <v>0</v>
      </c>
      <c r="W2033">
        <f t="shared" si="125"/>
        <v>1</v>
      </c>
      <c r="X2033" t="str">
        <f t="shared" si="126"/>
        <v>0-12 Months</v>
      </c>
      <c r="Y2033" s="1" t="str">
        <f t="shared" si="127"/>
        <v>Low</v>
      </c>
    </row>
    <row r="2034" spans="1:25" x14ac:dyDescent="0.2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 t="shared" si="124"/>
        <v>1</v>
      </c>
      <c r="W2034">
        <f t="shared" si="125"/>
        <v>0</v>
      </c>
      <c r="X2034" t="str">
        <f t="shared" si="126"/>
        <v>13-24 Months</v>
      </c>
      <c r="Y2034" s="1" t="str">
        <f t="shared" si="127"/>
        <v>High</v>
      </c>
    </row>
    <row r="2035" spans="1:25" x14ac:dyDescent="0.2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 t="shared" si="124"/>
        <v>1</v>
      </c>
      <c r="W2035">
        <f t="shared" si="125"/>
        <v>0</v>
      </c>
      <c r="X2035" t="str">
        <f t="shared" si="126"/>
        <v>0-12 Months</v>
      </c>
      <c r="Y2035" s="1" t="str">
        <f t="shared" si="127"/>
        <v>Low</v>
      </c>
    </row>
    <row r="2036" spans="1:25" x14ac:dyDescent="0.2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 t="shared" si="124"/>
        <v>0</v>
      </c>
      <c r="W2036">
        <f t="shared" si="125"/>
        <v>1</v>
      </c>
      <c r="X2036" t="str">
        <f t="shared" si="126"/>
        <v>25-48 Months</v>
      </c>
      <c r="Y2036" s="1" t="str">
        <f t="shared" si="127"/>
        <v>Medium</v>
      </c>
    </row>
    <row r="2037" spans="1:25" x14ac:dyDescent="0.2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 t="shared" si="124"/>
        <v>0</v>
      </c>
      <c r="W2037">
        <f t="shared" si="125"/>
        <v>1</v>
      </c>
      <c r="X2037" t="str">
        <f t="shared" si="126"/>
        <v>25-48 Months</v>
      </c>
      <c r="Y2037" s="1" t="str">
        <f t="shared" si="127"/>
        <v>Medium</v>
      </c>
    </row>
    <row r="2038" spans="1:25" x14ac:dyDescent="0.2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 t="shared" si="124"/>
        <v>0</v>
      </c>
      <c r="W2038">
        <f t="shared" si="125"/>
        <v>1</v>
      </c>
      <c r="X2038" t="str">
        <f t="shared" si="126"/>
        <v>0-12 Months</v>
      </c>
      <c r="Y2038" s="1" t="str">
        <f t="shared" si="127"/>
        <v>Medium</v>
      </c>
    </row>
    <row r="2039" spans="1:25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 t="shared" si="124"/>
        <v>0</v>
      </c>
      <c r="W2039">
        <f t="shared" si="125"/>
        <v>1</v>
      </c>
      <c r="X2039" t="str">
        <f t="shared" si="126"/>
        <v>0-12 Months</v>
      </c>
      <c r="Y2039" s="1" t="str">
        <f t="shared" si="127"/>
        <v>Medium</v>
      </c>
    </row>
    <row r="2040" spans="1:25" x14ac:dyDescent="0.2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 t="shared" si="124"/>
        <v>1</v>
      </c>
      <c r="W2040">
        <f t="shared" si="125"/>
        <v>0</v>
      </c>
      <c r="X2040" t="str">
        <f t="shared" si="126"/>
        <v>25-48 Months</v>
      </c>
      <c r="Y2040" s="1" t="str">
        <f t="shared" si="127"/>
        <v>High</v>
      </c>
    </row>
    <row r="2041" spans="1:25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 t="shared" si="124"/>
        <v>1</v>
      </c>
      <c r="W2041">
        <f t="shared" si="125"/>
        <v>0</v>
      </c>
      <c r="X2041" t="str">
        <f t="shared" si="126"/>
        <v>13-24 Months</v>
      </c>
      <c r="Y2041" s="1" t="str">
        <f t="shared" si="127"/>
        <v>Medium</v>
      </c>
    </row>
    <row r="2042" spans="1:25" x14ac:dyDescent="0.2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 t="shared" si="124"/>
        <v>0</v>
      </c>
      <c r="W2042">
        <f t="shared" si="125"/>
        <v>1</v>
      </c>
      <c r="X2042" t="str">
        <f t="shared" si="126"/>
        <v>49+ Months</v>
      </c>
      <c r="Y2042" s="1" t="str">
        <f t="shared" si="127"/>
        <v>High</v>
      </c>
    </row>
    <row r="2043" spans="1:25" x14ac:dyDescent="0.2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 t="shared" si="124"/>
        <v>0</v>
      </c>
      <c r="W2043">
        <f t="shared" si="125"/>
        <v>1</v>
      </c>
      <c r="X2043" t="str">
        <f t="shared" si="126"/>
        <v>0-12 Months</v>
      </c>
      <c r="Y2043" s="1" t="str">
        <f t="shared" si="127"/>
        <v>Low</v>
      </c>
    </row>
    <row r="2044" spans="1:25" x14ac:dyDescent="0.2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 t="shared" si="124"/>
        <v>0</v>
      </c>
      <c r="W2044">
        <f t="shared" si="125"/>
        <v>1</v>
      </c>
      <c r="X2044" t="str">
        <f t="shared" si="126"/>
        <v>25-48 Months</v>
      </c>
      <c r="Y2044" s="1" t="str">
        <f t="shared" si="127"/>
        <v>Medium</v>
      </c>
    </row>
    <row r="2045" spans="1:25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 t="shared" si="124"/>
        <v>0</v>
      </c>
      <c r="W2045">
        <f t="shared" si="125"/>
        <v>1</v>
      </c>
      <c r="X2045" t="str">
        <f t="shared" si="126"/>
        <v>13-24 Months</v>
      </c>
      <c r="Y2045" s="1" t="str">
        <f t="shared" si="127"/>
        <v>Medium</v>
      </c>
    </row>
    <row r="2046" spans="1:25" x14ac:dyDescent="0.2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 t="shared" si="124"/>
        <v>0</v>
      </c>
      <c r="W2046">
        <f t="shared" si="125"/>
        <v>1</v>
      </c>
      <c r="X2046" t="str">
        <f t="shared" si="126"/>
        <v>0-12 Months</v>
      </c>
      <c r="Y2046" s="1" t="str">
        <f t="shared" si="127"/>
        <v>Low</v>
      </c>
    </row>
    <row r="2047" spans="1:25" x14ac:dyDescent="0.2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 t="shared" si="124"/>
        <v>0</v>
      </c>
      <c r="W2047">
        <f t="shared" si="125"/>
        <v>1</v>
      </c>
      <c r="X2047" t="str">
        <f t="shared" si="126"/>
        <v>49+ Months</v>
      </c>
      <c r="Y2047" s="1" t="str">
        <f t="shared" si="127"/>
        <v>High</v>
      </c>
    </row>
    <row r="2048" spans="1:25" x14ac:dyDescent="0.2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 t="shared" si="124"/>
        <v>0</v>
      </c>
      <c r="W2048">
        <f t="shared" si="125"/>
        <v>1</v>
      </c>
      <c r="X2048" t="str">
        <f t="shared" si="126"/>
        <v>0-12 Months</v>
      </c>
      <c r="Y2048" s="1" t="str">
        <f t="shared" si="127"/>
        <v>Low</v>
      </c>
    </row>
    <row r="2049" spans="1:25" x14ac:dyDescent="0.2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 t="shared" si="124"/>
        <v>0</v>
      </c>
      <c r="W2049">
        <f t="shared" si="125"/>
        <v>1</v>
      </c>
      <c r="X2049" t="str">
        <f t="shared" si="126"/>
        <v>0-12 Months</v>
      </c>
      <c r="Y2049" s="1" t="str">
        <f t="shared" si="127"/>
        <v>Medium</v>
      </c>
    </row>
    <row r="2050" spans="1:25" x14ac:dyDescent="0.2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 t="shared" ref="V2050:V2113" si="128">IF(U2050="Yes",1,0)</f>
        <v>1</v>
      </c>
      <c r="W2050">
        <f t="shared" ref="W2050:W2113" si="129">IF(U2050="No",1,0)</f>
        <v>0</v>
      </c>
      <c r="X2050" t="str">
        <f t="shared" ref="X2050:X2113" si="130">IF(F2050&lt;=12,"0-12 Months",IF(F2050&lt;=24,"13-24 Months",IF(F2050&lt;=48,"25-48 Months","49+ Months")))</f>
        <v>13-24 Months</v>
      </c>
      <c r="Y2050" s="1" t="str">
        <f t="shared" ref="Y2050:Y2113" si="131">IF(S2050&lt;50,"Low",IF(S2050&lt;80,"Medium","High"))</f>
        <v>High</v>
      </c>
    </row>
    <row r="2051" spans="1:25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 t="shared" si="128"/>
        <v>0</v>
      </c>
      <c r="W2051">
        <f t="shared" si="129"/>
        <v>1</v>
      </c>
      <c r="X2051" t="str">
        <f t="shared" si="130"/>
        <v>49+ Months</v>
      </c>
      <c r="Y2051" s="1" t="str">
        <f t="shared" si="131"/>
        <v>High</v>
      </c>
    </row>
    <row r="2052" spans="1:25" x14ac:dyDescent="0.2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 t="shared" si="128"/>
        <v>0</v>
      </c>
      <c r="W2052">
        <f t="shared" si="129"/>
        <v>1</v>
      </c>
      <c r="X2052" t="str">
        <f t="shared" si="130"/>
        <v>49+ Months</v>
      </c>
      <c r="Y2052" s="1" t="str">
        <f t="shared" si="131"/>
        <v>Low</v>
      </c>
    </row>
    <row r="2053" spans="1:25" x14ac:dyDescent="0.2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 t="shared" si="128"/>
        <v>0</v>
      </c>
      <c r="W2053">
        <f t="shared" si="129"/>
        <v>1</v>
      </c>
      <c r="X2053" t="str">
        <f t="shared" si="130"/>
        <v>49+ Months</v>
      </c>
      <c r="Y2053" s="1" t="str">
        <f t="shared" si="131"/>
        <v>Low</v>
      </c>
    </row>
    <row r="2054" spans="1:25" x14ac:dyDescent="0.2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 t="shared" si="128"/>
        <v>0</v>
      </c>
      <c r="W2054">
        <f t="shared" si="129"/>
        <v>1</v>
      </c>
      <c r="X2054" t="str">
        <f t="shared" si="130"/>
        <v>25-48 Months</v>
      </c>
      <c r="Y2054" s="1" t="str">
        <f t="shared" si="131"/>
        <v>High</v>
      </c>
    </row>
    <row r="2055" spans="1:25" x14ac:dyDescent="0.2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 t="shared" si="128"/>
        <v>1</v>
      </c>
      <c r="W2055">
        <f t="shared" si="129"/>
        <v>0</v>
      </c>
      <c r="X2055" t="str">
        <f t="shared" si="130"/>
        <v>25-48 Months</v>
      </c>
      <c r="Y2055" s="1" t="str">
        <f t="shared" si="131"/>
        <v>High</v>
      </c>
    </row>
    <row r="2056" spans="1:25" x14ac:dyDescent="0.2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 t="shared" si="128"/>
        <v>1</v>
      </c>
      <c r="W2056">
        <f t="shared" si="129"/>
        <v>0</v>
      </c>
      <c r="X2056" t="str">
        <f t="shared" si="130"/>
        <v>0-12 Months</v>
      </c>
      <c r="Y2056" s="1" t="str">
        <f t="shared" si="131"/>
        <v>Low</v>
      </c>
    </row>
    <row r="2057" spans="1:25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 t="shared" si="128"/>
        <v>0</v>
      </c>
      <c r="W2057">
        <f t="shared" si="129"/>
        <v>1</v>
      </c>
      <c r="X2057" t="str">
        <f t="shared" si="130"/>
        <v>25-48 Months</v>
      </c>
      <c r="Y2057" s="1" t="str">
        <f t="shared" si="131"/>
        <v>High</v>
      </c>
    </row>
    <row r="2058" spans="1:25" x14ac:dyDescent="0.2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 t="shared" si="128"/>
        <v>0</v>
      </c>
      <c r="W2058">
        <f t="shared" si="129"/>
        <v>1</v>
      </c>
      <c r="X2058" t="str">
        <f t="shared" si="130"/>
        <v>49+ Months</v>
      </c>
      <c r="Y2058" s="1" t="str">
        <f t="shared" si="131"/>
        <v>High</v>
      </c>
    </row>
    <row r="2059" spans="1:25" x14ac:dyDescent="0.2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 t="shared" si="128"/>
        <v>1</v>
      </c>
      <c r="W2059">
        <f t="shared" si="129"/>
        <v>0</v>
      </c>
      <c r="X2059" t="str">
        <f t="shared" si="130"/>
        <v>13-24 Months</v>
      </c>
      <c r="Y2059" s="1" t="str">
        <f t="shared" si="131"/>
        <v>Medium</v>
      </c>
    </row>
    <row r="2060" spans="1:25" x14ac:dyDescent="0.2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 t="shared" si="128"/>
        <v>0</v>
      </c>
      <c r="W2060">
        <f t="shared" si="129"/>
        <v>1</v>
      </c>
      <c r="X2060" t="str">
        <f t="shared" si="130"/>
        <v>49+ Months</v>
      </c>
      <c r="Y2060" s="1" t="str">
        <f t="shared" si="131"/>
        <v>High</v>
      </c>
    </row>
    <row r="2061" spans="1:25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 t="shared" si="128"/>
        <v>0</v>
      </c>
      <c r="W2061">
        <f t="shared" si="129"/>
        <v>1</v>
      </c>
      <c r="X2061" t="str">
        <f t="shared" si="130"/>
        <v>25-48 Months</v>
      </c>
      <c r="Y2061" s="1" t="str">
        <f t="shared" si="131"/>
        <v>High</v>
      </c>
    </row>
    <row r="2062" spans="1:25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 t="shared" si="128"/>
        <v>0</v>
      </c>
      <c r="W2062">
        <f t="shared" si="129"/>
        <v>1</v>
      </c>
      <c r="X2062" t="str">
        <f t="shared" si="130"/>
        <v>49+ Months</v>
      </c>
      <c r="Y2062" s="1" t="str">
        <f t="shared" si="131"/>
        <v>High</v>
      </c>
    </row>
    <row r="2063" spans="1:25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 t="shared" si="128"/>
        <v>1</v>
      </c>
      <c r="W2063">
        <f t="shared" si="129"/>
        <v>0</v>
      </c>
      <c r="X2063" t="str">
        <f t="shared" si="130"/>
        <v>0-12 Months</v>
      </c>
      <c r="Y2063" s="1" t="str">
        <f t="shared" si="131"/>
        <v>Low</v>
      </c>
    </row>
    <row r="2064" spans="1:25" x14ac:dyDescent="0.2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 t="shared" si="128"/>
        <v>0</v>
      </c>
      <c r="W2064">
        <f t="shared" si="129"/>
        <v>1</v>
      </c>
      <c r="X2064" t="str">
        <f t="shared" si="130"/>
        <v>49+ Months</v>
      </c>
      <c r="Y2064" s="1" t="str">
        <f t="shared" si="131"/>
        <v>Low</v>
      </c>
    </row>
    <row r="2065" spans="1:25" x14ac:dyDescent="0.2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 t="shared" si="128"/>
        <v>0</v>
      </c>
      <c r="W2065">
        <f t="shared" si="129"/>
        <v>1</v>
      </c>
      <c r="X2065" t="str">
        <f t="shared" si="130"/>
        <v>49+ Months</v>
      </c>
      <c r="Y2065" s="1" t="str">
        <f t="shared" si="131"/>
        <v>Medium</v>
      </c>
    </row>
    <row r="2066" spans="1:25" x14ac:dyDescent="0.2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 t="shared" si="128"/>
        <v>0</v>
      </c>
      <c r="W2066">
        <f t="shared" si="129"/>
        <v>1</v>
      </c>
      <c r="X2066" t="str">
        <f t="shared" si="130"/>
        <v>25-48 Months</v>
      </c>
      <c r="Y2066" s="1" t="str">
        <f t="shared" si="131"/>
        <v>Low</v>
      </c>
    </row>
    <row r="2067" spans="1:25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 t="shared" si="128"/>
        <v>0</v>
      </c>
      <c r="W2067">
        <f t="shared" si="129"/>
        <v>1</v>
      </c>
      <c r="X2067" t="str">
        <f t="shared" si="130"/>
        <v>25-48 Months</v>
      </c>
      <c r="Y2067" s="1" t="str">
        <f t="shared" si="131"/>
        <v>High</v>
      </c>
    </row>
    <row r="2068" spans="1:25" x14ac:dyDescent="0.2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 t="shared" si="128"/>
        <v>0</v>
      </c>
      <c r="W2068">
        <f t="shared" si="129"/>
        <v>1</v>
      </c>
      <c r="X2068" t="str">
        <f t="shared" si="130"/>
        <v>49+ Months</v>
      </c>
      <c r="Y2068" s="1" t="str">
        <f t="shared" si="131"/>
        <v>Low</v>
      </c>
    </row>
    <row r="2069" spans="1:25" x14ac:dyDescent="0.2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 t="shared" si="128"/>
        <v>0</v>
      </c>
      <c r="W2069">
        <f t="shared" si="129"/>
        <v>1</v>
      </c>
      <c r="X2069" t="str">
        <f t="shared" si="130"/>
        <v>49+ Months</v>
      </c>
      <c r="Y2069" s="1" t="str">
        <f t="shared" si="131"/>
        <v>High</v>
      </c>
    </row>
    <row r="2070" spans="1:25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 t="shared" si="128"/>
        <v>0</v>
      </c>
      <c r="W2070">
        <f t="shared" si="129"/>
        <v>1</v>
      </c>
      <c r="X2070" t="str">
        <f t="shared" si="130"/>
        <v>25-48 Months</v>
      </c>
      <c r="Y2070" s="1" t="str">
        <f t="shared" si="131"/>
        <v>High</v>
      </c>
    </row>
    <row r="2071" spans="1:25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 t="shared" si="128"/>
        <v>1</v>
      </c>
      <c r="W2071">
        <f t="shared" si="129"/>
        <v>0</v>
      </c>
      <c r="X2071" t="str">
        <f t="shared" si="130"/>
        <v>0-12 Months</v>
      </c>
      <c r="Y2071" s="1" t="str">
        <f t="shared" si="131"/>
        <v>High</v>
      </c>
    </row>
    <row r="2072" spans="1:25" x14ac:dyDescent="0.2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 t="shared" si="128"/>
        <v>1</v>
      </c>
      <c r="W2072">
        <f t="shared" si="129"/>
        <v>0</v>
      </c>
      <c r="X2072" t="str">
        <f t="shared" si="130"/>
        <v>49+ Months</v>
      </c>
      <c r="Y2072" s="1" t="str">
        <f t="shared" si="131"/>
        <v>Medium</v>
      </c>
    </row>
    <row r="2073" spans="1:25" x14ac:dyDescent="0.2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 t="shared" si="128"/>
        <v>0</v>
      </c>
      <c r="W2073">
        <f t="shared" si="129"/>
        <v>1</v>
      </c>
      <c r="X2073" t="str">
        <f t="shared" si="130"/>
        <v>49+ Months</v>
      </c>
      <c r="Y2073" s="1" t="str">
        <f t="shared" si="131"/>
        <v>High</v>
      </c>
    </row>
    <row r="2074" spans="1:25" x14ac:dyDescent="0.2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 t="shared" si="128"/>
        <v>0</v>
      </c>
      <c r="W2074">
        <f t="shared" si="129"/>
        <v>1</v>
      </c>
      <c r="X2074" t="str">
        <f t="shared" si="130"/>
        <v>25-48 Months</v>
      </c>
      <c r="Y2074" s="1" t="str">
        <f t="shared" si="131"/>
        <v>Low</v>
      </c>
    </row>
    <row r="2075" spans="1:25" x14ac:dyDescent="0.2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 t="shared" si="128"/>
        <v>0</v>
      </c>
      <c r="W2075">
        <f t="shared" si="129"/>
        <v>1</v>
      </c>
      <c r="X2075" t="str">
        <f t="shared" si="130"/>
        <v>13-24 Months</v>
      </c>
      <c r="Y2075" s="1" t="str">
        <f t="shared" si="131"/>
        <v>Low</v>
      </c>
    </row>
    <row r="2076" spans="1:25" x14ac:dyDescent="0.2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 t="shared" si="128"/>
        <v>1</v>
      </c>
      <c r="W2076">
        <f t="shared" si="129"/>
        <v>0</v>
      </c>
      <c r="X2076" t="str">
        <f t="shared" si="130"/>
        <v>25-48 Months</v>
      </c>
      <c r="Y2076" s="1" t="str">
        <f t="shared" si="131"/>
        <v>High</v>
      </c>
    </row>
    <row r="2077" spans="1:25" x14ac:dyDescent="0.2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 t="shared" si="128"/>
        <v>0</v>
      </c>
      <c r="W2077">
        <f t="shared" si="129"/>
        <v>1</v>
      </c>
      <c r="X2077" t="str">
        <f t="shared" si="130"/>
        <v>49+ Months</v>
      </c>
      <c r="Y2077" s="1" t="str">
        <f t="shared" si="131"/>
        <v>High</v>
      </c>
    </row>
    <row r="2078" spans="1:25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 t="shared" si="128"/>
        <v>0</v>
      </c>
      <c r="W2078">
        <f t="shared" si="129"/>
        <v>1</v>
      </c>
      <c r="X2078" t="str">
        <f t="shared" si="130"/>
        <v>13-24 Months</v>
      </c>
      <c r="Y2078" s="1" t="str">
        <f t="shared" si="131"/>
        <v>Medium</v>
      </c>
    </row>
    <row r="2079" spans="1:25" x14ac:dyDescent="0.2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 t="shared" si="128"/>
        <v>1</v>
      </c>
      <c r="W2079">
        <f t="shared" si="129"/>
        <v>0</v>
      </c>
      <c r="X2079" t="str">
        <f t="shared" si="130"/>
        <v>0-12 Months</v>
      </c>
      <c r="Y2079" s="1" t="str">
        <f t="shared" si="131"/>
        <v>Medium</v>
      </c>
    </row>
    <row r="2080" spans="1:25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 t="shared" si="128"/>
        <v>0</v>
      </c>
      <c r="W2080">
        <f t="shared" si="129"/>
        <v>1</v>
      </c>
      <c r="X2080" t="str">
        <f t="shared" si="130"/>
        <v>13-24 Months</v>
      </c>
      <c r="Y2080" s="1" t="str">
        <f t="shared" si="131"/>
        <v>Medium</v>
      </c>
    </row>
    <row r="2081" spans="1:25" x14ac:dyDescent="0.2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 t="shared" si="128"/>
        <v>0</v>
      </c>
      <c r="W2081">
        <f t="shared" si="129"/>
        <v>1</v>
      </c>
      <c r="X2081" t="str">
        <f t="shared" si="130"/>
        <v>49+ Months</v>
      </c>
      <c r="Y2081" s="1" t="str">
        <f t="shared" si="131"/>
        <v>High</v>
      </c>
    </row>
    <row r="2082" spans="1:25" x14ac:dyDescent="0.2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 t="shared" si="128"/>
        <v>0</v>
      </c>
      <c r="W2082">
        <f t="shared" si="129"/>
        <v>1</v>
      </c>
      <c r="X2082" t="str">
        <f t="shared" si="130"/>
        <v>49+ Months</v>
      </c>
      <c r="Y2082" s="1" t="str">
        <f t="shared" si="131"/>
        <v>High</v>
      </c>
    </row>
    <row r="2083" spans="1:25" x14ac:dyDescent="0.2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 t="shared" si="128"/>
        <v>0</v>
      </c>
      <c r="W2083">
        <f t="shared" si="129"/>
        <v>1</v>
      </c>
      <c r="X2083" t="str">
        <f t="shared" si="130"/>
        <v>13-24 Months</v>
      </c>
      <c r="Y2083" s="1" t="str">
        <f t="shared" si="131"/>
        <v>Medium</v>
      </c>
    </row>
    <row r="2084" spans="1:25" x14ac:dyDescent="0.2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 t="shared" si="128"/>
        <v>0</v>
      </c>
      <c r="W2084">
        <f t="shared" si="129"/>
        <v>1</v>
      </c>
      <c r="X2084" t="str">
        <f t="shared" si="130"/>
        <v>13-24 Months</v>
      </c>
      <c r="Y2084" s="1" t="str">
        <f t="shared" si="131"/>
        <v>Low</v>
      </c>
    </row>
    <row r="2085" spans="1:25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 t="shared" si="128"/>
        <v>1</v>
      </c>
      <c r="W2085">
        <f t="shared" si="129"/>
        <v>0</v>
      </c>
      <c r="X2085" t="str">
        <f t="shared" si="130"/>
        <v>0-12 Months</v>
      </c>
      <c r="Y2085" s="1" t="str">
        <f t="shared" si="131"/>
        <v>Low</v>
      </c>
    </row>
    <row r="2086" spans="1:25" x14ac:dyDescent="0.2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 t="shared" si="128"/>
        <v>1</v>
      </c>
      <c r="W2086">
        <f t="shared" si="129"/>
        <v>0</v>
      </c>
      <c r="X2086" t="str">
        <f t="shared" si="130"/>
        <v>0-12 Months</v>
      </c>
      <c r="Y2086" s="1" t="str">
        <f t="shared" si="131"/>
        <v>Medium</v>
      </c>
    </row>
    <row r="2087" spans="1:25" x14ac:dyDescent="0.2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 t="shared" si="128"/>
        <v>1</v>
      </c>
      <c r="W2087">
        <f t="shared" si="129"/>
        <v>0</v>
      </c>
      <c r="X2087" t="str">
        <f t="shared" si="130"/>
        <v>25-48 Months</v>
      </c>
      <c r="Y2087" s="1" t="str">
        <f t="shared" si="131"/>
        <v>High</v>
      </c>
    </row>
    <row r="2088" spans="1:25" x14ac:dyDescent="0.2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 t="shared" si="128"/>
        <v>1</v>
      </c>
      <c r="W2088">
        <f t="shared" si="129"/>
        <v>0</v>
      </c>
      <c r="X2088" t="str">
        <f t="shared" si="130"/>
        <v>13-24 Months</v>
      </c>
      <c r="Y2088" s="1" t="str">
        <f t="shared" si="131"/>
        <v>High</v>
      </c>
    </row>
    <row r="2089" spans="1:25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 t="shared" si="128"/>
        <v>1</v>
      </c>
      <c r="W2089">
        <f t="shared" si="129"/>
        <v>0</v>
      </c>
      <c r="X2089" t="str">
        <f t="shared" si="130"/>
        <v>0-12 Months</v>
      </c>
      <c r="Y2089" s="1" t="str">
        <f t="shared" si="131"/>
        <v>Low</v>
      </c>
    </row>
    <row r="2090" spans="1:25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 t="shared" si="128"/>
        <v>0</v>
      </c>
      <c r="W2090">
        <f t="shared" si="129"/>
        <v>1</v>
      </c>
      <c r="X2090" t="str">
        <f t="shared" si="130"/>
        <v>25-48 Months</v>
      </c>
      <c r="Y2090" s="1" t="str">
        <f t="shared" si="131"/>
        <v>Medium</v>
      </c>
    </row>
    <row r="2091" spans="1:25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 t="shared" si="128"/>
        <v>0</v>
      </c>
      <c r="W2091">
        <f t="shared" si="129"/>
        <v>1</v>
      </c>
      <c r="X2091" t="str">
        <f t="shared" si="130"/>
        <v>49+ Months</v>
      </c>
      <c r="Y2091" s="1" t="str">
        <f t="shared" si="131"/>
        <v>Low</v>
      </c>
    </row>
    <row r="2092" spans="1:25" x14ac:dyDescent="0.2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 t="shared" si="128"/>
        <v>0</v>
      </c>
      <c r="W2092">
        <f t="shared" si="129"/>
        <v>1</v>
      </c>
      <c r="X2092" t="str">
        <f t="shared" si="130"/>
        <v>25-48 Months</v>
      </c>
      <c r="Y2092" s="1" t="str">
        <f t="shared" si="131"/>
        <v>Low</v>
      </c>
    </row>
    <row r="2093" spans="1:25" x14ac:dyDescent="0.2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 t="shared" si="128"/>
        <v>0</v>
      </c>
      <c r="W2093">
        <f t="shared" si="129"/>
        <v>1</v>
      </c>
      <c r="X2093" t="str">
        <f t="shared" si="130"/>
        <v>49+ Months</v>
      </c>
      <c r="Y2093" s="1" t="str">
        <f t="shared" si="131"/>
        <v>Low</v>
      </c>
    </row>
    <row r="2094" spans="1:25" x14ac:dyDescent="0.2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 t="shared" si="128"/>
        <v>0</v>
      </c>
      <c r="W2094">
        <f t="shared" si="129"/>
        <v>1</v>
      </c>
      <c r="X2094" t="str">
        <f t="shared" si="130"/>
        <v>49+ Months</v>
      </c>
      <c r="Y2094" s="1" t="str">
        <f t="shared" si="131"/>
        <v>Medium</v>
      </c>
    </row>
    <row r="2095" spans="1:25" x14ac:dyDescent="0.2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 t="shared" si="128"/>
        <v>0</v>
      </c>
      <c r="W2095">
        <f t="shared" si="129"/>
        <v>1</v>
      </c>
      <c r="X2095" t="str">
        <f t="shared" si="130"/>
        <v>0-12 Months</v>
      </c>
      <c r="Y2095" s="1" t="str">
        <f t="shared" si="131"/>
        <v>Low</v>
      </c>
    </row>
    <row r="2096" spans="1:25" x14ac:dyDescent="0.2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 t="shared" si="128"/>
        <v>0</v>
      </c>
      <c r="W2096">
        <f t="shared" si="129"/>
        <v>1</v>
      </c>
      <c r="X2096" t="str">
        <f t="shared" si="130"/>
        <v>13-24 Months</v>
      </c>
      <c r="Y2096" s="1" t="str">
        <f t="shared" si="131"/>
        <v>Low</v>
      </c>
    </row>
    <row r="2097" spans="1:25" x14ac:dyDescent="0.2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 t="shared" si="128"/>
        <v>1</v>
      </c>
      <c r="W2097">
        <f t="shared" si="129"/>
        <v>0</v>
      </c>
      <c r="X2097" t="str">
        <f t="shared" si="130"/>
        <v>0-12 Months</v>
      </c>
      <c r="Y2097" s="1" t="str">
        <f t="shared" si="131"/>
        <v>Medium</v>
      </c>
    </row>
    <row r="2098" spans="1:25" x14ac:dyDescent="0.2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 t="shared" si="128"/>
        <v>1</v>
      </c>
      <c r="W2098">
        <f t="shared" si="129"/>
        <v>0</v>
      </c>
      <c r="X2098" t="str">
        <f t="shared" si="130"/>
        <v>0-12 Months</v>
      </c>
      <c r="Y2098" s="1" t="str">
        <f t="shared" si="131"/>
        <v>Low</v>
      </c>
    </row>
    <row r="2099" spans="1:25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 t="shared" si="128"/>
        <v>0</v>
      </c>
      <c r="W2099">
        <f t="shared" si="129"/>
        <v>1</v>
      </c>
      <c r="X2099" t="str">
        <f t="shared" si="130"/>
        <v>0-12 Months</v>
      </c>
      <c r="Y2099" s="1" t="str">
        <f t="shared" si="131"/>
        <v>High</v>
      </c>
    </row>
    <row r="2100" spans="1:25" x14ac:dyDescent="0.2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 t="shared" si="128"/>
        <v>0</v>
      </c>
      <c r="W2100">
        <f t="shared" si="129"/>
        <v>1</v>
      </c>
      <c r="X2100" t="str">
        <f t="shared" si="130"/>
        <v>0-12 Months</v>
      </c>
      <c r="Y2100" s="1" t="str">
        <f t="shared" si="131"/>
        <v>High</v>
      </c>
    </row>
    <row r="2101" spans="1:25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 t="shared" si="128"/>
        <v>0</v>
      </c>
      <c r="W2101">
        <f t="shared" si="129"/>
        <v>1</v>
      </c>
      <c r="X2101" t="str">
        <f t="shared" si="130"/>
        <v>25-48 Months</v>
      </c>
      <c r="Y2101" s="1" t="str">
        <f t="shared" si="131"/>
        <v>Medium</v>
      </c>
    </row>
    <row r="2102" spans="1:25" x14ac:dyDescent="0.2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 t="shared" si="128"/>
        <v>0</v>
      </c>
      <c r="W2102">
        <f t="shared" si="129"/>
        <v>1</v>
      </c>
      <c r="X2102" t="str">
        <f t="shared" si="130"/>
        <v>49+ Months</v>
      </c>
      <c r="Y2102" s="1" t="str">
        <f t="shared" si="131"/>
        <v>High</v>
      </c>
    </row>
    <row r="2103" spans="1:25" x14ac:dyDescent="0.2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 t="shared" si="128"/>
        <v>1</v>
      </c>
      <c r="W2103">
        <f t="shared" si="129"/>
        <v>0</v>
      </c>
      <c r="X2103" t="str">
        <f t="shared" si="130"/>
        <v>25-48 Months</v>
      </c>
      <c r="Y2103" s="1" t="str">
        <f t="shared" si="131"/>
        <v>High</v>
      </c>
    </row>
    <row r="2104" spans="1:25" x14ac:dyDescent="0.2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 t="shared" si="128"/>
        <v>0</v>
      </c>
      <c r="W2104">
        <f t="shared" si="129"/>
        <v>1</v>
      </c>
      <c r="X2104" t="str">
        <f t="shared" si="130"/>
        <v>13-24 Months</v>
      </c>
      <c r="Y2104" s="1" t="str">
        <f t="shared" si="131"/>
        <v>High</v>
      </c>
    </row>
    <row r="2105" spans="1:25" x14ac:dyDescent="0.2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 t="shared" si="128"/>
        <v>0</v>
      </c>
      <c r="W2105">
        <f t="shared" si="129"/>
        <v>1</v>
      </c>
      <c r="X2105" t="str">
        <f t="shared" si="130"/>
        <v>0-12 Months</v>
      </c>
      <c r="Y2105" s="1" t="str">
        <f t="shared" si="131"/>
        <v>Medium</v>
      </c>
    </row>
    <row r="2106" spans="1:25" x14ac:dyDescent="0.2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 t="shared" si="128"/>
        <v>1</v>
      </c>
      <c r="W2106">
        <f t="shared" si="129"/>
        <v>0</v>
      </c>
      <c r="X2106" t="str">
        <f t="shared" si="130"/>
        <v>0-12 Months</v>
      </c>
      <c r="Y2106" s="1" t="str">
        <f t="shared" si="131"/>
        <v>High</v>
      </c>
    </row>
    <row r="2107" spans="1:25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 t="shared" si="128"/>
        <v>1</v>
      </c>
      <c r="W2107">
        <f t="shared" si="129"/>
        <v>0</v>
      </c>
      <c r="X2107" t="str">
        <f t="shared" si="130"/>
        <v>0-12 Months</v>
      </c>
      <c r="Y2107" s="1" t="str">
        <f t="shared" si="131"/>
        <v>Medium</v>
      </c>
    </row>
    <row r="2108" spans="1:25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 t="shared" si="128"/>
        <v>0</v>
      </c>
      <c r="W2108">
        <f t="shared" si="129"/>
        <v>1</v>
      </c>
      <c r="X2108" t="str">
        <f t="shared" si="130"/>
        <v>49+ Months</v>
      </c>
      <c r="Y2108" s="1" t="str">
        <f t="shared" si="131"/>
        <v>Medium</v>
      </c>
    </row>
    <row r="2109" spans="1:25" x14ac:dyDescent="0.2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 t="shared" si="128"/>
        <v>0</v>
      </c>
      <c r="W2109">
        <f t="shared" si="129"/>
        <v>1</v>
      </c>
      <c r="X2109" t="str">
        <f t="shared" si="130"/>
        <v>25-48 Months</v>
      </c>
      <c r="Y2109" s="1" t="str">
        <f t="shared" si="131"/>
        <v>High</v>
      </c>
    </row>
    <row r="2110" spans="1:25" x14ac:dyDescent="0.2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 t="shared" si="128"/>
        <v>0</v>
      </c>
      <c r="W2110">
        <f t="shared" si="129"/>
        <v>1</v>
      </c>
      <c r="X2110" t="str">
        <f t="shared" si="130"/>
        <v>25-48 Months</v>
      </c>
      <c r="Y2110" s="1" t="str">
        <f t="shared" si="131"/>
        <v>Low</v>
      </c>
    </row>
    <row r="2111" spans="1:25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 t="shared" si="128"/>
        <v>0</v>
      </c>
      <c r="W2111">
        <f t="shared" si="129"/>
        <v>1</v>
      </c>
      <c r="X2111" t="str">
        <f t="shared" si="130"/>
        <v>25-48 Months</v>
      </c>
      <c r="Y2111" s="1" t="str">
        <f t="shared" si="131"/>
        <v>Low</v>
      </c>
    </row>
    <row r="2112" spans="1:25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 t="shared" si="128"/>
        <v>0</v>
      </c>
      <c r="W2112">
        <f t="shared" si="129"/>
        <v>1</v>
      </c>
      <c r="X2112" t="str">
        <f t="shared" si="130"/>
        <v>0-12 Months</v>
      </c>
      <c r="Y2112" s="1" t="str">
        <f t="shared" si="131"/>
        <v>Low</v>
      </c>
    </row>
    <row r="2113" spans="1:25" x14ac:dyDescent="0.2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 t="shared" si="128"/>
        <v>0</v>
      </c>
      <c r="W2113">
        <f t="shared" si="129"/>
        <v>1</v>
      </c>
      <c r="X2113" t="str">
        <f t="shared" si="130"/>
        <v>25-48 Months</v>
      </c>
      <c r="Y2113" s="1" t="str">
        <f t="shared" si="131"/>
        <v>Low</v>
      </c>
    </row>
    <row r="2114" spans="1:25" x14ac:dyDescent="0.2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 t="shared" ref="V2114:V2177" si="132">IF(U2114="Yes",1,0)</f>
        <v>0</v>
      </c>
      <c r="W2114">
        <f t="shared" ref="W2114:W2177" si="133">IF(U2114="No",1,0)</f>
        <v>1</v>
      </c>
      <c r="X2114" t="str">
        <f t="shared" ref="X2114:X2177" si="134">IF(F2114&lt;=12,"0-12 Months",IF(F2114&lt;=24,"13-24 Months",IF(F2114&lt;=48,"25-48 Months","49+ Months")))</f>
        <v>25-48 Months</v>
      </c>
      <c r="Y2114" s="1" t="str">
        <f t="shared" ref="Y2114:Y2177" si="135">IF(S2114&lt;50,"Low",IF(S2114&lt;80,"Medium","High"))</f>
        <v>Medium</v>
      </c>
    </row>
    <row r="2115" spans="1:25" x14ac:dyDescent="0.2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 t="shared" si="132"/>
        <v>0</v>
      </c>
      <c r="W2115">
        <f t="shared" si="133"/>
        <v>1</v>
      </c>
      <c r="X2115" t="str">
        <f t="shared" si="134"/>
        <v>25-48 Months</v>
      </c>
      <c r="Y2115" s="1" t="str">
        <f t="shared" si="135"/>
        <v>High</v>
      </c>
    </row>
    <row r="2116" spans="1:25" x14ac:dyDescent="0.2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 t="shared" si="132"/>
        <v>0</v>
      </c>
      <c r="W2116">
        <f t="shared" si="133"/>
        <v>1</v>
      </c>
      <c r="X2116" t="str">
        <f t="shared" si="134"/>
        <v>25-48 Months</v>
      </c>
      <c r="Y2116" s="1" t="str">
        <f t="shared" si="135"/>
        <v>Medium</v>
      </c>
    </row>
    <row r="2117" spans="1:25" x14ac:dyDescent="0.2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 t="shared" si="132"/>
        <v>0</v>
      </c>
      <c r="W2117">
        <f t="shared" si="133"/>
        <v>1</v>
      </c>
      <c r="X2117" t="str">
        <f t="shared" si="134"/>
        <v>49+ Months</v>
      </c>
      <c r="Y2117" s="1" t="str">
        <f t="shared" si="135"/>
        <v>High</v>
      </c>
    </row>
    <row r="2118" spans="1:25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 t="shared" si="132"/>
        <v>1</v>
      </c>
      <c r="W2118">
        <f t="shared" si="133"/>
        <v>0</v>
      </c>
      <c r="X2118" t="str">
        <f t="shared" si="134"/>
        <v>0-12 Months</v>
      </c>
      <c r="Y2118" s="1" t="str">
        <f t="shared" si="135"/>
        <v>Medium</v>
      </c>
    </row>
    <row r="2119" spans="1:25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 t="shared" si="132"/>
        <v>0</v>
      </c>
      <c r="W2119">
        <f t="shared" si="133"/>
        <v>1</v>
      </c>
      <c r="X2119" t="str">
        <f t="shared" si="134"/>
        <v>49+ Months</v>
      </c>
      <c r="Y2119" s="1" t="str">
        <f t="shared" si="135"/>
        <v>Medium</v>
      </c>
    </row>
    <row r="2120" spans="1:25" x14ac:dyDescent="0.2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 t="shared" si="132"/>
        <v>0</v>
      </c>
      <c r="W2120">
        <f t="shared" si="133"/>
        <v>1</v>
      </c>
      <c r="X2120" t="str">
        <f t="shared" si="134"/>
        <v>13-24 Months</v>
      </c>
      <c r="Y2120" s="1" t="str">
        <f t="shared" si="135"/>
        <v>High</v>
      </c>
    </row>
    <row r="2121" spans="1:25" x14ac:dyDescent="0.2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 t="shared" si="132"/>
        <v>0</v>
      </c>
      <c r="W2121">
        <f t="shared" si="133"/>
        <v>1</v>
      </c>
      <c r="X2121" t="str">
        <f t="shared" si="134"/>
        <v>25-48 Months</v>
      </c>
      <c r="Y2121" s="1" t="str">
        <f t="shared" si="135"/>
        <v>Low</v>
      </c>
    </row>
    <row r="2122" spans="1:25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 t="shared" si="132"/>
        <v>0</v>
      </c>
      <c r="W2122">
        <f t="shared" si="133"/>
        <v>1</v>
      </c>
      <c r="X2122" t="str">
        <f t="shared" si="134"/>
        <v>49+ Months</v>
      </c>
      <c r="Y2122" s="1" t="str">
        <f t="shared" si="135"/>
        <v>Low</v>
      </c>
    </row>
    <row r="2123" spans="1:25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 t="shared" si="132"/>
        <v>0</v>
      </c>
      <c r="W2123">
        <f t="shared" si="133"/>
        <v>1</v>
      </c>
      <c r="X2123" t="str">
        <f t="shared" si="134"/>
        <v>0-12 Months</v>
      </c>
      <c r="Y2123" s="1" t="str">
        <f t="shared" si="135"/>
        <v>Low</v>
      </c>
    </row>
    <row r="2124" spans="1:25" x14ac:dyDescent="0.2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 t="shared" si="132"/>
        <v>0</v>
      </c>
      <c r="W2124">
        <f t="shared" si="133"/>
        <v>1</v>
      </c>
      <c r="X2124" t="str">
        <f t="shared" si="134"/>
        <v>0-12 Months</v>
      </c>
      <c r="Y2124" s="1" t="str">
        <f t="shared" si="135"/>
        <v>Medium</v>
      </c>
    </row>
    <row r="2125" spans="1:25" x14ac:dyDescent="0.2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 t="shared" si="132"/>
        <v>0</v>
      </c>
      <c r="W2125">
        <f t="shared" si="133"/>
        <v>1</v>
      </c>
      <c r="X2125" t="str">
        <f t="shared" si="134"/>
        <v>25-48 Months</v>
      </c>
      <c r="Y2125" s="1" t="str">
        <f t="shared" si="135"/>
        <v>High</v>
      </c>
    </row>
    <row r="2126" spans="1:25" x14ac:dyDescent="0.2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 t="shared" si="132"/>
        <v>1</v>
      </c>
      <c r="W2126">
        <f t="shared" si="133"/>
        <v>0</v>
      </c>
      <c r="X2126" t="str">
        <f t="shared" si="134"/>
        <v>0-12 Months</v>
      </c>
      <c r="Y2126" s="1" t="str">
        <f t="shared" si="135"/>
        <v>Low</v>
      </c>
    </row>
    <row r="2127" spans="1:25" x14ac:dyDescent="0.2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 t="shared" si="132"/>
        <v>0</v>
      </c>
      <c r="W2127">
        <f t="shared" si="133"/>
        <v>1</v>
      </c>
      <c r="X2127" t="str">
        <f t="shared" si="134"/>
        <v>49+ Months</v>
      </c>
      <c r="Y2127" s="1" t="str">
        <f t="shared" si="135"/>
        <v>Medium</v>
      </c>
    </row>
    <row r="2128" spans="1:25" x14ac:dyDescent="0.2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 t="shared" si="132"/>
        <v>0</v>
      </c>
      <c r="W2128">
        <f t="shared" si="133"/>
        <v>1</v>
      </c>
      <c r="X2128" t="str">
        <f t="shared" si="134"/>
        <v>0-12 Months</v>
      </c>
      <c r="Y2128" s="1" t="str">
        <f t="shared" si="135"/>
        <v>Low</v>
      </c>
    </row>
    <row r="2129" spans="1:25" x14ac:dyDescent="0.2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 t="shared" si="132"/>
        <v>1</v>
      </c>
      <c r="W2129">
        <f t="shared" si="133"/>
        <v>0</v>
      </c>
      <c r="X2129" t="str">
        <f t="shared" si="134"/>
        <v>25-48 Months</v>
      </c>
      <c r="Y2129" s="1" t="str">
        <f t="shared" si="135"/>
        <v>Low</v>
      </c>
    </row>
    <row r="2130" spans="1:25" x14ac:dyDescent="0.2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 t="shared" si="132"/>
        <v>0</v>
      </c>
      <c r="W2130">
        <f t="shared" si="133"/>
        <v>1</v>
      </c>
      <c r="X2130" t="str">
        <f t="shared" si="134"/>
        <v>25-48 Months</v>
      </c>
      <c r="Y2130" s="1" t="str">
        <f t="shared" si="135"/>
        <v>Medium</v>
      </c>
    </row>
    <row r="2131" spans="1:25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 t="shared" si="132"/>
        <v>1</v>
      </c>
      <c r="W2131">
        <f t="shared" si="133"/>
        <v>0</v>
      </c>
      <c r="X2131" t="str">
        <f t="shared" si="134"/>
        <v>0-12 Months</v>
      </c>
      <c r="Y2131" s="1" t="str">
        <f t="shared" si="135"/>
        <v>Medium</v>
      </c>
    </row>
    <row r="2132" spans="1:25" x14ac:dyDescent="0.2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 t="shared" si="132"/>
        <v>1</v>
      </c>
      <c r="W2132">
        <f t="shared" si="133"/>
        <v>0</v>
      </c>
      <c r="X2132" t="str">
        <f t="shared" si="134"/>
        <v>49+ Months</v>
      </c>
      <c r="Y2132" s="1" t="str">
        <f t="shared" si="135"/>
        <v>High</v>
      </c>
    </row>
    <row r="2133" spans="1:25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 t="shared" si="132"/>
        <v>0</v>
      </c>
      <c r="W2133">
        <f t="shared" si="133"/>
        <v>1</v>
      </c>
      <c r="X2133" t="str">
        <f t="shared" si="134"/>
        <v>25-48 Months</v>
      </c>
      <c r="Y2133" s="1" t="str">
        <f t="shared" si="135"/>
        <v>Low</v>
      </c>
    </row>
    <row r="2134" spans="1:25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 t="shared" si="132"/>
        <v>0</v>
      </c>
      <c r="W2134">
        <f t="shared" si="133"/>
        <v>1</v>
      </c>
      <c r="X2134" t="str">
        <f t="shared" si="134"/>
        <v>13-24 Months</v>
      </c>
      <c r="Y2134" s="1" t="str">
        <f t="shared" si="135"/>
        <v>Low</v>
      </c>
    </row>
    <row r="2135" spans="1:25" x14ac:dyDescent="0.2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 t="shared" si="132"/>
        <v>1</v>
      </c>
      <c r="W2135">
        <f t="shared" si="133"/>
        <v>0</v>
      </c>
      <c r="X2135" t="str">
        <f t="shared" si="134"/>
        <v>0-12 Months</v>
      </c>
      <c r="Y2135" s="1" t="str">
        <f t="shared" si="135"/>
        <v>Medium</v>
      </c>
    </row>
    <row r="2136" spans="1:25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 t="shared" si="132"/>
        <v>0</v>
      </c>
      <c r="W2136">
        <f t="shared" si="133"/>
        <v>1</v>
      </c>
      <c r="X2136" t="str">
        <f t="shared" si="134"/>
        <v>0-12 Months</v>
      </c>
      <c r="Y2136" s="1" t="str">
        <f t="shared" si="135"/>
        <v>Low</v>
      </c>
    </row>
    <row r="2137" spans="1:25" x14ac:dyDescent="0.2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 t="shared" si="132"/>
        <v>0</v>
      </c>
      <c r="W2137">
        <f t="shared" si="133"/>
        <v>1</v>
      </c>
      <c r="X2137" t="str">
        <f t="shared" si="134"/>
        <v>49+ Months</v>
      </c>
      <c r="Y2137" s="1" t="str">
        <f t="shared" si="135"/>
        <v>High</v>
      </c>
    </row>
    <row r="2138" spans="1:25" x14ac:dyDescent="0.2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 t="shared" si="132"/>
        <v>0</v>
      </c>
      <c r="W2138">
        <f t="shared" si="133"/>
        <v>1</v>
      </c>
      <c r="X2138" t="str">
        <f t="shared" si="134"/>
        <v>13-24 Months</v>
      </c>
      <c r="Y2138" s="1" t="str">
        <f t="shared" si="135"/>
        <v>High</v>
      </c>
    </row>
    <row r="2139" spans="1:25" x14ac:dyDescent="0.2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 t="shared" si="132"/>
        <v>0</v>
      </c>
      <c r="W2139">
        <f t="shared" si="133"/>
        <v>1</v>
      </c>
      <c r="X2139" t="str">
        <f t="shared" si="134"/>
        <v>0-12 Months</v>
      </c>
      <c r="Y2139" s="1" t="str">
        <f t="shared" si="135"/>
        <v>Low</v>
      </c>
    </row>
    <row r="2140" spans="1:25" x14ac:dyDescent="0.2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 t="shared" si="132"/>
        <v>0</v>
      </c>
      <c r="W2140">
        <f t="shared" si="133"/>
        <v>1</v>
      </c>
      <c r="X2140" t="str">
        <f t="shared" si="134"/>
        <v>49+ Months</v>
      </c>
      <c r="Y2140" s="1" t="str">
        <f t="shared" si="135"/>
        <v>Medium</v>
      </c>
    </row>
    <row r="2141" spans="1:25" x14ac:dyDescent="0.2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 t="shared" si="132"/>
        <v>0</v>
      </c>
      <c r="W2141">
        <f t="shared" si="133"/>
        <v>1</v>
      </c>
      <c r="X2141" t="str">
        <f t="shared" si="134"/>
        <v>0-12 Months</v>
      </c>
      <c r="Y2141" s="1" t="str">
        <f t="shared" si="135"/>
        <v>Medium</v>
      </c>
    </row>
    <row r="2142" spans="1:25" x14ac:dyDescent="0.2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 t="shared" si="132"/>
        <v>1</v>
      </c>
      <c r="W2142">
        <f t="shared" si="133"/>
        <v>0</v>
      </c>
      <c r="X2142" t="str">
        <f t="shared" si="134"/>
        <v>25-48 Months</v>
      </c>
      <c r="Y2142" s="1" t="str">
        <f t="shared" si="135"/>
        <v>High</v>
      </c>
    </row>
    <row r="2143" spans="1:25" x14ac:dyDescent="0.2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 t="shared" si="132"/>
        <v>0</v>
      </c>
      <c r="W2143">
        <f t="shared" si="133"/>
        <v>1</v>
      </c>
      <c r="X2143" t="str">
        <f t="shared" si="134"/>
        <v>13-24 Months</v>
      </c>
      <c r="Y2143" s="1" t="str">
        <f t="shared" si="135"/>
        <v>Low</v>
      </c>
    </row>
    <row r="2144" spans="1:25" x14ac:dyDescent="0.2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 t="shared" si="132"/>
        <v>0</v>
      </c>
      <c r="W2144">
        <f t="shared" si="133"/>
        <v>1</v>
      </c>
      <c r="X2144" t="str">
        <f t="shared" si="134"/>
        <v>13-24 Months</v>
      </c>
      <c r="Y2144" s="1" t="str">
        <f t="shared" si="135"/>
        <v>Medium</v>
      </c>
    </row>
    <row r="2145" spans="1:25" x14ac:dyDescent="0.2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 t="shared" si="132"/>
        <v>0</v>
      </c>
      <c r="W2145">
        <f t="shared" si="133"/>
        <v>1</v>
      </c>
      <c r="X2145" t="str">
        <f t="shared" si="134"/>
        <v>25-48 Months</v>
      </c>
      <c r="Y2145" s="1" t="str">
        <f t="shared" si="135"/>
        <v>Medium</v>
      </c>
    </row>
    <row r="2146" spans="1:25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 t="shared" si="132"/>
        <v>0</v>
      </c>
      <c r="W2146">
        <f t="shared" si="133"/>
        <v>1</v>
      </c>
      <c r="X2146" t="str">
        <f t="shared" si="134"/>
        <v>0-12 Months</v>
      </c>
      <c r="Y2146" s="1" t="str">
        <f t="shared" si="135"/>
        <v>Medium</v>
      </c>
    </row>
    <row r="2147" spans="1:25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 t="shared" si="132"/>
        <v>0</v>
      </c>
      <c r="W2147">
        <f t="shared" si="133"/>
        <v>1</v>
      </c>
      <c r="X2147" t="str">
        <f t="shared" si="134"/>
        <v>0-12 Months</v>
      </c>
      <c r="Y2147" s="1" t="str">
        <f t="shared" si="135"/>
        <v>Medium</v>
      </c>
    </row>
    <row r="2148" spans="1:25" x14ac:dyDescent="0.2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 t="shared" si="132"/>
        <v>0</v>
      </c>
      <c r="W2148">
        <f t="shared" si="133"/>
        <v>1</v>
      </c>
      <c r="X2148" t="str">
        <f t="shared" si="134"/>
        <v>49+ Months</v>
      </c>
      <c r="Y2148" s="1" t="str">
        <f t="shared" si="135"/>
        <v>High</v>
      </c>
    </row>
    <row r="2149" spans="1:25" x14ac:dyDescent="0.2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 t="shared" si="132"/>
        <v>0</v>
      </c>
      <c r="W2149">
        <f t="shared" si="133"/>
        <v>1</v>
      </c>
      <c r="X2149" t="str">
        <f t="shared" si="134"/>
        <v>13-24 Months</v>
      </c>
      <c r="Y2149" s="1" t="str">
        <f t="shared" si="135"/>
        <v>Low</v>
      </c>
    </row>
    <row r="2150" spans="1:25" x14ac:dyDescent="0.2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 t="shared" si="132"/>
        <v>0</v>
      </c>
      <c r="W2150">
        <f t="shared" si="133"/>
        <v>1</v>
      </c>
      <c r="X2150" t="str">
        <f t="shared" si="134"/>
        <v>0-12 Months</v>
      </c>
      <c r="Y2150" s="1" t="str">
        <f t="shared" si="135"/>
        <v>Low</v>
      </c>
    </row>
    <row r="2151" spans="1:25" x14ac:dyDescent="0.2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 t="shared" si="132"/>
        <v>0</v>
      </c>
      <c r="W2151">
        <f t="shared" si="133"/>
        <v>1</v>
      </c>
      <c r="X2151" t="str">
        <f t="shared" si="134"/>
        <v>25-48 Months</v>
      </c>
      <c r="Y2151" s="1" t="str">
        <f t="shared" si="135"/>
        <v>High</v>
      </c>
    </row>
    <row r="2152" spans="1:25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 t="shared" si="132"/>
        <v>0</v>
      </c>
      <c r="W2152">
        <f t="shared" si="133"/>
        <v>1</v>
      </c>
      <c r="X2152" t="str">
        <f t="shared" si="134"/>
        <v>13-24 Months</v>
      </c>
      <c r="Y2152" s="1" t="str">
        <f t="shared" si="135"/>
        <v>High</v>
      </c>
    </row>
    <row r="2153" spans="1:25" x14ac:dyDescent="0.2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 t="shared" si="132"/>
        <v>0</v>
      </c>
      <c r="W2153">
        <f t="shared" si="133"/>
        <v>1</v>
      </c>
      <c r="X2153" t="str">
        <f t="shared" si="134"/>
        <v>49+ Months</v>
      </c>
      <c r="Y2153" s="1" t="str">
        <f t="shared" si="135"/>
        <v>Low</v>
      </c>
    </row>
    <row r="2154" spans="1:25" x14ac:dyDescent="0.2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 t="shared" si="132"/>
        <v>0</v>
      </c>
      <c r="W2154">
        <f t="shared" si="133"/>
        <v>1</v>
      </c>
      <c r="X2154" t="str">
        <f t="shared" si="134"/>
        <v>0-12 Months</v>
      </c>
      <c r="Y2154" s="1" t="str">
        <f t="shared" si="135"/>
        <v>Medium</v>
      </c>
    </row>
    <row r="2155" spans="1:25" x14ac:dyDescent="0.2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 t="shared" si="132"/>
        <v>0</v>
      </c>
      <c r="W2155">
        <f t="shared" si="133"/>
        <v>1</v>
      </c>
      <c r="X2155" t="str">
        <f t="shared" si="134"/>
        <v>25-48 Months</v>
      </c>
      <c r="Y2155" s="1" t="str">
        <f t="shared" si="135"/>
        <v>Medium</v>
      </c>
    </row>
    <row r="2156" spans="1:25" x14ac:dyDescent="0.2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 t="shared" si="132"/>
        <v>0</v>
      </c>
      <c r="W2156">
        <f t="shared" si="133"/>
        <v>1</v>
      </c>
      <c r="X2156" t="str">
        <f t="shared" si="134"/>
        <v>13-24 Months</v>
      </c>
      <c r="Y2156" s="1" t="str">
        <f t="shared" si="135"/>
        <v>Low</v>
      </c>
    </row>
    <row r="2157" spans="1:25" x14ac:dyDescent="0.2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 t="shared" si="132"/>
        <v>1</v>
      </c>
      <c r="W2157">
        <f t="shared" si="133"/>
        <v>0</v>
      </c>
      <c r="X2157" t="str">
        <f t="shared" si="134"/>
        <v>25-48 Months</v>
      </c>
      <c r="Y2157" s="1" t="str">
        <f t="shared" si="135"/>
        <v>High</v>
      </c>
    </row>
    <row r="2158" spans="1:25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 t="shared" si="132"/>
        <v>1</v>
      </c>
      <c r="W2158">
        <f t="shared" si="133"/>
        <v>0</v>
      </c>
      <c r="X2158" t="str">
        <f t="shared" si="134"/>
        <v>0-12 Months</v>
      </c>
      <c r="Y2158" s="1" t="str">
        <f t="shared" si="135"/>
        <v>High</v>
      </c>
    </row>
    <row r="2159" spans="1:25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 t="shared" si="132"/>
        <v>0</v>
      </c>
      <c r="W2159">
        <f t="shared" si="133"/>
        <v>1</v>
      </c>
      <c r="X2159" t="str">
        <f t="shared" si="134"/>
        <v>49+ Months</v>
      </c>
      <c r="Y2159" s="1" t="str">
        <f t="shared" si="135"/>
        <v>High</v>
      </c>
    </row>
    <row r="2160" spans="1:25" x14ac:dyDescent="0.2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 t="shared" si="132"/>
        <v>0</v>
      </c>
      <c r="W2160">
        <f t="shared" si="133"/>
        <v>1</v>
      </c>
      <c r="X2160" t="str">
        <f t="shared" si="134"/>
        <v>49+ Months</v>
      </c>
      <c r="Y2160" s="1" t="str">
        <f t="shared" si="135"/>
        <v>High</v>
      </c>
    </row>
    <row r="2161" spans="1:25" x14ac:dyDescent="0.2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 t="shared" si="132"/>
        <v>0</v>
      </c>
      <c r="W2161">
        <f t="shared" si="133"/>
        <v>1</v>
      </c>
      <c r="X2161" t="str">
        <f t="shared" si="134"/>
        <v>13-24 Months</v>
      </c>
      <c r="Y2161" s="1" t="str">
        <f t="shared" si="135"/>
        <v>Low</v>
      </c>
    </row>
    <row r="2162" spans="1:25" x14ac:dyDescent="0.2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 t="shared" si="132"/>
        <v>0</v>
      </c>
      <c r="W2162">
        <f t="shared" si="133"/>
        <v>1</v>
      </c>
      <c r="X2162" t="str">
        <f t="shared" si="134"/>
        <v>49+ Months</v>
      </c>
      <c r="Y2162" s="1" t="str">
        <f t="shared" si="135"/>
        <v>High</v>
      </c>
    </row>
    <row r="2163" spans="1:25" x14ac:dyDescent="0.2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 t="shared" si="132"/>
        <v>1</v>
      </c>
      <c r="W2163">
        <f t="shared" si="133"/>
        <v>0</v>
      </c>
      <c r="X2163" t="str">
        <f t="shared" si="134"/>
        <v>0-12 Months</v>
      </c>
      <c r="Y2163" s="1" t="str">
        <f t="shared" si="135"/>
        <v>Medium</v>
      </c>
    </row>
    <row r="2164" spans="1:25" x14ac:dyDescent="0.2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 t="shared" si="132"/>
        <v>0</v>
      </c>
      <c r="W2164">
        <f t="shared" si="133"/>
        <v>1</v>
      </c>
      <c r="X2164" t="str">
        <f t="shared" si="134"/>
        <v>25-48 Months</v>
      </c>
      <c r="Y2164" s="1" t="str">
        <f t="shared" si="135"/>
        <v>High</v>
      </c>
    </row>
    <row r="2165" spans="1:25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 t="shared" si="132"/>
        <v>1</v>
      </c>
      <c r="W2165">
        <f t="shared" si="133"/>
        <v>0</v>
      </c>
      <c r="X2165" t="str">
        <f t="shared" si="134"/>
        <v>25-48 Months</v>
      </c>
      <c r="Y2165" s="1" t="str">
        <f t="shared" si="135"/>
        <v>High</v>
      </c>
    </row>
    <row r="2166" spans="1:25" x14ac:dyDescent="0.2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 t="shared" si="132"/>
        <v>0</v>
      </c>
      <c r="W2166">
        <f t="shared" si="133"/>
        <v>1</v>
      </c>
      <c r="X2166" t="str">
        <f t="shared" si="134"/>
        <v>49+ Months</v>
      </c>
      <c r="Y2166" s="1" t="str">
        <f t="shared" si="135"/>
        <v>High</v>
      </c>
    </row>
    <row r="2167" spans="1:25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 t="shared" si="132"/>
        <v>0</v>
      </c>
      <c r="W2167">
        <f t="shared" si="133"/>
        <v>1</v>
      </c>
      <c r="X2167" t="str">
        <f t="shared" si="134"/>
        <v>13-24 Months</v>
      </c>
      <c r="Y2167" s="1" t="str">
        <f t="shared" si="135"/>
        <v>Low</v>
      </c>
    </row>
    <row r="2168" spans="1:25" x14ac:dyDescent="0.2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 t="shared" si="132"/>
        <v>0</v>
      </c>
      <c r="W2168">
        <f t="shared" si="133"/>
        <v>1</v>
      </c>
      <c r="X2168" t="str">
        <f t="shared" si="134"/>
        <v>49+ Months</v>
      </c>
      <c r="Y2168" s="1" t="str">
        <f t="shared" si="135"/>
        <v>High</v>
      </c>
    </row>
    <row r="2169" spans="1:25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 t="shared" si="132"/>
        <v>1</v>
      </c>
      <c r="W2169">
        <f t="shared" si="133"/>
        <v>0</v>
      </c>
      <c r="X2169" t="str">
        <f t="shared" si="134"/>
        <v>13-24 Months</v>
      </c>
      <c r="Y2169" s="1" t="str">
        <f t="shared" si="135"/>
        <v>High</v>
      </c>
    </row>
    <row r="2170" spans="1:25" x14ac:dyDescent="0.2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 t="shared" si="132"/>
        <v>1</v>
      </c>
      <c r="W2170">
        <f t="shared" si="133"/>
        <v>0</v>
      </c>
      <c r="X2170" t="str">
        <f t="shared" si="134"/>
        <v>0-12 Months</v>
      </c>
      <c r="Y2170" s="1" t="str">
        <f t="shared" si="135"/>
        <v>Medium</v>
      </c>
    </row>
    <row r="2171" spans="1:25" x14ac:dyDescent="0.2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 t="shared" si="132"/>
        <v>0</v>
      </c>
      <c r="W2171">
        <f t="shared" si="133"/>
        <v>1</v>
      </c>
      <c r="X2171" t="str">
        <f t="shared" si="134"/>
        <v>49+ Months</v>
      </c>
      <c r="Y2171" s="1" t="str">
        <f t="shared" si="135"/>
        <v>High</v>
      </c>
    </row>
    <row r="2172" spans="1:25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 t="shared" si="132"/>
        <v>0</v>
      </c>
      <c r="W2172">
        <f t="shared" si="133"/>
        <v>1</v>
      </c>
      <c r="X2172" t="str">
        <f t="shared" si="134"/>
        <v>13-24 Months</v>
      </c>
      <c r="Y2172" s="1" t="str">
        <f t="shared" si="135"/>
        <v>Medium</v>
      </c>
    </row>
    <row r="2173" spans="1:25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 t="shared" si="132"/>
        <v>0</v>
      </c>
      <c r="W2173">
        <f t="shared" si="133"/>
        <v>1</v>
      </c>
      <c r="X2173" t="str">
        <f t="shared" si="134"/>
        <v>0-12 Months</v>
      </c>
      <c r="Y2173" s="1" t="str">
        <f t="shared" si="135"/>
        <v>Medium</v>
      </c>
    </row>
    <row r="2174" spans="1:25" x14ac:dyDescent="0.2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 t="shared" si="132"/>
        <v>0</v>
      </c>
      <c r="W2174">
        <f t="shared" si="133"/>
        <v>1</v>
      </c>
      <c r="X2174" t="str">
        <f t="shared" si="134"/>
        <v>0-12 Months</v>
      </c>
      <c r="Y2174" s="1" t="str">
        <f t="shared" si="135"/>
        <v>Low</v>
      </c>
    </row>
    <row r="2175" spans="1:25" x14ac:dyDescent="0.2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 t="shared" si="132"/>
        <v>0</v>
      </c>
      <c r="W2175">
        <f t="shared" si="133"/>
        <v>1</v>
      </c>
      <c r="X2175" t="str">
        <f t="shared" si="134"/>
        <v>0-12 Months</v>
      </c>
      <c r="Y2175" s="1" t="str">
        <f t="shared" si="135"/>
        <v>High</v>
      </c>
    </row>
    <row r="2176" spans="1:25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 t="shared" si="132"/>
        <v>0</v>
      </c>
      <c r="W2176">
        <f t="shared" si="133"/>
        <v>1</v>
      </c>
      <c r="X2176" t="str">
        <f t="shared" si="134"/>
        <v>13-24 Months</v>
      </c>
      <c r="Y2176" s="1" t="str">
        <f t="shared" si="135"/>
        <v>Low</v>
      </c>
    </row>
    <row r="2177" spans="1:25" x14ac:dyDescent="0.2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 t="shared" si="132"/>
        <v>1</v>
      </c>
      <c r="W2177">
        <f t="shared" si="133"/>
        <v>0</v>
      </c>
      <c r="X2177" t="str">
        <f t="shared" si="134"/>
        <v>25-48 Months</v>
      </c>
      <c r="Y2177" s="1" t="str">
        <f t="shared" si="135"/>
        <v>High</v>
      </c>
    </row>
    <row r="2178" spans="1:25" x14ac:dyDescent="0.2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 t="shared" ref="V2178:V2241" si="136">IF(U2178="Yes",1,0)</f>
        <v>0</v>
      </c>
      <c r="W2178">
        <f t="shared" ref="W2178:W2241" si="137">IF(U2178="No",1,0)</f>
        <v>1</v>
      </c>
      <c r="X2178" t="str">
        <f t="shared" ref="X2178:X2241" si="138">IF(F2178&lt;=12,"0-12 Months",IF(F2178&lt;=24,"13-24 Months",IF(F2178&lt;=48,"25-48 Months","49+ Months")))</f>
        <v>49+ Months</v>
      </c>
      <c r="Y2178" s="1" t="str">
        <f t="shared" ref="Y2178:Y2241" si="139">IF(S2178&lt;50,"Low",IF(S2178&lt;80,"Medium","High"))</f>
        <v>Low</v>
      </c>
    </row>
    <row r="2179" spans="1:25" x14ac:dyDescent="0.2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 t="shared" si="136"/>
        <v>0</v>
      </c>
      <c r="W2179">
        <f t="shared" si="137"/>
        <v>1</v>
      </c>
      <c r="X2179" t="str">
        <f t="shared" si="138"/>
        <v>49+ Months</v>
      </c>
      <c r="Y2179" s="1" t="str">
        <f t="shared" si="139"/>
        <v>High</v>
      </c>
    </row>
    <row r="2180" spans="1:25" x14ac:dyDescent="0.2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 t="shared" si="136"/>
        <v>0</v>
      </c>
      <c r="W2180">
        <f t="shared" si="137"/>
        <v>1</v>
      </c>
      <c r="X2180" t="str">
        <f t="shared" si="138"/>
        <v>49+ Months</v>
      </c>
      <c r="Y2180" s="1" t="str">
        <f t="shared" si="139"/>
        <v>Low</v>
      </c>
    </row>
    <row r="2181" spans="1:25" x14ac:dyDescent="0.2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 t="shared" si="136"/>
        <v>0</v>
      </c>
      <c r="W2181">
        <f t="shared" si="137"/>
        <v>1</v>
      </c>
      <c r="X2181" t="str">
        <f t="shared" si="138"/>
        <v>0-12 Months</v>
      </c>
      <c r="Y2181" s="1" t="str">
        <f t="shared" si="139"/>
        <v>Low</v>
      </c>
    </row>
    <row r="2182" spans="1:25" x14ac:dyDescent="0.2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 t="shared" si="136"/>
        <v>0</v>
      </c>
      <c r="W2182">
        <f t="shared" si="137"/>
        <v>1</v>
      </c>
      <c r="X2182" t="str">
        <f t="shared" si="138"/>
        <v>49+ Months</v>
      </c>
      <c r="Y2182" s="1" t="str">
        <f t="shared" si="139"/>
        <v>High</v>
      </c>
    </row>
    <row r="2183" spans="1:25" x14ac:dyDescent="0.2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 t="shared" si="136"/>
        <v>0</v>
      </c>
      <c r="W2183">
        <f t="shared" si="137"/>
        <v>1</v>
      </c>
      <c r="X2183" t="str">
        <f t="shared" si="138"/>
        <v>49+ Months</v>
      </c>
      <c r="Y2183" s="1" t="str">
        <f t="shared" si="139"/>
        <v>High</v>
      </c>
    </row>
    <row r="2184" spans="1:25" x14ac:dyDescent="0.2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 t="shared" si="136"/>
        <v>0</v>
      </c>
      <c r="W2184">
        <f t="shared" si="137"/>
        <v>1</v>
      </c>
      <c r="X2184" t="str">
        <f t="shared" si="138"/>
        <v>49+ Months</v>
      </c>
      <c r="Y2184" s="1" t="str">
        <f t="shared" si="139"/>
        <v>High</v>
      </c>
    </row>
    <row r="2185" spans="1:25" x14ac:dyDescent="0.2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 t="shared" si="136"/>
        <v>0</v>
      </c>
      <c r="W2185">
        <f t="shared" si="137"/>
        <v>1</v>
      </c>
      <c r="X2185" t="str">
        <f t="shared" si="138"/>
        <v>0-12 Months</v>
      </c>
      <c r="Y2185" s="1" t="str">
        <f t="shared" si="139"/>
        <v>Medium</v>
      </c>
    </row>
    <row r="2186" spans="1:25" x14ac:dyDescent="0.2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 t="shared" si="136"/>
        <v>1</v>
      </c>
      <c r="W2186">
        <f t="shared" si="137"/>
        <v>0</v>
      </c>
      <c r="X2186" t="str">
        <f t="shared" si="138"/>
        <v>0-12 Months</v>
      </c>
      <c r="Y2186" s="1" t="str">
        <f t="shared" si="139"/>
        <v>High</v>
      </c>
    </row>
    <row r="2187" spans="1:25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 t="shared" si="136"/>
        <v>1</v>
      </c>
      <c r="W2187">
        <f t="shared" si="137"/>
        <v>0</v>
      </c>
      <c r="X2187" t="str">
        <f t="shared" si="138"/>
        <v>13-24 Months</v>
      </c>
      <c r="Y2187" s="1" t="str">
        <f t="shared" si="139"/>
        <v>Medium</v>
      </c>
    </row>
    <row r="2188" spans="1:25" x14ac:dyDescent="0.2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 t="shared" si="136"/>
        <v>0</v>
      </c>
      <c r="W2188">
        <f t="shared" si="137"/>
        <v>1</v>
      </c>
      <c r="X2188" t="str">
        <f t="shared" si="138"/>
        <v>25-48 Months</v>
      </c>
      <c r="Y2188" s="1" t="str">
        <f t="shared" si="139"/>
        <v>Low</v>
      </c>
    </row>
    <row r="2189" spans="1:25" x14ac:dyDescent="0.2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 t="shared" si="136"/>
        <v>0</v>
      </c>
      <c r="W2189">
        <f t="shared" si="137"/>
        <v>1</v>
      </c>
      <c r="X2189" t="str">
        <f t="shared" si="138"/>
        <v>49+ Months</v>
      </c>
      <c r="Y2189" s="1" t="str">
        <f t="shared" si="139"/>
        <v>High</v>
      </c>
    </row>
    <row r="2190" spans="1:25" x14ac:dyDescent="0.2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 t="shared" si="136"/>
        <v>0</v>
      </c>
      <c r="W2190">
        <f t="shared" si="137"/>
        <v>1</v>
      </c>
      <c r="X2190" t="str">
        <f t="shared" si="138"/>
        <v>25-48 Months</v>
      </c>
      <c r="Y2190" s="1" t="str">
        <f t="shared" si="139"/>
        <v>Low</v>
      </c>
    </row>
    <row r="2191" spans="1:25" x14ac:dyDescent="0.2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 t="shared" si="136"/>
        <v>0</v>
      </c>
      <c r="W2191">
        <f t="shared" si="137"/>
        <v>1</v>
      </c>
      <c r="X2191" t="str">
        <f t="shared" si="138"/>
        <v>49+ Months</v>
      </c>
      <c r="Y2191" s="1" t="str">
        <f t="shared" si="139"/>
        <v>Low</v>
      </c>
    </row>
    <row r="2192" spans="1:25" x14ac:dyDescent="0.2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 t="shared" si="136"/>
        <v>0</v>
      </c>
      <c r="W2192">
        <f t="shared" si="137"/>
        <v>1</v>
      </c>
      <c r="X2192" t="str">
        <f t="shared" si="138"/>
        <v>49+ Months</v>
      </c>
      <c r="Y2192" s="1" t="str">
        <f t="shared" si="139"/>
        <v>High</v>
      </c>
    </row>
    <row r="2193" spans="1:25" x14ac:dyDescent="0.2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 t="shared" si="136"/>
        <v>1</v>
      </c>
      <c r="W2193">
        <f t="shared" si="137"/>
        <v>0</v>
      </c>
      <c r="X2193" t="str">
        <f t="shared" si="138"/>
        <v>0-12 Months</v>
      </c>
      <c r="Y2193" s="1" t="str">
        <f t="shared" si="139"/>
        <v>High</v>
      </c>
    </row>
    <row r="2194" spans="1:25" x14ac:dyDescent="0.2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 t="shared" si="136"/>
        <v>0</v>
      </c>
      <c r="W2194">
        <f t="shared" si="137"/>
        <v>1</v>
      </c>
      <c r="X2194" t="str">
        <f t="shared" si="138"/>
        <v>49+ Months</v>
      </c>
      <c r="Y2194" s="1" t="str">
        <f t="shared" si="139"/>
        <v>High</v>
      </c>
    </row>
    <row r="2195" spans="1:25" x14ac:dyDescent="0.2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 t="shared" si="136"/>
        <v>0</v>
      </c>
      <c r="W2195">
        <f t="shared" si="137"/>
        <v>1</v>
      </c>
      <c r="X2195" t="str">
        <f t="shared" si="138"/>
        <v>49+ Months</v>
      </c>
      <c r="Y2195" s="1" t="str">
        <f t="shared" si="139"/>
        <v>Low</v>
      </c>
    </row>
    <row r="2196" spans="1:25" x14ac:dyDescent="0.2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 t="shared" si="136"/>
        <v>1</v>
      </c>
      <c r="W2196">
        <f t="shared" si="137"/>
        <v>0</v>
      </c>
      <c r="X2196" t="str">
        <f t="shared" si="138"/>
        <v>0-12 Months</v>
      </c>
      <c r="Y2196" s="1" t="str">
        <f t="shared" si="139"/>
        <v>Medium</v>
      </c>
    </row>
    <row r="2197" spans="1:25" x14ac:dyDescent="0.2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 t="shared" si="136"/>
        <v>0</v>
      </c>
      <c r="W2197">
        <f t="shared" si="137"/>
        <v>1</v>
      </c>
      <c r="X2197" t="str">
        <f t="shared" si="138"/>
        <v>25-48 Months</v>
      </c>
      <c r="Y2197" s="1" t="str">
        <f t="shared" si="139"/>
        <v>Low</v>
      </c>
    </row>
    <row r="2198" spans="1:25" x14ac:dyDescent="0.2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 t="shared" si="136"/>
        <v>0</v>
      </c>
      <c r="W2198">
        <f t="shared" si="137"/>
        <v>1</v>
      </c>
      <c r="X2198" t="str">
        <f t="shared" si="138"/>
        <v>13-24 Months</v>
      </c>
      <c r="Y2198" s="1" t="str">
        <f t="shared" si="139"/>
        <v>Low</v>
      </c>
    </row>
    <row r="2199" spans="1:25" x14ac:dyDescent="0.2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 t="shared" si="136"/>
        <v>0</v>
      </c>
      <c r="W2199">
        <f t="shared" si="137"/>
        <v>1</v>
      </c>
      <c r="X2199" t="str">
        <f t="shared" si="138"/>
        <v>49+ Months</v>
      </c>
      <c r="Y2199" s="1" t="str">
        <f t="shared" si="139"/>
        <v>Medium</v>
      </c>
    </row>
    <row r="2200" spans="1:25" x14ac:dyDescent="0.2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 t="shared" si="136"/>
        <v>0</v>
      </c>
      <c r="W2200">
        <f t="shared" si="137"/>
        <v>1</v>
      </c>
      <c r="X2200" t="str">
        <f t="shared" si="138"/>
        <v>13-24 Months</v>
      </c>
      <c r="Y2200" s="1" t="str">
        <f t="shared" si="139"/>
        <v>Medium</v>
      </c>
    </row>
    <row r="2201" spans="1:25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 t="shared" si="136"/>
        <v>0</v>
      </c>
      <c r="W2201">
        <f t="shared" si="137"/>
        <v>1</v>
      </c>
      <c r="X2201" t="str">
        <f t="shared" si="138"/>
        <v>49+ Months</v>
      </c>
      <c r="Y2201" s="1" t="str">
        <f t="shared" si="139"/>
        <v>Low</v>
      </c>
    </row>
    <row r="2202" spans="1:25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 t="shared" si="136"/>
        <v>0</v>
      </c>
      <c r="W2202">
        <f t="shared" si="137"/>
        <v>1</v>
      </c>
      <c r="X2202" t="str">
        <f t="shared" si="138"/>
        <v>13-24 Months</v>
      </c>
      <c r="Y2202" s="1" t="str">
        <f t="shared" si="139"/>
        <v>Medium</v>
      </c>
    </row>
    <row r="2203" spans="1:25" x14ac:dyDescent="0.2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 t="shared" si="136"/>
        <v>0</v>
      </c>
      <c r="W2203">
        <f t="shared" si="137"/>
        <v>1</v>
      </c>
      <c r="X2203" t="str">
        <f t="shared" si="138"/>
        <v>25-48 Months</v>
      </c>
      <c r="Y2203" s="1" t="str">
        <f t="shared" si="139"/>
        <v>High</v>
      </c>
    </row>
    <row r="2204" spans="1:25" x14ac:dyDescent="0.2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 t="shared" si="136"/>
        <v>1</v>
      </c>
      <c r="W2204">
        <f t="shared" si="137"/>
        <v>0</v>
      </c>
      <c r="X2204" t="str">
        <f t="shared" si="138"/>
        <v>0-12 Months</v>
      </c>
      <c r="Y2204" s="1" t="str">
        <f t="shared" si="139"/>
        <v>Medium</v>
      </c>
    </row>
    <row r="2205" spans="1:25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 t="shared" si="136"/>
        <v>0</v>
      </c>
      <c r="W2205">
        <f t="shared" si="137"/>
        <v>1</v>
      </c>
      <c r="X2205" t="str">
        <f t="shared" si="138"/>
        <v>49+ Months</v>
      </c>
      <c r="Y2205" s="1" t="str">
        <f t="shared" si="139"/>
        <v>High</v>
      </c>
    </row>
    <row r="2206" spans="1:25" x14ac:dyDescent="0.2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 t="shared" si="136"/>
        <v>1</v>
      </c>
      <c r="W2206">
        <f t="shared" si="137"/>
        <v>0</v>
      </c>
      <c r="X2206" t="str">
        <f t="shared" si="138"/>
        <v>49+ Months</v>
      </c>
      <c r="Y2206" s="1" t="str">
        <f t="shared" si="139"/>
        <v>High</v>
      </c>
    </row>
    <row r="2207" spans="1:25" x14ac:dyDescent="0.2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 t="shared" si="136"/>
        <v>0</v>
      </c>
      <c r="W2207">
        <f t="shared" si="137"/>
        <v>1</v>
      </c>
      <c r="X2207" t="str">
        <f t="shared" si="138"/>
        <v>25-48 Months</v>
      </c>
      <c r="Y2207" s="1" t="str">
        <f t="shared" si="139"/>
        <v>High</v>
      </c>
    </row>
    <row r="2208" spans="1:25" x14ac:dyDescent="0.2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 t="shared" si="136"/>
        <v>1</v>
      </c>
      <c r="W2208">
        <f t="shared" si="137"/>
        <v>0</v>
      </c>
      <c r="X2208" t="str">
        <f t="shared" si="138"/>
        <v>49+ Months</v>
      </c>
      <c r="Y2208" s="1" t="str">
        <f t="shared" si="139"/>
        <v>High</v>
      </c>
    </row>
    <row r="2209" spans="1:25" x14ac:dyDescent="0.2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 t="shared" si="136"/>
        <v>1</v>
      </c>
      <c r="W2209">
        <f t="shared" si="137"/>
        <v>0</v>
      </c>
      <c r="X2209" t="str">
        <f t="shared" si="138"/>
        <v>0-12 Months</v>
      </c>
      <c r="Y2209" s="1" t="str">
        <f t="shared" si="139"/>
        <v>High</v>
      </c>
    </row>
    <row r="2210" spans="1:25" x14ac:dyDescent="0.2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 t="shared" si="136"/>
        <v>1</v>
      </c>
      <c r="W2210">
        <f t="shared" si="137"/>
        <v>0</v>
      </c>
      <c r="X2210" t="str">
        <f t="shared" si="138"/>
        <v>0-12 Months</v>
      </c>
      <c r="Y2210" s="1" t="str">
        <f t="shared" si="139"/>
        <v>High</v>
      </c>
    </row>
    <row r="2211" spans="1:25" x14ac:dyDescent="0.2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 t="shared" si="136"/>
        <v>0</v>
      </c>
      <c r="W2211">
        <f t="shared" si="137"/>
        <v>1</v>
      </c>
      <c r="X2211" t="str">
        <f t="shared" si="138"/>
        <v>0-12 Months</v>
      </c>
      <c r="Y2211" s="1" t="str">
        <f t="shared" si="139"/>
        <v>Low</v>
      </c>
    </row>
    <row r="2212" spans="1:25" x14ac:dyDescent="0.2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 t="shared" si="136"/>
        <v>0</v>
      </c>
      <c r="W2212">
        <f t="shared" si="137"/>
        <v>1</v>
      </c>
      <c r="X2212" t="str">
        <f t="shared" si="138"/>
        <v>49+ Months</v>
      </c>
      <c r="Y2212" s="1" t="str">
        <f t="shared" si="139"/>
        <v>High</v>
      </c>
    </row>
    <row r="2213" spans="1:25" x14ac:dyDescent="0.2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 t="shared" si="136"/>
        <v>0</v>
      </c>
      <c r="W2213">
        <f t="shared" si="137"/>
        <v>1</v>
      </c>
      <c r="X2213" t="str">
        <f t="shared" si="138"/>
        <v>49+ Months</v>
      </c>
      <c r="Y2213" s="1" t="str">
        <f t="shared" si="139"/>
        <v>High</v>
      </c>
    </row>
    <row r="2214" spans="1:25" x14ac:dyDescent="0.2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 t="shared" si="136"/>
        <v>0</v>
      </c>
      <c r="W2214">
        <f t="shared" si="137"/>
        <v>1</v>
      </c>
      <c r="X2214" t="str">
        <f t="shared" si="138"/>
        <v>0-12 Months</v>
      </c>
      <c r="Y2214" s="1" t="str">
        <f t="shared" si="139"/>
        <v>Low</v>
      </c>
    </row>
    <row r="2215" spans="1:25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 t="shared" si="136"/>
        <v>0</v>
      </c>
      <c r="W2215">
        <f t="shared" si="137"/>
        <v>1</v>
      </c>
      <c r="X2215" t="str">
        <f t="shared" si="138"/>
        <v>0-12 Months</v>
      </c>
      <c r="Y2215" s="1" t="str">
        <f t="shared" si="139"/>
        <v>Low</v>
      </c>
    </row>
    <row r="2216" spans="1:25" x14ac:dyDescent="0.2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 t="shared" si="136"/>
        <v>1</v>
      </c>
      <c r="W2216">
        <f t="shared" si="137"/>
        <v>0</v>
      </c>
      <c r="X2216" t="str">
        <f t="shared" si="138"/>
        <v>13-24 Months</v>
      </c>
      <c r="Y2216" s="1" t="str">
        <f t="shared" si="139"/>
        <v>High</v>
      </c>
    </row>
    <row r="2217" spans="1:25" x14ac:dyDescent="0.2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 t="shared" si="136"/>
        <v>0</v>
      </c>
      <c r="W2217">
        <f t="shared" si="137"/>
        <v>1</v>
      </c>
      <c r="X2217" t="str">
        <f t="shared" si="138"/>
        <v>49+ Months</v>
      </c>
      <c r="Y2217" s="1" t="str">
        <f t="shared" si="139"/>
        <v>Low</v>
      </c>
    </row>
    <row r="2218" spans="1:25" x14ac:dyDescent="0.2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 t="shared" si="136"/>
        <v>0</v>
      </c>
      <c r="W2218">
        <f t="shared" si="137"/>
        <v>1</v>
      </c>
      <c r="X2218" t="str">
        <f t="shared" si="138"/>
        <v>49+ Months</v>
      </c>
      <c r="Y2218" s="1" t="str">
        <f t="shared" si="139"/>
        <v>High</v>
      </c>
    </row>
    <row r="2219" spans="1:25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 t="shared" si="136"/>
        <v>0</v>
      </c>
      <c r="W2219">
        <f t="shared" si="137"/>
        <v>1</v>
      </c>
      <c r="X2219" t="str">
        <f t="shared" si="138"/>
        <v>49+ Months</v>
      </c>
      <c r="Y2219" s="1" t="str">
        <f t="shared" si="139"/>
        <v>High</v>
      </c>
    </row>
    <row r="2220" spans="1:25" x14ac:dyDescent="0.2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 t="shared" si="136"/>
        <v>0</v>
      </c>
      <c r="W2220">
        <f t="shared" si="137"/>
        <v>1</v>
      </c>
      <c r="X2220" t="str">
        <f t="shared" si="138"/>
        <v>49+ Months</v>
      </c>
      <c r="Y2220" s="1" t="str">
        <f t="shared" si="139"/>
        <v>High</v>
      </c>
    </row>
    <row r="2221" spans="1:25" x14ac:dyDescent="0.2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 t="shared" si="136"/>
        <v>0</v>
      </c>
      <c r="W2221">
        <f t="shared" si="137"/>
        <v>1</v>
      </c>
      <c r="X2221" t="str">
        <f t="shared" si="138"/>
        <v>13-24 Months</v>
      </c>
      <c r="Y2221" s="1" t="str">
        <f t="shared" si="139"/>
        <v>High</v>
      </c>
    </row>
    <row r="2222" spans="1:25" x14ac:dyDescent="0.2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 t="shared" si="136"/>
        <v>0</v>
      </c>
      <c r="W2222">
        <f t="shared" si="137"/>
        <v>1</v>
      </c>
      <c r="X2222" t="str">
        <f t="shared" si="138"/>
        <v>49+ Months</v>
      </c>
      <c r="Y2222" s="1" t="str">
        <f t="shared" si="139"/>
        <v>Medium</v>
      </c>
    </row>
    <row r="2223" spans="1:25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 t="shared" si="136"/>
        <v>0</v>
      </c>
      <c r="W2223">
        <f t="shared" si="137"/>
        <v>1</v>
      </c>
      <c r="X2223" t="str">
        <f t="shared" si="138"/>
        <v>49+ Months</v>
      </c>
      <c r="Y2223" s="1" t="str">
        <f t="shared" si="139"/>
        <v>Medium</v>
      </c>
    </row>
    <row r="2224" spans="1:25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 t="shared" si="136"/>
        <v>0</v>
      </c>
      <c r="W2224">
        <f t="shared" si="137"/>
        <v>1</v>
      </c>
      <c r="X2224" t="str">
        <f t="shared" si="138"/>
        <v>25-48 Months</v>
      </c>
      <c r="Y2224" s="1" t="str">
        <f t="shared" si="139"/>
        <v>High</v>
      </c>
    </row>
    <row r="2225" spans="1:25" x14ac:dyDescent="0.2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 t="shared" si="136"/>
        <v>1</v>
      </c>
      <c r="W2225">
        <f t="shared" si="137"/>
        <v>0</v>
      </c>
      <c r="X2225" t="str">
        <f t="shared" si="138"/>
        <v>25-48 Months</v>
      </c>
      <c r="Y2225" s="1" t="str">
        <f t="shared" si="139"/>
        <v>High</v>
      </c>
    </row>
    <row r="2226" spans="1:25" x14ac:dyDescent="0.2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 t="shared" si="136"/>
        <v>1</v>
      </c>
      <c r="W2226">
        <f t="shared" si="137"/>
        <v>0</v>
      </c>
      <c r="X2226" t="str">
        <f t="shared" si="138"/>
        <v>13-24 Months</v>
      </c>
      <c r="Y2226" s="1" t="str">
        <f t="shared" si="139"/>
        <v>Medium</v>
      </c>
    </row>
    <row r="2227" spans="1:25" x14ac:dyDescent="0.2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 t="shared" si="136"/>
        <v>0</v>
      </c>
      <c r="W2227">
        <f t="shared" si="137"/>
        <v>1</v>
      </c>
      <c r="X2227" t="str">
        <f t="shared" si="138"/>
        <v>25-48 Months</v>
      </c>
      <c r="Y2227" s="1" t="str">
        <f t="shared" si="139"/>
        <v>Low</v>
      </c>
    </row>
    <row r="2228" spans="1:25" x14ac:dyDescent="0.2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 t="shared" si="136"/>
        <v>0</v>
      </c>
      <c r="W2228">
        <f t="shared" si="137"/>
        <v>1</v>
      </c>
      <c r="X2228" t="str">
        <f t="shared" si="138"/>
        <v>13-24 Months</v>
      </c>
      <c r="Y2228" s="1" t="str">
        <f t="shared" si="139"/>
        <v>Low</v>
      </c>
    </row>
    <row r="2229" spans="1:25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 t="shared" si="136"/>
        <v>0</v>
      </c>
      <c r="W2229">
        <f t="shared" si="137"/>
        <v>1</v>
      </c>
      <c r="X2229" t="str">
        <f t="shared" si="138"/>
        <v>49+ Months</v>
      </c>
      <c r="Y2229" s="1" t="str">
        <f t="shared" si="139"/>
        <v>Low</v>
      </c>
    </row>
    <row r="2230" spans="1:25" x14ac:dyDescent="0.2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 t="shared" si="136"/>
        <v>0</v>
      </c>
      <c r="W2230">
        <f t="shared" si="137"/>
        <v>1</v>
      </c>
      <c r="X2230" t="str">
        <f t="shared" si="138"/>
        <v>49+ Months</v>
      </c>
      <c r="Y2230" s="1" t="str">
        <f t="shared" si="139"/>
        <v>High</v>
      </c>
    </row>
    <row r="2231" spans="1:25" x14ac:dyDescent="0.2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 t="shared" si="136"/>
        <v>0</v>
      </c>
      <c r="W2231">
        <f t="shared" si="137"/>
        <v>1</v>
      </c>
      <c r="X2231" t="str">
        <f t="shared" si="138"/>
        <v>0-12 Months</v>
      </c>
      <c r="Y2231" s="1" t="str">
        <f t="shared" si="139"/>
        <v>Medium</v>
      </c>
    </row>
    <row r="2232" spans="1:25" x14ac:dyDescent="0.2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 t="shared" si="136"/>
        <v>0</v>
      </c>
      <c r="W2232">
        <f t="shared" si="137"/>
        <v>1</v>
      </c>
      <c r="X2232" t="str">
        <f t="shared" si="138"/>
        <v>25-48 Months</v>
      </c>
      <c r="Y2232" s="1" t="str">
        <f t="shared" si="139"/>
        <v>Low</v>
      </c>
    </row>
    <row r="2233" spans="1:25" x14ac:dyDescent="0.2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 t="shared" si="136"/>
        <v>1</v>
      </c>
      <c r="W2233">
        <f t="shared" si="137"/>
        <v>0</v>
      </c>
      <c r="X2233" t="str">
        <f t="shared" si="138"/>
        <v>0-12 Months</v>
      </c>
      <c r="Y2233" s="1" t="str">
        <f t="shared" si="139"/>
        <v>Medium</v>
      </c>
    </row>
    <row r="2234" spans="1:25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 t="shared" si="136"/>
        <v>0</v>
      </c>
      <c r="W2234">
        <f t="shared" si="137"/>
        <v>1</v>
      </c>
      <c r="X2234" t="str">
        <f t="shared" si="138"/>
        <v>25-48 Months</v>
      </c>
      <c r="Y2234" s="1" t="str">
        <f t="shared" si="139"/>
        <v>Low</v>
      </c>
    </row>
    <row r="2235" spans="1:25" x14ac:dyDescent="0.2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 t="shared" si="136"/>
        <v>0</v>
      </c>
      <c r="W2235">
        <f t="shared" si="137"/>
        <v>1</v>
      </c>
      <c r="X2235" t="str">
        <f t="shared" si="138"/>
        <v>49+ Months</v>
      </c>
      <c r="Y2235" s="1" t="str">
        <f t="shared" si="139"/>
        <v>Medium</v>
      </c>
    </row>
    <row r="2236" spans="1:25" x14ac:dyDescent="0.2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 t="shared" si="136"/>
        <v>0</v>
      </c>
      <c r="W2236">
        <f t="shared" si="137"/>
        <v>1</v>
      </c>
      <c r="X2236" t="str">
        <f t="shared" si="138"/>
        <v>13-24 Months</v>
      </c>
      <c r="Y2236" s="1" t="str">
        <f t="shared" si="139"/>
        <v>Medium</v>
      </c>
    </row>
    <row r="2237" spans="1:25" x14ac:dyDescent="0.2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 t="shared" si="136"/>
        <v>0</v>
      </c>
      <c r="W2237">
        <f t="shared" si="137"/>
        <v>1</v>
      </c>
      <c r="X2237" t="str">
        <f t="shared" si="138"/>
        <v>25-48 Months</v>
      </c>
      <c r="Y2237" s="1" t="str">
        <f t="shared" si="139"/>
        <v>Medium</v>
      </c>
    </row>
    <row r="2238" spans="1:25" x14ac:dyDescent="0.2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 t="shared" si="136"/>
        <v>0</v>
      </c>
      <c r="W2238">
        <f t="shared" si="137"/>
        <v>1</v>
      </c>
      <c r="X2238" t="str">
        <f t="shared" si="138"/>
        <v>0-12 Months</v>
      </c>
      <c r="Y2238" s="1" t="str">
        <f t="shared" si="139"/>
        <v>Medium</v>
      </c>
    </row>
    <row r="2239" spans="1:25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 t="shared" si="136"/>
        <v>0</v>
      </c>
      <c r="W2239">
        <f t="shared" si="137"/>
        <v>1</v>
      </c>
      <c r="X2239" t="str">
        <f t="shared" si="138"/>
        <v>25-48 Months</v>
      </c>
      <c r="Y2239" s="1" t="str">
        <f t="shared" si="139"/>
        <v>Low</v>
      </c>
    </row>
    <row r="2240" spans="1:25" x14ac:dyDescent="0.2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 t="shared" si="136"/>
        <v>0</v>
      </c>
      <c r="W2240">
        <f t="shared" si="137"/>
        <v>1</v>
      </c>
      <c r="X2240" t="str">
        <f t="shared" si="138"/>
        <v>0-12 Months</v>
      </c>
      <c r="Y2240" s="1" t="str">
        <f t="shared" si="139"/>
        <v>High</v>
      </c>
    </row>
    <row r="2241" spans="1:25" x14ac:dyDescent="0.2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 t="shared" si="136"/>
        <v>0</v>
      </c>
      <c r="W2241">
        <f t="shared" si="137"/>
        <v>1</v>
      </c>
      <c r="X2241" t="str">
        <f t="shared" si="138"/>
        <v>49+ Months</v>
      </c>
      <c r="Y2241" s="1" t="str">
        <f t="shared" si="139"/>
        <v>Low</v>
      </c>
    </row>
    <row r="2242" spans="1:25" x14ac:dyDescent="0.2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 t="shared" ref="V2242:V2305" si="140">IF(U2242="Yes",1,0)</f>
        <v>0</v>
      </c>
      <c r="W2242">
        <f t="shared" ref="W2242:W2305" si="141">IF(U2242="No",1,0)</f>
        <v>1</v>
      </c>
      <c r="X2242" t="str">
        <f t="shared" ref="X2242:X2305" si="142">IF(F2242&lt;=12,"0-12 Months",IF(F2242&lt;=24,"13-24 Months",IF(F2242&lt;=48,"25-48 Months","49+ Months")))</f>
        <v>49+ Months</v>
      </c>
      <c r="Y2242" s="1" t="str">
        <f t="shared" ref="Y2242:Y2305" si="143">IF(S2242&lt;50,"Low",IF(S2242&lt;80,"Medium","High"))</f>
        <v>High</v>
      </c>
    </row>
    <row r="2243" spans="1:25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 t="shared" si="140"/>
        <v>0</v>
      </c>
      <c r="W2243">
        <f t="shared" si="141"/>
        <v>1</v>
      </c>
      <c r="X2243" t="str">
        <f t="shared" si="142"/>
        <v>49+ Months</v>
      </c>
      <c r="Y2243" s="1" t="str">
        <f t="shared" si="143"/>
        <v>Low</v>
      </c>
    </row>
    <row r="2244" spans="1:25" x14ac:dyDescent="0.2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 t="shared" si="140"/>
        <v>0</v>
      </c>
      <c r="W2244">
        <f t="shared" si="141"/>
        <v>1</v>
      </c>
      <c r="X2244" t="str">
        <f t="shared" si="142"/>
        <v>25-48 Months</v>
      </c>
      <c r="Y2244" s="1" t="str">
        <f t="shared" si="143"/>
        <v>Low</v>
      </c>
    </row>
    <row r="2245" spans="1:25" x14ac:dyDescent="0.2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 t="shared" si="140"/>
        <v>0</v>
      </c>
      <c r="W2245">
        <f t="shared" si="141"/>
        <v>1</v>
      </c>
      <c r="X2245" t="str">
        <f t="shared" si="142"/>
        <v>49+ Months</v>
      </c>
      <c r="Y2245" s="1" t="str">
        <f t="shared" si="143"/>
        <v>High</v>
      </c>
    </row>
    <row r="2246" spans="1:25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 t="shared" si="140"/>
        <v>1</v>
      </c>
      <c r="W2246">
        <f t="shared" si="141"/>
        <v>0</v>
      </c>
      <c r="X2246" t="str">
        <f t="shared" si="142"/>
        <v>25-48 Months</v>
      </c>
      <c r="Y2246" s="1" t="str">
        <f t="shared" si="143"/>
        <v>Medium</v>
      </c>
    </row>
    <row r="2247" spans="1:25" x14ac:dyDescent="0.2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 t="shared" si="140"/>
        <v>0</v>
      </c>
      <c r="W2247">
        <f t="shared" si="141"/>
        <v>1</v>
      </c>
      <c r="X2247" t="str">
        <f t="shared" si="142"/>
        <v>49+ Months</v>
      </c>
      <c r="Y2247" s="1" t="str">
        <f t="shared" si="143"/>
        <v>High</v>
      </c>
    </row>
    <row r="2248" spans="1:25" x14ac:dyDescent="0.2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 t="shared" si="140"/>
        <v>1</v>
      </c>
      <c r="W2248">
        <f t="shared" si="141"/>
        <v>0</v>
      </c>
      <c r="X2248" t="str">
        <f t="shared" si="142"/>
        <v>0-12 Months</v>
      </c>
      <c r="Y2248" s="1" t="str">
        <f t="shared" si="143"/>
        <v>High</v>
      </c>
    </row>
    <row r="2249" spans="1:25" x14ac:dyDescent="0.2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 t="shared" si="140"/>
        <v>0</v>
      </c>
      <c r="W2249">
        <f t="shared" si="141"/>
        <v>1</v>
      </c>
      <c r="X2249" t="str">
        <f t="shared" si="142"/>
        <v>25-48 Months</v>
      </c>
      <c r="Y2249" s="1" t="str">
        <f t="shared" si="143"/>
        <v>Low</v>
      </c>
    </row>
    <row r="2250" spans="1:25" x14ac:dyDescent="0.2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 t="shared" si="140"/>
        <v>0</v>
      </c>
      <c r="W2250">
        <f t="shared" si="141"/>
        <v>1</v>
      </c>
      <c r="X2250" t="str">
        <f t="shared" si="142"/>
        <v>25-48 Months</v>
      </c>
      <c r="Y2250" s="1" t="str">
        <f t="shared" si="143"/>
        <v>Medium</v>
      </c>
    </row>
    <row r="2251" spans="1:25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 t="shared" si="140"/>
        <v>0</v>
      </c>
      <c r="W2251">
        <f t="shared" si="141"/>
        <v>1</v>
      </c>
      <c r="X2251" t="str">
        <f t="shared" si="142"/>
        <v>0-12 Months</v>
      </c>
      <c r="Y2251" s="1" t="str">
        <f t="shared" si="143"/>
        <v>Medium</v>
      </c>
    </row>
    <row r="2252" spans="1:25" x14ac:dyDescent="0.2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 t="shared" si="140"/>
        <v>0</v>
      </c>
      <c r="W2252">
        <f t="shared" si="141"/>
        <v>1</v>
      </c>
      <c r="X2252" t="str">
        <f t="shared" si="142"/>
        <v>13-24 Months</v>
      </c>
      <c r="Y2252" s="1" t="str">
        <f t="shared" si="143"/>
        <v>Low</v>
      </c>
    </row>
    <row r="2253" spans="1:25" x14ac:dyDescent="0.2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 t="shared" si="140"/>
        <v>0</v>
      </c>
      <c r="W2253">
        <f t="shared" si="141"/>
        <v>1</v>
      </c>
      <c r="X2253" t="str">
        <f t="shared" si="142"/>
        <v>0-12 Months</v>
      </c>
      <c r="Y2253" s="1" t="str">
        <f t="shared" si="143"/>
        <v>Medium</v>
      </c>
    </row>
    <row r="2254" spans="1:25" x14ac:dyDescent="0.2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 t="shared" si="140"/>
        <v>0</v>
      </c>
      <c r="W2254">
        <f t="shared" si="141"/>
        <v>1</v>
      </c>
      <c r="X2254" t="str">
        <f t="shared" si="142"/>
        <v>49+ Months</v>
      </c>
      <c r="Y2254" s="1" t="str">
        <f t="shared" si="143"/>
        <v>Low</v>
      </c>
    </row>
    <row r="2255" spans="1:25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 t="shared" si="140"/>
        <v>0</v>
      </c>
      <c r="W2255">
        <f t="shared" si="141"/>
        <v>1</v>
      </c>
      <c r="X2255" t="str">
        <f t="shared" si="142"/>
        <v>49+ Months</v>
      </c>
      <c r="Y2255" s="1" t="str">
        <f t="shared" si="143"/>
        <v>Medium</v>
      </c>
    </row>
    <row r="2256" spans="1:25" x14ac:dyDescent="0.2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 t="shared" si="140"/>
        <v>0</v>
      </c>
      <c r="W2256">
        <f t="shared" si="141"/>
        <v>1</v>
      </c>
      <c r="X2256" t="str">
        <f t="shared" si="142"/>
        <v>49+ Months</v>
      </c>
      <c r="Y2256" s="1" t="str">
        <f t="shared" si="143"/>
        <v>High</v>
      </c>
    </row>
    <row r="2257" spans="1:25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 t="shared" si="140"/>
        <v>0</v>
      </c>
      <c r="W2257">
        <f t="shared" si="141"/>
        <v>1</v>
      </c>
      <c r="X2257" t="str">
        <f t="shared" si="142"/>
        <v>0-12 Months</v>
      </c>
      <c r="Y2257" s="1" t="str">
        <f t="shared" si="143"/>
        <v>Medium</v>
      </c>
    </row>
    <row r="2258" spans="1:25" x14ac:dyDescent="0.2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 t="shared" si="140"/>
        <v>0</v>
      </c>
      <c r="W2258">
        <f t="shared" si="141"/>
        <v>1</v>
      </c>
      <c r="X2258" t="str">
        <f t="shared" si="142"/>
        <v>13-24 Months</v>
      </c>
      <c r="Y2258" s="1" t="str">
        <f t="shared" si="143"/>
        <v>Medium</v>
      </c>
    </row>
    <row r="2259" spans="1:25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 t="shared" si="140"/>
        <v>0</v>
      </c>
      <c r="W2259">
        <f t="shared" si="141"/>
        <v>1</v>
      </c>
      <c r="X2259" t="str">
        <f t="shared" si="142"/>
        <v>49+ Months</v>
      </c>
      <c r="Y2259" s="1" t="str">
        <f t="shared" si="143"/>
        <v>High</v>
      </c>
    </row>
    <row r="2260" spans="1:25" x14ac:dyDescent="0.2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 t="shared" si="140"/>
        <v>0</v>
      </c>
      <c r="W2260">
        <f t="shared" si="141"/>
        <v>1</v>
      </c>
      <c r="X2260" t="str">
        <f t="shared" si="142"/>
        <v>49+ Months</v>
      </c>
      <c r="Y2260" s="1" t="str">
        <f t="shared" si="143"/>
        <v>Medium</v>
      </c>
    </row>
    <row r="2261" spans="1:25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 t="shared" si="140"/>
        <v>0</v>
      </c>
      <c r="W2261">
        <f t="shared" si="141"/>
        <v>1</v>
      </c>
      <c r="X2261" t="str">
        <f t="shared" si="142"/>
        <v>0-12 Months</v>
      </c>
      <c r="Y2261" s="1" t="str">
        <f t="shared" si="143"/>
        <v>Low</v>
      </c>
    </row>
    <row r="2262" spans="1:25" x14ac:dyDescent="0.2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 t="shared" si="140"/>
        <v>1</v>
      </c>
      <c r="W2262">
        <f t="shared" si="141"/>
        <v>0</v>
      </c>
      <c r="X2262" t="str">
        <f t="shared" si="142"/>
        <v>0-12 Months</v>
      </c>
      <c r="Y2262" s="1" t="str">
        <f t="shared" si="143"/>
        <v>High</v>
      </c>
    </row>
    <row r="2263" spans="1:25" x14ac:dyDescent="0.2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 t="shared" si="140"/>
        <v>0</v>
      </c>
      <c r="W2263">
        <f t="shared" si="141"/>
        <v>1</v>
      </c>
      <c r="X2263" t="str">
        <f t="shared" si="142"/>
        <v>49+ Months</v>
      </c>
      <c r="Y2263" s="1" t="str">
        <f t="shared" si="143"/>
        <v>Medium</v>
      </c>
    </row>
    <row r="2264" spans="1:25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 t="shared" si="140"/>
        <v>1</v>
      </c>
      <c r="W2264">
        <f t="shared" si="141"/>
        <v>0</v>
      </c>
      <c r="X2264" t="str">
        <f t="shared" si="142"/>
        <v>0-12 Months</v>
      </c>
      <c r="Y2264" s="1" t="str">
        <f t="shared" si="143"/>
        <v>High</v>
      </c>
    </row>
    <row r="2265" spans="1:25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 t="shared" si="140"/>
        <v>1</v>
      </c>
      <c r="W2265">
        <f t="shared" si="141"/>
        <v>0</v>
      </c>
      <c r="X2265" t="str">
        <f t="shared" si="142"/>
        <v>0-12 Months</v>
      </c>
      <c r="Y2265" s="1" t="str">
        <f t="shared" si="143"/>
        <v>High</v>
      </c>
    </row>
    <row r="2266" spans="1:25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 t="shared" si="140"/>
        <v>0</v>
      </c>
      <c r="W2266">
        <f t="shared" si="141"/>
        <v>1</v>
      </c>
      <c r="X2266" t="str">
        <f t="shared" si="142"/>
        <v>49+ Months</v>
      </c>
      <c r="Y2266" s="1" t="str">
        <f t="shared" si="143"/>
        <v>High</v>
      </c>
    </row>
    <row r="2267" spans="1:25" x14ac:dyDescent="0.2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 t="shared" si="140"/>
        <v>1</v>
      </c>
      <c r="W2267">
        <f t="shared" si="141"/>
        <v>0</v>
      </c>
      <c r="X2267" t="str">
        <f t="shared" si="142"/>
        <v>0-12 Months</v>
      </c>
      <c r="Y2267" s="1" t="str">
        <f t="shared" si="143"/>
        <v>High</v>
      </c>
    </row>
    <row r="2268" spans="1:25" x14ac:dyDescent="0.2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 t="shared" si="140"/>
        <v>0</v>
      </c>
      <c r="W2268">
        <f t="shared" si="141"/>
        <v>1</v>
      </c>
      <c r="X2268" t="str">
        <f t="shared" si="142"/>
        <v>49+ Months</v>
      </c>
      <c r="Y2268" s="1" t="str">
        <f t="shared" si="143"/>
        <v>High</v>
      </c>
    </row>
    <row r="2269" spans="1:25" x14ac:dyDescent="0.2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 t="shared" si="140"/>
        <v>0</v>
      </c>
      <c r="W2269">
        <f t="shared" si="141"/>
        <v>1</v>
      </c>
      <c r="X2269" t="str">
        <f t="shared" si="142"/>
        <v>49+ Months</v>
      </c>
      <c r="Y2269" s="1" t="str">
        <f t="shared" si="143"/>
        <v>High</v>
      </c>
    </row>
    <row r="2270" spans="1:25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 t="shared" si="140"/>
        <v>0</v>
      </c>
      <c r="W2270">
        <f t="shared" si="141"/>
        <v>1</v>
      </c>
      <c r="X2270" t="str">
        <f t="shared" si="142"/>
        <v>25-48 Months</v>
      </c>
      <c r="Y2270" s="1" t="str">
        <f t="shared" si="143"/>
        <v>Low</v>
      </c>
    </row>
    <row r="2271" spans="1:25" x14ac:dyDescent="0.2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 t="shared" si="140"/>
        <v>1</v>
      </c>
      <c r="W2271">
        <f t="shared" si="141"/>
        <v>0</v>
      </c>
      <c r="X2271" t="str">
        <f t="shared" si="142"/>
        <v>0-12 Months</v>
      </c>
      <c r="Y2271" s="1" t="str">
        <f t="shared" si="143"/>
        <v>Medium</v>
      </c>
    </row>
    <row r="2272" spans="1:25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 t="shared" si="140"/>
        <v>1</v>
      </c>
      <c r="W2272">
        <f t="shared" si="141"/>
        <v>0</v>
      </c>
      <c r="X2272" t="str">
        <f t="shared" si="142"/>
        <v>0-12 Months</v>
      </c>
      <c r="Y2272" s="1" t="str">
        <f t="shared" si="143"/>
        <v>High</v>
      </c>
    </row>
    <row r="2273" spans="1:25" x14ac:dyDescent="0.2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 t="shared" si="140"/>
        <v>0</v>
      </c>
      <c r="W2273">
        <f t="shared" si="141"/>
        <v>1</v>
      </c>
      <c r="X2273" t="str">
        <f t="shared" si="142"/>
        <v>25-48 Months</v>
      </c>
      <c r="Y2273" s="1" t="str">
        <f t="shared" si="143"/>
        <v>High</v>
      </c>
    </row>
    <row r="2274" spans="1:25" x14ac:dyDescent="0.2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 t="shared" si="140"/>
        <v>0</v>
      </c>
      <c r="W2274">
        <f t="shared" si="141"/>
        <v>1</v>
      </c>
      <c r="X2274" t="str">
        <f t="shared" si="142"/>
        <v>0-12 Months</v>
      </c>
      <c r="Y2274" s="1" t="str">
        <f t="shared" si="143"/>
        <v>Low</v>
      </c>
    </row>
    <row r="2275" spans="1:25" x14ac:dyDescent="0.2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 t="shared" si="140"/>
        <v>0</v>
      </c>
      <c r="W2275">
        <f t="shared" si="141"/>
        <v>1</v>
      </c>
      <c r="X2275" t="str">
        <f t="shared" si="142"/>
        <v>25-48 Months</v>
      </c>
      <c r="Y2275" s="1" t="str">
        <f t="shared" si="143"/>
        <v>Low</v>
      </c>
    </row>
    <row r="2276" spans="1:25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 t="shared" si="140"/>
        <v>1</v>
      </c>
      <c r="W2276">
        <f t="shared" si="141"/>
        <v>0</v>
      </c>
      <c r="X2276" t="str">
        <f t="shared" si="142"/>
        <v>13-24 Months</v>
      </c>
      <c r="Y2276" s="1" t="str">
        <f t="shared" si="143"/>
        <v>High</v>
      </c>
    </row>
    <row r="2277" spans="1:25" x14ac:dyDescent="0.2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 t="shared" si="140"/>
        <v>1</v>
      </c>
      <c r="W2277">
        <f t="shared" si="141"/>
        <v>0</v>
      </c>
      <c r="X2277" t="str">
        <f t="shared" si="142"/>
        <v>0-12 Months</v>
      </c>
      <c r="Y2277" s="1" t="str">
        <f t="shared" si="143"/>
        <v>Medium</v>
      </c>
    </row>
    <row r="2278" spans="1:25" x14ac:dyDescent="0.2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 t="shared" si="140"/>
        <v>0</v>
      </c>
      <c r="W2278">
        <f t="shared" si="141"/>
        <v>1</v>
      </c>
      <c r="X2278" t="str">
        <f t="shared" si="142"/>
        <v>25-48 Months</v>
      </c>
      <c r="Y2278" s="1" t="str">
        <f t="shared" si="143"/>
        <v>High</v>
      </c>
    </row>
    <row r="2279" spans="1:25" x14ac:dyDescent="0.2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 t="shared" si="140"/>
        <v>1</v>
      </c>
      <c r="W2279">
        <f t="shared" si="141"/>
        <v>0</v>
      </c>
      <c r="X2279" t="str">
        <f t="shared" si="142"/>
        <v>49+ Months</v>
      </c>
      <c r="Y2279" s="1" t="str">
        <f t="shared" si="143"/>
        <v>High</v>
      </c>
    </row>
    <row r="2280" spans="1:25" x14ac:dyDescent="0.2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 t="shared" si="140"/>
        <v>0</v>
      </c>
      <c r="W2280">
        <f t="shared" si="141"/>
        <v>1</v>
      </c>
      <c r="X2280" t="str">
        <f t="shared" si="142"/>
        <v>0-12 Months</v>
      </c>
      <c r="Y2280" s="1" t="str">
        <f t="shared" si="143"/>
        <v>Low</v>
      </c>
    </row>
    <row r="2281" spans="1:25" x14ac:dyDescent="0.2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 t="shared" si="140"/>
        <v>0</v>
      </c>
      <c r="W2281">
        <f t="shared" si="141"/>
        <v>1</v>
      </c>
      <c r="X2281" t="str">
        <f t="shared" si="142"/>
        <v>49+ Months</v>
      </c>
      <c r="Y2281" s="1" t="str">
        <f t="shared" si="143"/>
        <v>Low</v>
      </c>
    </row>
    <row r="2282" spans="1:25" x14ac:dyDescent="0.2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 t="shared" si="140"/>
        <v>0</v>
      </c>
      <c r="W2282">
        <f t="shared" si="141"/>
        <v>1</v>
      </c>
      <c r="X2282" t="str">
        <f t="shared" si="142"/>
        <v>0-12 Months</v>
      </c>
      <c r="Y2282" s="1" t="str">
        <f t="shared" si="143"/>
        <v>High</v>
      </c>
    </row>
    <row r="2283" spans="1:25" x14ac:dyDescent="0.2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 t="shared" si="140"/>
        <v>1</v>
      </c>
      <c r="W2283">
        <f t="shared" si="141"/>
        <v>0</v>
      </c>
      <c r="X2283" t="str">
        <f t="shared" si="142"/>
        <v>13-24 Months</v>
      </c>
      <c r="Y2283" s="1" t="str">
        <f t="shared" si="143"/>
        <v>Medium</v>
      </c>
    </row>
    <row r="2284" spans="1:25" x14ac:dyDescent="0.2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 t="shared" si="140"/>
        <v>1</v>
      </c>
      <c r="W2284">
        <f t="shared" si="141"/>
        <v>0</v>
      </c>
      <c r="X2284" t="str">
        <f t="shared" si="142"/>
        <v>49+ Months</v>
      </c>
      <c r="Y2284" s="1" t="str">
        <f t="shared" si="143"/>
        <v>High</v>
      </c>
    </row>
    <row r="2285" spans="1:25" x14ac:dyDescent="0.2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 t="shared" si="140"/>
        <v>1</v>
      </c>
      <c r="W2285">
        <f t="shared" si="141"/>
        <v>0</v>
      </c>
      <c r="X2285" t="str">
        <f t="shared" si="142"/>
        <v>0-12 Months</v>
      </c>
      <c r="Y2285" s="1" t="str">
        <f t="shared" si="143"/>
        <v>Medium</v>
      </c>
    </row>
    <row r="2286" spans="1:25" x14ac:dyDescent="0.2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 t="shared" si="140"/>
        <v>0</v>
      </c>
      <c r="W2286">
        <f t="shared" si="141"/>
        <v>1</v>
      </c>
      <c r="X2286" t="str">
        <f t="shared" si="142"/>
        <v>0-12 Months</v>
      </c>
      <c r="Y2286" s="1" t="str">
        <f t="shared" si="143"/>
        <v>Medium</v>
      </c>
    </row>
    <row r="2287" spans="1:25" x14ac:dyDescent="0.2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 t="shared" si="140"/>
        <v>1</v>
      </c>
      <c r="W2287">
        <f t="shared" si="141"/>
        <v>0</v>
      </c>
      <c r="X2287" t="str">
        <f t="shared" si="142"/>
        <v>49+ Months</v>
      </c>
      <c r="Y2287" s="1" t="str">
        <f t="shared" si="143"/>
        <v>High</v>
      </c>
    </row>
    <row r="2288" spans="1:25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 t="shared" si="140"/>
        <v>0</v>
      </c>
      <c r="W2288">
        <f t="shared" si="141"/>
        <v>1</v>
      </c>
      <c r="X2288" t="str">
        <f t="shared" si="142"/>
        <v>0-12 Months</v>
      </c>
      <c r="Y2288" s="1" t="str">
        <f t="shared" si="143"/>
        <v>Medium</v>
      </c>
    </row>
    <row r="2289" spans="1:25" x14ac:dyDescent="0.2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 t="shared" si="140"/>
        <v>1</v>
      </c>
      <c r="W2289">
        <f t="shared" si="141"/>
        <v>0</v>
      </c>
      <c r="X2289" t="str">
        <f t="shared" si="142"/>
        <v>49+ Months</v>
      </c>
      <c r="Y2289" s="1" t="str">
        <f t="shared" si="143"/>
        <v>High</v>
      </c>
    </row>
    <row r="2290" spans="1:25" x14ac:dyDescent="0.2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 t="shared" si="140"/>
        <v>0</v>
      </c>
      <c r="W2290">
        <f t="shared" si="141"/>
        <v>1</v>
      </c>
      <c r="X2290" t="str">
        <f t="shared" si="142"/>
        <v>0-12 Months</v>
      </c>
      <c r="Y2290" s="1" t="str">
        <f t="shared" si="143"/>
        <v>High</v>
      </c>
    </row>
    <row r="2291" spans="1:25" x14ac:dyDescent="0.2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 t="shared" si="140"/>
        <v>0</v>
      </c>
      <c r="W2291">
        <f t="shared" si="141"/>
        <v>1</v>
      </c>
      <c r="X2291" t="str">
        <f t="shared" si="142"/>
        <v>49+ Months</v>
      </c>
      <c r="Y2291" s="1" t="str">
        <f t="shared" si="143"/>
        <v>High</v>
      </c>
    </row>
    <row r="2292" spans="1:25" x14ac:dyDescent="0.2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 t="shared" si="140"/>
        <v>1</v>
      </c>
      <c r="W2292">
        <f t="shared" si="141"/>
        <v>0</v>
      </c>
      <c r="X2292" t="str">
        <f t="shared" si="142"/>
        <v>13-24 Months</v>
      </c>
      <c r="Y2292" s="1" t="str">
        <f t="shared" si="143"/>
        <v>Low</v>
      </c>
    </row>
    <row r="2293" spans="1:25" x14ac:dyDescent="0.2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 t="shared" si="140"/>
        <v>1</v>
      </c>
      <c r="W2293">
        <f t="shared" si="141"/>
        <v>0</v>
      </c>
      <c r="X2293" t="str">
        <f t="shared" si="142"/>
        <v>0-12 Months</v>
      </c>
      <c r="Y2293" s="1" t="str">
        <f t="shared" si="143"/>
        <v>High</v>
      </c>
    </row>
    <row r="2294" spans="1:25" x14ac:dyDescent="0.2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 t="shared" si="140"/>
        <v>0</v>
      </c>
      <c r="W2294">
        <f t="shared" si="141"/>
        <v>1</v>
      </c>
      <c r="X2294" t="str">
        <f t="shared" si="142"/>
        <v>49+ Months</v>
      </c>
      <c r="Y2294" s="1" t="str">
        <f t="shared" si="143"/>
        <v>High</v>
      </c>
    </row>
    <row r="2295" spans="1:25" x14ac:dyDescent="0.2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 t="shared" si="140"/>
        <v>0</v>
      </c>
      <c r="W2295">
        <f t="shared" si="141"/>
        <v>1</v>
      </c>
      <c r="X2295" t="str">
        <f t="shared" si="142"/>
        <v>49+ Months</v>
      </c>
      <c r="Y2295" s="1" t="str">
        <f t="shared" si="143"/>
        <v>High</v>
      </c>
    </row>
    <row r="2296" spans="1:25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 t="shared" si="140"/>
        <v>1</v>
      </c>
      <c r="W2296">
        <f t="shared" si="141"/>
        <v>0</v>
      </c>
      <c r="X2296" t="str">
        <f t="shared" si="142"/>
        <v>0-12 Months</v>
      </c>
      <c r="Y2296" s="1" t="str">
        <f t="shared" si="143"/>
        <v>High</v>
      </c>
    </row>
    <row r="2297" spans="1:25" x14ac:dyDescent="0.2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 t="shared" si="140"/>
        <v>1</v>
      </c>
      <c r="W2297">
        <f t="shared" si="141"/>
        <v>0</v>
      </c>
      <c r="X2297" t="str">
        <f t="shared" si="142"/>
        <v>0-12 Months</v>
      </c>
      <c r="Y2297" s="1" t="str">
        <f t="shared" si="143"/>
        <v>Low</v>
      </c>
    </row>
    <row r="2298" spans="1:25" x14ac:dyDescent="0.2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 t="shared" si="140"/>
        <v>0</v>
      </c>
      <c r="W2298">
        <f t="shared" si="141"/>
        <v>1</v>
      </c>
      <c r="X2298" t="str">
        <f t="shared" si="142"/>
        <v>0-12 Months</v>
      </c>
      <c r="Y2298" s="1" t="str">
        <f t="shared" si="143"/>
        <v>Low</v>
      </c>
    </row>
    <row r="2299" spans="1:25" x14ac:dyDescent="0.2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 t="shared" si="140"/>
        <v>1</v>
      </c>
      <c r="W2299">
        <f t="shared" si="141"/>
        <v>0</v>
      </c>
      <c r="X2299" t="str">
        <f t="shared" si="142"/>
        <v>49+ Months</v>
      </c>
      <c r="Y2299" s="1" t="str">
        <f t="shared" si="143"/>
        <v>High</v>
      </c>
    </row>
    <row r="2300" spans="1:25" x14ac:dyDescent="0.2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 t="shared" si="140"/>
        <v>0</v>
      </c>
      <c r="W2300">
        <f t="shared" si="141"/>
        <v>1</v>
      </c>
      <c r="X2300" t="str">
        <f t="shared" si="142"/>
        <v>49+ Months</v>
      </c>
      <c r="Y2300" s="1" t="str">
        <f t="shared" si="143"/>
        <v>Medium</v>
      </c>
    </row>
    <row r="2301" spans="1:25" x14ac:dyDescent="0.2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 t="shared" si="140"/>
        <v>0</v>
      </c>
      <c r="W2301">
        <f t="shared" si="141"/>
        <v>1</v>
      </c>
      <c r="X2301" t="str">
        <f t="shared" si="142"/>
        <v>25-48 Months</v>
      </c>
      <c r="Y2301" s="1" t="str">
        <f t="shared" si="143"/>
        <v>Medium</v>
      </c>
    </row>
    <row r="2302" spans="1:25" x14ac:dyDescent="0.2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 t="shared" si="140"/>
        <v>1</v>
      </c>
      <c r="W2302">
        <f t="shared" si="141"/>
        <v>0</v>
      </c>
      <c r="X2302" t="str">
        <f t="shared" si="142"/>
        <v>25-48 Months</v>
      </c>
      <c r="Y2302" s="1" t="str">
        <f t="shared" si="143"/>
        <v>High</v>
      </c>
    </row>
    <row r="2303" spans="1:25" x14ac:dyDescent="0.2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 t="shared" si="140"/>
        <v>0</v>
      </c>
      <c r="W2303">
        <f t="shared" si="141"/>
        <v>1</v>
      </c>
      <c r="X2303" t="str">
        <f t="shared" si="142"/>
        <v>0-12 Months</v>
      </c>
      <c r="Y2303" s="1" t="str">
        <f t="shared" si="143"/>
        <v>High</v>
      </c>
    </row>
    <row r="2304" spans="1:25" x14ac:dyDescent="0.2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 t="shared" si="140"/>
        <v>0</v>
      </c>
      <c r="W2304">
        <f t="shared" si="141"/>
        <v>1</v>
      </c>
      <c r="X2304" t="str">
        <f t="shared" si="142"/>
        <v>49+ Months</v>
      </c>
      <c r="Y2304" s="1" t="str">
        <f t="shared" si="143"/>
        <v>High</v>
      </c>
    </row>
    <row r="2305" spans="1:25" x14ac:dyDescent="0.2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 t="shared" si="140"/>
        <v>1</v>
      </c>
      <c r="W2305">
        <f t="shared" si="141"/>
        <v>0</v>
      </c>
      <c r="X2305" t="str">
        <f t="shared" si="142"/>
        <v>0-12 Months</v>
      </c>
      <c r="Y2305" s="1" t="str">
        <f t="shared" si="143"/>
        <v>Low</v>
      </c>
    </row>
    <row r="2306" spans="1:25" x14ac:dyDescent="0.2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 t="shared" ref="V2306:V2369" si="144">IF(U2306="Yes",1,0)</f>
        <v>0</v>
      </c>
      <c r="W2306">
        <f t="shared" ref="W2306:W2369" si="145">IF(U2306="No",1,0)</f>
        <v>1</v>
      </c>
      <c r="X2306" t="str">
        <f t="shared" ref="X2306:X2369" si="146">IF(F2306&lt;=12,"0-12 Months",IF(F2306&lt;=24,"13-24 Months",IF(F2306&lt;=48,"25-48 Months","49+ Months")))</f>
        <v>49+ Months</v>
      </c>
      <c r="Y2306" s="1" t="str">
        <f t="shared" ref="Y2306:Y2369" si="147">IF(S2306&lt;50,"Low",IF(S2306&lt;80,"Medium","High"))</f>
        <v>High</v>
      </c>
    </row>
    <row r="2307" spans="1:25" x14ac:dyDescent="0.2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 t="shared" si="144"/>
        <v>0</v>
      </c>
      <c r="W2307">
        <f t="shared" si="145"/>
        <v>1</v>
      </c>
      <c r="X2307" t="str">
        <f t="shared" si="146"/>
        <v>25-48 Months</v>
      </c>
      <c r="Y2307" s="1" t="str">
        <f t="shared" si="147"/>
        <v>High</v>
      </c>
    </row>
    <row r="2308" spans="1:25" x14ac:dyDescent="0.2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 t="shared" si="144"/>
        <v>0</v>
      </c>
      <c r="W2308">
        <f t="shared" si="145"/>
        <v>1</v>
      </c>
      <c r="X2308" t="str">
        <f t="shared" si="146"/>
        <v>0-12 Months</v>
      </c>
      <c r="Y2308" s="1" t="str">
        <f t="shared" si="147"/>
        <v>Medium</v>
      </c>
    </row>
    <row r="2309" spans="1:25" x14ac:dyDescent="0.2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 t="shared" si="144"/>
        <v>0</v>
      </c>
      <c r="W2309">
        <f t="shared" si="145"/>
        <v>1</v>
      </c>
      <c r="X2309" t="str">
        <f t="shared" si="146"/>
        <v>0-12 Months</v>
      </c>
      <c r="Y2309" s="1" t="str">
        <f t="shared" si="147"/>
        <v>Medium</v>
      </c>
    </row>
    <row r="2310" spans="1:25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 t="shared" si="144"/>
        <v>0</v>
      </c>
      <c r="W2310">
        <f t="shared" si="145"/>
        <v>1</v>
      </c>
      <c r="X2310" t="str">
        <f t="shared" si="146"/>
        <v>49+ Months</v>
      </c>
      <c r="Y2310" s="1" t="str">
        <f t="shared" si="147"/>
        <v>High</v>
      </c>
    </row>
    <row r="2311" spans="1:25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 t="shared" si="144"/>
        <v>0</v>
      </c>
      <c r="W2311">
        <f t="shared" si="145"/>
        <v>1</v>
      </c>
      <c r="X2311" t="str">
        <f t="shared" si="146"/>
        <v>49+ Months</v>
      </c>
      <c r="Y2311" s="1" t="str">
        <f t="shared" si="147"/>
        <v>High</v>
      </c>
    </row>
    <row r="2312" spans="1:25" x14ac:dyDescent="0.2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 t="shared" si="144"/>
        <v>0</v>
      </c>
      <c r="W2312">
        <f t="shared" si="145"/>
        <v>1</v>
      </c>
      <c r="X2312" t="str">
        <f t="shared" si="146"/>
        <v>49+ Months</v>
      </c>
      <c r="Y2312" s="1" t="str">
        <f t="shared" si="147"/>
        <v>Medium</v>
      </c>
    </row>
    <row r="2313" spans="1:25" x14ac:dyDescent="0.2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 t="shared" si="144"/>
        <v>0</v>
      </c>
      <c r="W2313">
        <f t="shared" si="145"/>
        <v>1</v>
      </c>
      <c r="X2313" t="str">
        <f t="shared" si="146"/>
        <v>25-48 Months</v>
      </c>
      <c r="Y2313" s="1" t="str">
        <f t="shared" si="147"/>
        <v>High</v>
      </c>
    </row>
    <row r="2314" spans="1:25" x14ac:dyDescent="0.2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 t="shared" si="144"/>
        <v>0</v>
      </c>
      <c r="W2314">
        <f t="shared" si="145"/>
        <v>1</v>
      </c>
      <c r="X2314" t="str">
        <f t="shared" si="146"/>
        <v>13-24 Months</v>
      </c>
      <c r="Y2314" s="1" t="str">
        <f t="shared" si="147"/>
        <v>Low</v>
      </c>
    </row>
    <row r="2315" spans="1:25" x14ac:dyDescent="0.2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 t="shared" si="144"/>
        <v>0</v>
      </c>
      <c r="W2315">
        <f t="shared" si="145"/>
        <v>1</v>
      </c>
      <c r="X2315" t="str">
        <f t="shared" si="146"/>
        <v>25-48 Months</v>
      </c>
      <c r="Y2315" s="1" t="str">
        <f t="shared" si="147"/>
        <v>High</v>
      </c>
    </row>
    <row r="2316" spans="1:25" x14ac:dyDescent="0.2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 t="shared" si="144"/>
        <v>0</v>
      </c>
      <c r="W2316">
        <f t="shared" si="145"/>
        <v>1</v>
      </c>
      <c r="X2316" t="str">
        <f t="shared" si="146"/>
        <v>49+ Months</v>
      </c>
      <c r="Y2316" s="1" t="str">
        <f t="shared" si="147"/>
        <v>High</v>
      </c>
    </row>
    <row r="2317" spans="1:25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 t="shared" si="144"/>
        <v>0</v>
      </c>
      <c r="W2317">
        <f t="shared" si="145"/>
        <v>1</v>
      </c>
      <c r="X2317" t="str">
        <f t="shared" si="146"/>
        <v>25-48 Months</v>
      </c>
      <c r="Y2317" s="1" t="str">
        <f t="shared" si="147"/>
        <v>Medium</v>
      </c>
    </row>
    <row r="2318" spans="1:25" x14ac:dyDescent="0.2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 t="shared" si="144"/>
        <v>0</v>
      </c>
      <c r="W2318">
        <f t="shared" si="145"/>
        <v>1</v>
      </c>
      <c r="X2318" t="str">
        <f t="shared" si="146"/>
        <v>0-12 Months</v>
      </c>
      <c r="Y2318" s="1" t="str">
        <f t="shared" si="147"/>
        <v>Low</v>
      </c>
    </row>
    <row r="2319" spans="1:25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 t="shared" si="144"/>
        <v>0</v>
      </c>
      <c r="W2319">
        <f t="shared" si="145"/>
        <v>1</v>
      </c>
      <c r="X2319" t="str">
        <f t="shared" si="146"/>
        <v>49+ Months</v>
      </c>
      <c r="Y2319" s="1" t="str">
        <f t="shared" si="147"/>
        <v>Low</v>
      </c>
    </row>
    <row r="2320" spans="1:25" x14ac:dyDescent="0.2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 t="shared" si="144"/>
        <v>0</v>
      </c>
      <c r="W2320">
        <f t="shared" si="145"/>
        <v>1</v>
      </c>
      <c r="X2320" t="str">
        <f t="shared" si="146"/>
        <v>49+ Months</v>
      </c>
      <c r="Y2320" s="1" t="str">
        <f t="shared" si="147"/>
        <v>High</v>
      </c>
    </row>
    <row r="2321" spans="1:25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 t="shared" si="144"/>
        <v>0</v>
      </c>
      <c r="W2321">
        <f t="shared" si="145"/>
        <v>1</v>
      </c>
      <c r="X2321" t="str">
        <f t="shared" si="146"/>
        <v>0-12 Months</v>
      </c>
      <c r="Y2321" s="1" t="str">
        <f t="shared" si="147"/>
        <v>High</v>
      </c>
    </row>
    <row r="2322" spans="1:25" x14ac:dyDescent="0.2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 t="shared" si="144"/>
        <v>0</v>
      </c>
      <c r="W2322">
        <f t="shared" si="145"/>
        <v>1</v>
      </c>
      <c r="X2322" t="str">
        <f t="shared" si="146"/>
        <v>49+ Months</v>
      </c>
      <c r="Y2322" s="1" t="str">
        <f t="shared" si="147"/>
        <v>High</v>
      </c>
    </row>
    <row r="2323" spans="1:25" x14ac:dyDescent="0.2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 t="shared" si="144"/>
        <v>0</v>
      </c>
      <c r="W2323">
        <f t="shared" si="145"/>
        <v>1</v>
      </c>
      <c r="X2323" t="str">
        <f t="shared" si="146"/>
        <v>49+ Months</v>
      </c>
      <c r="Y2323" s="1" t="str">
        <f t="shared" si="147"/>
        <v>High</v>
      </c>
    </row>
    <row r="2324" spans="1:25" x14ac:dyDescent="0.2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 t="shared" si="144"/>
        <v>0</v>
      </c>
      <c r="W2324">
        <f t="shared" si="145"/>
        <v>1</v>
      </c>
      <c r="X2324" t="str">
        <f t="shared" si="146"/>
        <v>49+ Months</v>
      </c>
      <c r="Y2324" s="1" t="str">
        <f t="shared" si="147"/>
        <v>Low</v>
      </c>
    </row>
    <row r="2325" spans="1:25" x14ac:dyDescent="0.2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 t="shared" si="144"/>
        <v>1</v>
      </c>
      <c r="W2325">
        <f t="shared" si="145"/>
        <v>0</v>
      </c>
      <c r="X2325" t="str">
        <f t="shared" si="146"/>
        <v>25-48 Months</v>
      </c>
      <c r="Y2325" s="1" t="str">
        <f t="shared" si="147"/>
        <v>High</v>
      </c>
    </row>
    <row r="2326" spans="1:25" x14ac:dyDescent="0.2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 t="shared" si="144"/>
        <v>1</v>
      </c>
      <c r="W2326">
        <f t="shared" si="145"/>
        <v>0</v>
      </c>
      <c r="X2326" t="str">
        <f t="shared" si="146"/>
        <v>13-24 Months</v>
      </c>
      <c r="Y2326" s="1" t="str">
        <f t="shared" si="147"/>
        <v>High</v>
      </c>
    </row>
    <row r="2327" spans="1:25" x14ac:dyDescent="0.2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 t="shared" si="144"/>
        <v>0</v>
      </c>
      <c r="W2327">
        <f t="shared" si="145"/>
        <v>1</v>
      </c>
      <c r="X2327" t="str">
        <f t="shared" si="146"/>
        <v>0-12 Months</v>
      </c>
      <c r="Y2327" s="1" t="str">
        <f t="shared" si="147"/>
        <v>Low</v>
      </c>
    </row>
    <row r="2328" spans="1:25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 t="shared" si="144"/>
        <v>0</v>
      </c>
      <c r="W2328">
        <f t="shared" si="145"/>
        <v>1</v>
      </c>
      <c r="X2328" t="str">
        <f t="shared" si="146"/>
        <v>49+ Months</v>
      </c>
      <c r="Y2328" s="1" t="str">
        <f t="shared" si="147"/>
        <v>High</v>
      </c>
    </row>
    <row r="2329" spans="1:25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 t="shared" si="144"/>
        <v>0</v>
      </c>
      <c r="W2329">
        <f t="shared" si="145"/>
        <v>1</v>
      </c>
      <c r="X2329" t="str">
        <f t="shared" si="146"/>
        <v>25-48 Months</v>
      </c>
      <c r="Y2329" s="1" t="str">
        <f t="shared" si="147"/>
        <v>High</v>
      </c>
    </row>
    <row r="2330" spans="1:25" x14ac:dyDescent="0.2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 t="shared" si="144"/>
        <v>0</v>
      </c>
      <c r="W2330">
        <f t="shared" si="145"/>
        <v>1</v>
      </c>
      <c r="X2330" t="str">
        <f t="shared" si="146"/>
        <v>25-48 Months</v>
      </c>
      <c r="Y2330" s="1" t="str">
        <f t="shared" si="147"/>
        <v>High</v>
      </c>
    </row>
    <row r="2331" spans="1:25" x14ac:dyDescent="0.2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 t="shared" si="144"/>
        <v>0</v>
      </c>
      <c r="W2331">
        <f t="shared" si="145"/>
        <v>1</v>
      </c>
      <c r="X2331" t="str">
        <f t="shared" si="146"/>
        <v>49+ Months</v>
      </c>
      <c r="Y2331" s="1" t="str">
        <f t="shared" si="147"/>
        <v>High</v>
      </c>
    </row>
    <row r="2332" spans="1:25" x14ac:dyDescent="0.2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 t="shared" si="144"/>
        <v>0</v>
      </c>
      <c r="W2332">
        <f t="shared" si="145"/>
        <v>1</v>
      </c>
      <c r="X2332" t="str">
        <f t="shared" si="146"/>
        <v>25-48 Months</v>
      </c>
      <c r="Y2332" s="1" t="str">
        <f t="shared" si="147"/>
        <v>Medium</v>
      </c>
    </row>
    <row r="2333" spans="1:25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 t="shared" si="144"/>
        <v>0</v>
      </c>
      <c r="W2333">
        <f t="shared" si="145"/>
        <v>1</v>
      </c>
      <c r="X2333" t="str">
        <f t="shared" si="146"/>
        <v>25-48 Months</v>
      </c>
      <c r="Y2333" s="1" t="str">
        <f t="shared" si="147"/>
        <v>Low</v>
      </c>
    </row>
    <row r="2334" spans="1:25" x14ac:dyDescent="0.2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 t="shared" si="144"/>
        <v>0</v>
      </c>
      <c r="W2334">
        <f t="shared" si="145"/>
        <v>1</v>
      </c>
      <c r="X2334" t="str">
        <f t="shared" si="146"/>
        <v>25-48 Months</v>
      </c>
      <c r="Y2334" s="1" t="str">
        <f t="shared" si="147"/>
        <v>Medium</v>
      </c>
    </row>
    <row r="2335" spans="1:25" x14ac:dyDescent="0.2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 t="shared" si="144"/>
        <v>0</v>
      </c>
      <c r="W2335">
        <f t="shared" si="145"/>
        <v>1</v>
      </c>
      <c r="X2335" t="str">
        <f t="shared" si="146"/>
        <v>49+ Months</v>
      </c>
      <c r="Y2335" s="1" t="str">
        <f t="shared" si="147"/>
        <v>Medium</v>
      </c>
    </row>
    <row r="2336" spans="1:25" x14ac:dyDescent="0.2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 t="shared" si="144"/>
        <v>0</v>
      </c>
      <c r="W2336">
        <f t="shared" si="145"/>
        <v>1</v>
      </c>
      <c r="X2336" t="str">
        <f t="shared" si="146"/>
        <v>13-24 Months</v>
      </c>
      <c r="Y2336" s="1" t="str">
        <f t="shared" si="147"/>
        <v>High</v>
      </c>
    </row>
    <row r="2337" spans="1:25" x14ac:dyDescent="0.2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 t="shared" si="144"/>
        <v>0</v>
      </c>
      <c r="W2337">
        <f t="shared" si="145"/>
        <v>1</v>
      </c>
      <c r="X2337" t="str">
        <f t="shared" si="146"/>
        <v>0-12 Months</v>
      </c>
      <c r="Y2337" s="1" t="str">
        <f t="shared" si="147"/>
        <v>Medium</v>
      </c>
    </row>
    <row r="2338" spans="1:25" x14ac:dyDescent="0.2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 t="shared" si="144"/>
        <v>1</v>
      </c>
      <c r="W2338">
        <f t="shared" si="145"/>
        <v>0</v>
      </c>
      <c r="X2338" t="str">
        <f t="shared" si="146"/>
        <v>13-24 Months</v>
      </c>
      <c r="Y2338" s="1" t="str">
        <f t="shared" si="147"/>
        <v>Medium</v>
      </c>
    </row>
    <row r="2339" spans="1:25" x14ac:dyDescent="0.2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 t="shared" si="144"/>
        <v>1</v>
      </c>
      <c r="W2339">
        <f t="shared" si="145"/>
        <v>0</v>
      </c>
      <c r="X2339" t="str">
        <f t="shared" si="146"/>
        <v>49+ Months</v>
      </c>
      <c r="Y2339" s="1" t="str">
        <f t="shared" si="147"/>
        <v>High</v>
      </c>
    </row>
    <row r="2340" spans="1:25" x14ac:dyDescent="0.2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 t="shared" si="144"/>
        <v>0</v>
      </c>
      <c r="W2340">
        <f t="shared" si="145"/>
        <v>1</v>
      </c>
      <c r="X2340" t="str">
        <f t="shared" si="146"/>
        <v>49+ Months</v>
      </c>
      <c r="Y2340" s="1" t="str">
        <f t="shared" si="147"/>
        <v>Low</v>
      </c>
    </row>
    <row r="2341" spans="1:25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 t="shared" si="144"/>
        <v>1</v>
      </c>
      <c r="W2341">
        <f t="shared" si="145"/>
        <v>0</v>
      </c>
      <c r="X2341" t="str">
        <f t="shared" si="146"/>
        <v>13-24 Months</v>
      </c>
      <c r="Y2341" s="1" t="str">
        <f t="shared" si="147"/>
        <v>High</v>
      </c>
    </row>
    <row r="2342" spans="1:25" x14ac:dyDescent="0.2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 t="shared" si="144"/>
        <v>0</v>
      </c>
      <c r="W2342">
        <f t="shared" si="145"/>
        <v>1</v>
      </c>
      <c r="X2342" t="str">
        <f t="shared" si="146"/>
        <v>25-48 Months</v>
      </c>
      <c r="Y2342" s="1" t="str">
        <f t="shared" si="147"/>
        <v>Low</v>
      </c>
    </row>
    <row r="2343" spans="1:25" x14ac:dyDescent="0.2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 t="shared" si="144"/>
        <v>0</v>
      </c>
      <c r="W2343">
        <f t="shared" si="145"/>
        <v>1</v>
      </c>
      <c r="X2343" t="str">
        <f t="shared" si="146"/>
        <v>49+ Months</v>
      </c>
      <c r="Y2343" s="1" t="str">
        <f t="shared" si="147"/>
        <v>High</v>
      </c>
    </row>
    <row r="2344" spans="1:25" x14ac:dyDescent="0.2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 t="shared" si="144"/>
        <v>0</v>
      </c>
      <c r="W2344">
        <f t="shared" si="145"/>
        <v>1</v>
      </c>
      <c r="X2344" t="str">
        <f t="shared" si="146"/>
        <v>25-48 Months</v>
      </c>
      <c r="Y2344" s="1" t="str">
        <f t="shared" si="147"/>
        <v>High</v>
      </c>
    </row>
    <row r="2345" spans="1:25" x14ac:dyDescent="0.2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 t="shared" si="144"/>
        <v>0</v>
      </c>
      <c r="W2345">
        <f t="shared" si="145"/>
        <v>1</v>
      </c>
      <c r="X2345" t="str">
        <f t="shared" si="146"/>
        <v>0-12 Months</v>
      </c>
      <c r="Y2345" s="1" t="str">
        <f t="shared" si="147"/>
        <v>Low</v>
      </c>
    </row>
    <row r="2346" spans="1:25" x14ac:dyDescent="0.2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 t="shared" si="144"/>
        <v>0</v>
      </c>
      <c r="W2346">
        <f t="shared" si="145"/>
        <v>1</v>
      </c>
      <c r="X2346" t="str">
        <f t="shared" si="146"/>
        <v>13-24 Months</v>
      </c>
      <c r="Y2346" s="1" t="str">
        <f t="shared" si="147"/>
        <v>Low</v>
      </c>
    </row>
    <row r="2347" spans="1:25" x14ac:dyDescent="0.2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 t="shared" si="144"/>
        <v>0</v>
      </c>
      <c r="W2347">
        <f t="shared" si="145"/>
        <v>1</v>
      </c>
      <c r="X2347" t="str">
        <f t="shared" si="146"/>
        <v>0-12 Months</v>
      </c>
      <c r="Y2347" s="1" t="str">
        <f t="shared" si="147"/>
        <v>Low</v>
      </c>
    </row>
    <row r="2348" spans="1:25" x14ac:dyDescent="0.2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 t="shared" si="144"/>
        <v>0</v>
      </c>
      <c r="W2348">
        <f t="shared" si="145"/>
        <v>1</v>
      </c>
      <c r="X2348" t="str">
        <f t="shared" si="146"/>
        <v>49+ Months</v>
      </c>
      <c r="Y2348" s="1" t="str">
        <f t="shared" si="147"/>
        <v>High</v>
      </c>
    </row>
    <row r="2349" spans="1:25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 t="shared" si="144"/>
        <v>0</v>
      </c>
      <c r="W2349">
        <f t="shared" si="145"/>
        <v>1</v>
      </c>
      <c r="X2349" t="str">
        <f t="shared" si="146"/>
        <v>0-12 Months</v>
      </c>
      <c r="Y2349" s="1" t="str">
        <f t="shared" si="147"/>
        <v>Low</v>
      </c>
    </row>
    <row r="2350" spans="1:25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 t="shared" si="144"/>
        <v>0</v>
      </c>
      <c r="W2350">
        <f t="shared" si="145"/>
        <v>1</v>
      </c>
      <c r="X2350" t="str">
        <f t="shared" si="146"/>
        <v>49+ Months</v>
      </c>
      <c r="Y2350" s="1" t="str">
        <f t="shared" si="147"/>
        <v>Low</v>
      </c>
    </row>
    <row r="2351" spans="1:25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 t="shared" si="144"/>
        <v>0</v>
      </c>
      <c r="W2351">
        <f t="shared" si="145"/>
        <v>1</v>
      </c>
      <c r="X2351" t="str">
        <f t="shared" si="146"/>
        <v>49+ Months</v>
      </c>
      <c r="Y2351" s="1" t="str">
        <f t="shared" si="147"/>
        <v>High</v>
      </c>
    </row>
    <row r="2352" spans="1:25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 t="shared" si="144"/>
        <v>0</v>
      </c>
      <c r="W2352">
        <f t="shared" si="145"/>
        <v>1</v>
      </c>
      <c r="X2352" t="str">
        <f t="shared" si="146"/>
        <v>0-12 Months</v>
      </c>
      <c r="Y2352" s="1" t="str">
        <f t="shared" si="147"/>
        <v>High</v>
      </c>
    </row>
    <row r="2353" spans="1:25" x14ac:dyDescent="0.2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 t="shared" si="144"/>
        <v>0</v>
      </c>
      <c r="W2353">
        <f t="shared" si="145"/>
        <v>1</v>
      </c>
      <c r="X2353" t="str">
        <f t="shared" si="146"/>
        <v>49+ Months</v>
      </c>
      <c r="Y2353" s="1" t="str">
        <f t="shared" si="147"/>
        <v>Medium</v>
      </c>
    </row>
    <row r="2354" spans="1:25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 t="shared" si="144"/>
        <v>0</v>
      </c>
      <c r="W2354">
        <f t="shared" si="145"/>
        <v>1</v>
      </c>
      <c r="X2354" t="str">
        <f t="shared" si="146"/>
        <v>0-12 Months</v>
      </c>
      <c r="Y2354" s="1" t="str">
        <f t="shared" si="147"/>
        <v>Low</v>
      </c>
    </row>
    <row r="2355" spans="1:25" x14ac:dyDescent="0.2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 t="shared" si="144"/>
        <v>0</v>
      </c>
      <c r="W2355">
        <f t="shared" si="145"/>
        <v>1</v>
      </c>
      <c r="X2355" t="str">
        <f t="shared" si="146"/>
        <v>0-12 Months</v>
      </c>
      <c r="Y2355" s="1" t="str">
        <f t="shared" si="147"/>
        <v>High</v>
      </c>
    </row>
    <row r="2356" spans="1:25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 t="shared" si="144"/>
        <v>0</v>
      </c>
      <c r="W2356">
        <f t="shared" si="145"/>
        <v>1</v>
      </c>
      <c r="X2356" t="str">
        <f t="shared" si="146"/>
        <v>0-12 Months</v>
      </c>
      <c r="Y2356" s="1" t="str">
        <f t="shared" si="147"/>
        <v>Low</v>
      </c>
    </row>
    <row r="2357" spans="1:25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 t="shared" si="144"/>
        <v>0</v>
      </c>
      <c r="W2357">
        <f t="shared" si="145"/>
        <v>1</v>
      </c>
      <c r="X2357" t="str">
        <f t="shared" si="146"/>
        <v>49+ Months</v>
      </c>
      <c r="Y2357" s="1" t="str">
        <f t="shared" si="147"/>
        <v>Medium</v>
      </c>
    </row>
    <row r="2358" spans="1:25" x14ac:dyDescent="0.2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 t="shared" si="144"/>
        <v>0</v>
      </c>
      <c r="W2358">
        <f t="shared" si="145"/>
        <v>1</v>
      </c>
      <c r="X2358" t="str">
        <f t="shared" si="146"/>
        <v>25-48 Months</v>
      </c>
      <c r="Y2358" s="1" t="str">
        <f t="shared" si="147"/>
        <v>Low</v>
      </c>
    </row>
    <row r="2359" spans="1:25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 t="shared" si="144"/>
        <v>0</v>
      </c>
      <c r="W2359">
        <f t="shared" si="145"/>
        <v>1</v>
      </c>
      <c r="X2359" t="str">
        <f t="shared" si="146"/>
        <v>49+ Months</v>
      </c>
      <c r="Y2359" s="1" t="str">
        <f t="shared" si="147"/>
        <v>Medium</v>
      </c>
    </row>
    <row r="2360" spans="1:25" x14ac:dyDescent="0.2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 t="shared" si="144"/>
        <v>0</v>
      </c>
      <c r="W2360">
        <f t="shared" si="145"/>
        <v>1</v>
      </c>
      <c r="X2360" t="str">
        <f t="shared" si="146"/>
        <v>49+ Months</v>
      </c>
      <c r="Y2360" s="1" t="str">
        <f t="shared" si="147"/>
        <v>Low</v>
      </c>
    </row>
    <row r="2361" spans="1:25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 t="shared" si="144"/>
        <v>0</v>
      </c>
      <c r="W2361">
        <f t="shared" si="145"/>
        <v>1</v>
      </c>
      <c r="X2361" t="str">
        <f t="shared" si="146"/>
        <v>25-48 Months</v>
      </c>
      <c r="Y2361" s="1" t="str">
        <f t="shared" si="147"/>
        <v>Medium</v>
      </c>
    </row>
    <row r="2362" spans="1:25" x14ac:dyDescent="0.2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 t="shared" si="144"/>
        <v>0</v>
      </c>
      <c r="W2362">
        <f t="shared" si="145"/>
        <v>1</v>
      </c>
      <c r="X2362" t="str">
        <f t="shared" si="146"/>
        <v>49+ Months</v>
      </c>
      <c r="Y2362" s="1" t="str">
        <f t="shared" si="147"/>
        <v>Low</v>
      </c>
    </row>
    <row r="2363" spans="1:25" x14ac:dyDescent="0.2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 t="shared" si="144"/>
        <v>1</v>
      </c>
      <c r="W2363">
        <f t="shared" si="145"/>
        <v>0</v>
      </c>
      <c r="X2363" t="str">
        <f t="shared" si="146"/>
        <v>0-12 Months</v>
      </c>
      <c r="Y2363" s="1" t="str">
        <f t="shared" si="147"/>
        <v>Low</v>
      </c>
    </row>
    <row r="2364" spans="1:25" x14ac:dyDescent="0.2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 t="shared" si="144"/>
        <v>0</v>
      </c>
      <c r="W2364">
        <f t="shared" si="145"/>
        <v>1</v>
      </c>
      <c r="X2364" t="str">
        <f t="shared" si="146"/>
        <v>49+ Months</v>
      </c>
      <c r="Y2364" s="1" t="str">
        <f t="shared" si="147"/>
        <v>Low</v>
      </c>
    </row>
    <row r="2365" spans="1:25" x14ac:dyDescent="0.2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 t="shared" si="144"/>
        <v>0</v>
      </c>
      <c r="W2365">
        <f t="shared" si="145"/>
        <v>1</v>
      </c>
      <c r="X2365" t="str">
        <f t="shared" si="146"/>
        <v>0-12 Months</v>
      </c>
      <c r="Y2365" s="1" t="str">
        <f t="shared" si="147"/>
        <v>Low</v>
      </c>
    </row>
    <row r="2366" spans="1:25" x14ac:dyDescent="0.2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 t="shared" si="144"/>
        <v>0</v>
      </c>
      <c r="W2366">
        <f t="shared" si="145"/>
        <v>1</v>
      </c>
      <c r="X2366" t="str">
        <f t="shared" si="146"/>
        <v>13-24 Months</v>
      </c>
      <c r="Y2366" s="1" t="str">
        <f t="shared" si="147"/>
        <v>High</v>
      </c>
    </row>
    <row r="2367" spans="1:25" x14ac:dyDescent="0.2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 t="shared" si="144"/>
        <v>0</v>
      </c>
      <c r="W2367">
        <f t="shared" si="145"/>
        <v>1</v>
      </c>
      <c r="X2367" t="str">
        <f t="shared" si="146"/>
        <v>13-24 Months</v>
      </c>
      <c r="Y2367" s="1" t="str">
        <f t="shared" si="147"/>
        <v>High</v>
      </c>
    </row>
    <row r="2368" spans="1:25" x14ac:dyDescent="0.2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 t="shared" si="144"/>
        <v>1</v>
      </c>
      <c r="W2368">
        <f t="shared" si="145"/>
        <v>0</v>
      </c>
      <c r="X2368" t="str">
        <f t="shared" si="146"/>
        <v>0-12 Months</v>
      </c>
      <c r="Y2368" s="1" t="str">
        <f t="shared" si="147"/>
        <v>Medium</v>
      </c>
    </row>
    <row r="2369" spans="1:25" x14ac:dyDescent="0.2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 t="shared" si="144"/>
        <v>1</v>
      </c>
      <c r="W2369">
        <f t="shared" si="145"/>
        <v>0</v>
      </c>
      <c r="X2369" t="str">
        <f t="shared" si="146"/>
        <v>0-12 Months</v>
      </c>
      <c r="Y2369" s="1" t="str">
        <f t="shared" si="147"/>
        <v>High</v>
      </c>
    </row>
    <row r="2370" spans="1:25" x14ac:dyDescent="0.2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 t="shared" ref="V2370:V2433" si="148">IF(U2370="Yes",1,0)</f>
        <v>0</v>
      </c>
      <c r="W2370">
        <f t="shared" ref="W2370:W2433" si="149">IF(U2370="No",1,0)</f>
        <v>1</v>
      </c>
      <c r="X2370" t="str">
        <f t="shared" ref="X2370:X2433" si="150">IF(F2370&lt;=12,"0-12 Months",IF(F2370&lt;=24,"13-24 Months",IF(F2370&lt;=48,"25-48 Months","49+ Months")))</f>
        <v>49+ Months</v>
      </c>
      <c r="Y2370" s="1" t="str">
        <f t="shared" ref="Y2370:Y2433" si="151">IF(S2370&lt;50,"Low",IF(S2370&lt;80,"Medium","High"))</f>
        <v>High</v>
      </c>
    </row>
    <row r="2371" spans="1:25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 t="shared" si="148"/>
        <v>0</v>
      </c>
      <c r="W2371">
        <f t="shared" si="149"/>
        <v>1</v>
      </c>
      <c r="X2371" t="str">
        <f t="shared" si="150"/>
        <v>49+ Months</v>
      </c>
      <c r="Y2371" s="1" t="str">
        <f t="shared" si="151"/>
        <v>High</v>
      </c>
    </row>
    <row r="2372" spans="1:25" x14ac:dyDescent="0.2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 t="shared" si="148"/>
        <v>0</v>
      </c>
      <c r="W2372">
        <f t="shared" si="149"/>
        <v>1</v>
      </c>
      <c r="X2372" t="str">
        <f t="shared" si="150"/>
        <v>49+ Months</v>
      </c>
      <c r="Y2372" s="1" t="str">
        <f t="shared" si="151"/>
        <v>High</v>
      </c>
    </row>
    <row r="2373" spans="1:25" x14ac:dyDescent="0.2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 t="shared" si="148"/>
        <v>0</v>
      </c>
      <c r="W2373">
        <f t="shared" si="149"/>
        <v>1</v>
      </c>
      <c r="X2373" t="str">
        <f t="shared" si="150"/>
        <v>0-12 Months</v>
      </c>
      <c r="Y2373" s="1" t="str">
        <f t="shared" si="151"/>
        <v>Low</v>
      </c>
    </row>
    <row r="2374" spans="1:25" x14ac:dyDescent="0.2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 t="shared" si="148"/>
        <v>0</v>
      </c>
      <c r="W2374">
        <f t="shared" si="149"/>
        <v>1</v>
      </c>
      <c r="X2374" t="str">
        <f t="shared" si="150"/>
        <v>49+ Months</v>
      </c>
      <c r="Y2374" s="1" t="str">
        <f t="shared" si="151"/>
        <v>High</v>
      </c>
    </row>
    <row r="2375" spans="1:25" x14ac:dyDescent="0.2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 t="shared" si="148"/>
        <v>0</v>
      </c>
      <c r="W2375">
        <f t="shared" si="149"/>
        <v>1</v>
      </c>
      <c r="X2375" t="str">
        <f t="shared" si="150"/>
        <v>49+ Months</v>
      </c>
      <c r="Y2375" s="1" t="str">
        <f t="shared" si="151"/>
        <v>Low</v>
      </c>
    </row>
    <row r="2376" spans="1:25" x14ac:dyDescent="0.2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 t="shared" si="148"/>
        <v>0</v>
      </c>
      <c r="W2376">
        <f t="shared" si="149"/>
        <v>1</v>
      </c>
      <c r="X2376" t="str">
        <f t="shared" si="150"/>
        <v>0-12 Months</v>
      </c>
      <c r="Y2376" s="1" t="str">
        <f t="shared" si="151"/>
        <v>Low</v>
      </c>
    </row>
    <row r="2377" spans="1:25" x14ac:dyDescent="0.2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 t="shared" si="148"/>
        <v>0</v>
      </c>
      <c r="W2377">
        <f t="shared" si="149"/>
        <v>1</v>
      </c>
      <c r="X2377" t="str">
        <f t="shared" si="150"/>
        <v>49+ Months</v>
      </c>
      <c r="Y2377" s="1" t="str">
        <f t="shared" si="151"/>
        <v>High</v>
      </c>
    </row>
    <row r="2378" spans="1:25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 t="shared" si="148"/>
        <v>0</v>
      </c>
      <c r="W2378">
        <f t="shared" si="149"/>
        <v>1</v>
      </c>
      <c r="X2378" t="str">
        <f t="shared" si="150"/>
        <v>0-12 Months</v>
      </c>
      <c r="Y2378" s="1" t="str">
        <f t="shared" si="151"/>
        <v>Medium</v>
      </c>
    </row>
    <row r="2379" spans="1:25" x14ac:dyDescent="0.2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 t="shared" si="148"/>
        <v>0</v>
      </c>
      <c r="W2379">
        <f t="shared" si="149"/>
        <v>1</v>
      </c>
      <c r="X2379" t="str">
        <f t="shared" si="150"/>
        <v>25-48 Months</v>
      </c>
      <c r="Y2379" s="1" t="str">
        <f t="shared" si="151"/>
        <v>Medium</v>
      </c>
    </row>
    <row r="2380" spans="1:25" x14ac:dyDescent="0.2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 t="shared" si="148"/>
        <v>1</v>
      </c>
      <c r="W2380">
        <f t="shared" si="149"/>
        <v>0</v>
      </c>
      <c r="X2380" t="str">
        <f t="shared" si="150"/>
        <v>25-48 Months</v>
      </c>
      <c r="Y2380" s="1" t="str">
        <f t="shared" si="151"/>
        <v>Medium</v>
      </c>
    </row>
    <row r="2381" spans="1:25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 t="shared" si="148"/>
        <v>1</v>
      </c>
      <c r="W2381">
        <f t="shared" si="149"/>
        <v>0</v>
      </c>
      <c r="X2381" t="str">
        <f t="shared" si="150"/>
        <v>25-48 Months</v>
      </c>
      <c r="Y2381" s="1" t="str">
        <f t="shared" si="151"/>
        <v>High</v>
      </c>
    </row>
    <row r="2382" spans="1:25" x14ac:dyDescent="0.2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 t="shared" si="148"/>
        <v>0</v>
      </c>
      <c r="W2382">
        <f t="shared" si="149"/>
        <v>1</v>
      </c>
      <c r="X2382" t="str">
        <f t="shared" si="150"/>
        <v>49+ Months</v>
      </c>
      <c r="Y2382" s="1" t="str">
        <f t="shared" si="151"/>
        <v>High</v>
      </c>
    </row>
    <row r="2383" spans="1:25" x14ac:dyDescent="0.2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 t="shared" si="148"/>
        <v>0</v>
      </c>
      <c r="W2383">
        <f t="shared" si="149"/>
        <v>1</v>
      </c>
      <c r="X2383" t="str">
        <f t="shared" si="150"/>
        <v>0-12 Months</v>
      </c>
      <c r="Y2383" s="1" t="str">
        <f t="shared" si="151"/>
        <v>Low</v>
      </c>
    </row>
    <row r="2384" spans="1:25" x14ac:dyDescent="0.2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 t="shared" si="148"/>
        <v>0</v>
      </c>
      <c r="W2384">
        <f t="shared" si="149"/>
        <v>1</v>
      </c>
      <c r="X2384" t="str">
        <f t="shared" si="150"/>
        <v>25-48 Months</v>
      </c>
      <c r="Y2384" s="1" t="str">
        <f t="shared" si="151"/>
        <v>Low</v>
      </c>
    </row>
    <row r="2385" spans="1:25" x14ac:dyDescent="0.2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 t="shared" si="148"/>
        <v>0</v>
      </c>
      <c r="W2385">
        <f t="shared" si="149"/>
        <v>1</v>
      </c>
      <c r="X2385" t="str">
        <f t="shared" si="150"/>
        <v>13-24 Months</v>
      </c>
      <c r="Y2385" s="1" t="str">
        <f t="shared" si="151"/>
        <v>Low</v>
      </c>
    </row>
    <row r="2386" spans="1:25" x14ac:dyDescent="0.2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 t="shared" si="148"/>
        <v>0</v>
      </c>
      <c r="W2386">
        <f t="shared" si="149"/>
        <v>1</v>
      </c>
      <c r="X2386" t="str">
        <f t="shared" si="150"/>
        <v>25-48 Months</v>
      </c>
      <c r="Y2386" s="1" t="str">
        <f t="shared" si="151"/>
        <v>High</v>
      </c>
    </row>
    <row r="2387" spans="1:25" x14ac:dyDescent="0.2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 t="shared" si="148"/>
        <v>0</v>
      </c>
      <c r="W2387">
        <f t="shared" si="149"/>
        <v>1</v>
      </c>
      <c r="X2387" t="str">
        <f t="shared" si="150"/>
        <v>0-12 Months</v>
      </c>
      <c r="Y2387" s="1" t="str">
        <f t="shared" si="151"/>
        <v>Low</v>
      </c>
    </row>
    <row r="2388" spans="1:25" x14ac:dyDescent="0.2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 t="shared" si="148"/>
        <v>0</v>
      </c>
      <c r="W2388">
        <f t="shared" si="149"/>
        <v>1</v>
      </c>
      <c r="X2388" t="str">
        <f t="shared" si="150"/>
        <v>25-48 Months</v>
      </c>
      <c r="Y2388" s="1" t="str">
        <f t="shared" si="151"/>
        <v>Medium</v>
      </c>
    </row>
    <row r="2389" spans="1:25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 t="shared" si="148"/>
        <v>0</v>
      </c>
      <c r="W2389">
        <f t="shared" si="149"/>
        <v>1</v>
      </c>
      <c r="X2389" t="str">
        <f t="shared" si="150"/>
        <v>0-12 Months</v>
      </c>
      <c r="Y2389" s="1" t="str">
        <f t="shared" si="151"/>
        <v>High</v>
      </c>
    </row>
    <row r="2390" spans="1:25" x14ac:dyDescent="0.2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 t="shared" si="148"/>
        <v>0</v>
      </c>
      <c r="W2390">
        <f t="shared" si="149"/>
        <v>1</v>
      </c>
      <c r="X2390" t="str">
        <f t="shared" si="150"/>
        <v>0-12 Months</v>
      </c>
      <c r="Y2390" s="1" t="str">
        <f t="shared" si="151"/>
        <v>Medium</v>
      </c>
    </row>
    <row r="2391" spans="1:25" x14ac:dyDescent="0.2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 t="shared" si="148"/>
        <v>0</v>
      </c>
      <c r="W2391">
        <f t="shared" si="149"/>
        <v>1</v>
      </c>
      <c r="X2391" t="str">
        <f t="shared" si="150"/>
        <v>49+ Months</v>
      </c>
      <c r="Y2391" s="1" t="str">
        <f t="shared" si="151"/>
        <v>High</v>
      </c>
    </row>
    <row r="2392" spans="1:25" x14ac:dyDescent="0.2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 t="shared" si="148"/>
        <v>0</v>
      </c>
      <c r="W2392">
        <f t="shared" si="149"/>
        <v>1</v>
      </c>
      <c r="X2392" t="str">
        <f t="shared" si="150"/>
        <v>0-12 Months</v>
      </c>
      <c r="Y2392" s="1" t="str">
        <f t="shared" si="151"/>
        <v>Low</v>
      </c>
    </row>
    <row r="2393" spans="1:25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 t="shared" si="148"/>
        <v>0</v>
      </c>
      <c r="W2393">
        <f t="shared" si="149"/>
        <v>1</v>
      </c>
      <c r="X2393" t="str">
        <f t="shared" si="150"/>
        <v>0-12 Months</v>
      </c>
      <c r="Y2393" s="1" t="str">
        <f t="shared" si="151"/>
        <v>Medium</v>
      </c>
    </row>
    <row r="2394" spans="1:25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 t="shared" si="148"/>
        <v>0</v>
      </c>
      <c r="W2394">
        <f t="shared" si="149"/>
        <v>1</v>
      </c>
      <c r="X2394" t="str">
        <f t="shared" si="150"/>
        <v>13-24 Months</v>
      </c>
      <c r="Y2394" s="1" t="str">
        <f t="shared" si="151"/>
        <v>High</v>
      </c>
    </row>
    <row r="2395" spans="1:25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 t="shared" si="148"/>
        <v>1</v>
      </c>
      <c r="W2395">
        <f t="shared" si="149"/>
        <v>0</v>
      </c>
      <c r="X2395" t="str">
        <f t="shared" si="150"/>
        <v>25-48 Months</v>
      </c>
      <c r="Y2395" s="1" t="str">
        <f t="shared" si="151"/>
        <v>High</v>
      </c>
    </row>
    <row r="2396" spans="1:25" x14ac:dyDescent="0.2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 t="shared" si="148"/>
        <v>0</v>
      </c>
      <c r="W2396">
        <f t="shared" si="149"/>
        <v>1</v>
      </c>
      <c r="X2396" t="str">
        <f t="shared" si="150"/>
        <v>49+ Months</v>
      </c>
      <c r="Y2396" s="1" t="str">
        <f t="shared" si="151"/>
        <v>Medium</v>
      </c>
    </row>
    <row r="2397" spans="1:25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 t="shared" si="148"/>
        <v>0</v>
      </c>
      <c r="W2397">
        <f t="shared" si="149"/>
        <v>1</v>
      </c>
      <c r="X2397" t="str">
        <f t="shared" si="150"/>
        <v>25-48 Months</v>
      </c>
      <c r="Y2397" s="1" t="str">
        <f t="shared" si="151"/>
        <v>High</v>
      </c>
    </row>
    <row r="2398" spans="1:25" x14ac:dyDescent="0.2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 t="shared" si="148"/>
        <v>0</v>
      </c>
      <c r="W2398">
        <f t="shared" si="149"/>
        <v>1</v>
      </c>
      <c r="X2398" t="str">
        <f t="shared" si="150"/>
        <v>25-48 Months</v>
      </c>
      <c r="Y2398" s="1" t="str">
        <f t="shared" si="151"/>
        <v>High</v>
      </c>
    </row>
    <row r="2399" spans="1:25" x14ac:dyDescent="0.2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 t="shared" si="148"/>
        <v>1</v>
      </c>
      <c r="W2399">
        <f t="shared" si="149"/>
        <v>0</v>
      </c>
      <c r="X2399" t="str">
        <f t="shared" si="150"/>
        <v>0-12 Months</v>
      </c>
      <c r="Y2399" s="1" t="str">
        <f t="shared" si="151"/>
        <v>High</v>
      </c>
    </row>
    <row r="2400" spans="1:25" x14ac:dyDescent="0.2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 t="shared" si="148"/>
        <v>0</v>
      </c>
      <c r="W2400">
        <f t="shared" si="149"/>
        <v>1</v>
      </c>
      <c r="X2400" t="str">
        <f t="shared" si="150"/>
        <v>0-12 Months</v>
      </c>
      <c r="Y2400" s="1" t="str">
        <f t="shared" si="151"/>
        <v>Low</v>
      </c>
    </row>
    <row r="2401" spans="1:25" x14ac:dyDescent="0.2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 t="shared" si="148"/>
        <v>0</v>
      </c>
      <c r="W2401">
        <f t="shared" si="149"/>
        <v>1</v>
      </c>
      <c r="X2401" t="str">
        <f t="shared" si="150"/>
        <v>0-12 Months</v>
      </c>
      <c r="Y2401" s="1" t="str">
        <f t="shared" si="151"/>
        <v>Low</v>
      </c>
    </row>
    <row r="2402" spans="1:25" x14ac:dyDescent="0.2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 t="shared" si="148"/>
        <v>0</v>
      </c>
      <c r="W2402">
        <f t="shared" si="149"/>
        <v>1</v>
      </c>
      <c r="X2402" t="str">
        <f t="shared" si="150"/>
        <v>0-12 Months</v>
      </c>
      <c r="Y2402" s="1" t="str">
        <f t="shared" si="151"/>
        <v>High</v>
      </c>
    </row>
    <row r="2403" spans="1:25" x14ac:dyDescent="0.2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 t="shared" si="148"/>
        <v>0</v>
      </c>
      <c r="W2403">
        <f t="shared" si="149"/>
        <v>1</v>
      </c>
      <c r="X2403" t="str">
        <f t="shared" si="150"/>
        <v>0-12 Months</v>
      </c>
      <c r="Y2403" s="1" t="str">
        <f t="shared" si="151"/>
        <v>Medium</v>
      </c>
    </row>
    <row r="2404" spans="1:25" x14ac:dyDescent="0.2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 t="shared" si="148"/>
        <v>0</v>
      </c>
      <c r="W2404">
        <f t="shared" si="149"/>
        <v>1</v>
      </c>
      <c r="X2404" t="str">
        <f t="shared" si="150"/>
        <v>0-12 Months</v>
      </c>
      <c r="Y2404" s="1" t="str">
        <f t="shared" si="151"/>
        <v>Low</v>
      </c>
    </row>
    <row r="2405" spans="1:25" x14ac:dyDescent="0.2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 t="shared" si="148"/>
        <v>0</v>
      </c>
      <c r="W2405">
        <f t="shared" si="149"/>
        <v>1</v>
      </c>
      <c r="X2405" t="str">
        <f t="shared" si="150"/>
        <v>49+ Months</v>
      </c>
      <c r="Y2405" s="1" t="str">
        <f t="shared" si="151"/>
        <v>High</v>
      </c>
    </row>
    <row r="2406" spans="1:25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 t="shared" si="148"/>
        <v>0</v>
      </c>
      <c r="W2406">
        <f t="shared" si="149"/>
        <v>1</v>
      </c>
      <c r="X2406" t="str">
        <f t="shared" si="150"/>
        <v>25-48 Months</v>
      </c>
      <c r="Y2406" s="1" t="str">
        <f t="shared" si="151"/>
        <v>High</v>
      </c>
    </row>
    <row r="2407" spans="1:25" x14ac:dyDescent="0.2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 t="shared" si="148"/>
        <v>1</v>
      </c>
      <c r="W2407">
        <f t="shared" si="149"/>
        <v>0</v>
      </c>
      <c r="X2407" t="str">
        <f t="shared" si="150"/>
        <v>0-12 Months</v>
      </c>
      <c r="Y2407" s="1" t="str">
        <f t="shared" si="151"/>
        <v>High</v>
      </c>
    </row>
    <row r="2408" spans="1:25" x14ac:dyDescent="0.2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 t="shared" si="148"/>
        <v>1</v>
      </c>
      <c r="W2408">
        <f t="shared" si="149"/>
        <v>0</v>
      </c>
      <c r="X2408" t="str">
        <f t="shared" si="150"/>
        <v>0-12 Months</v>
      </c>
      <c r="Y2408" s="1" t="str">
        <f t="shared" si="151"/>
        <v>High</v>
      </c>
    </row>
    <row r="2409" spans="1:25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 t="shared" si="148"/>
        <v>1</v>
      </c>
      <c r="W2409">
        <f t="shared" si="149"/>
        <v>0</v>
      </c>
      <c r="X2409" t="str">
        <f t="shared" si="150"/>
        <v>0-12 Months</v>
      </c>
      <c r="Y2409" s="1" t="str">
        <f t="shared" si="151"/>
        <v>Medium</v>
      </c>
    </row>
    <row r="2410" spans="1:25" x14ac:dyDescent="0.2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 t="shared" si="148"/>
        <v>0</v>
      </c>
      <c r="W2410">
        <f t="shared" si="149"/>
        <v>1</v>
      </c>
      <c r="X2410" t="str">
        <f t="shared" si="150"/>
        <v>25-48 Months</v>
      </c>
      <c r="Y2410" s="1" t="str">
        <f t="shared" si="151"/>
        <v>Low</v>
      </c>
    </row>
    <row r="2411" spans="1:25" x14ac:dyDescent="0.2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 t="shared" si="148"/>
        <v>0</v>
      </c>
      <c r="W2411">
        <f t="shared" si="149"/>
        <v>1</v>
      </c>
      <c r="X2411" t="str">
        <f t="shared" si="150"/>
        <v>25-48 Months</v>
      </c>
      <c r="Y2411" s="1" t="str">
        <f t="shared" si="151"/>
        <v>Medium</v>
      </c>
    </row>
    <row r="2412" spans="1:25" x14ac:dyDescent="0.2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 t="shared" si="148"/>
        <v>0</v>
      </c>
      <c r="W2412">
        <f t="shared" si="149"/>
        <v>1</v>
      </c>
      <c r="X2412" t="str">
        <f t="shared" si="150"/>
        <v>25-48 Months</v>
      </c>
      <c r="Y2412" s="1" t="str">
        <f t="shared" si="151"/>
        <v>High</v>
      </c>
    </row>
    <row r="2413" spans="1:25" x14ac:dyDescent="0.2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 t="shared" si="148"/>
        <v>0</v>
      </c>
      <c r="W2413">
        <f t="shared" si="149"/>
        <v>1</v>
      </c>
      <c r="X2413" t="str">
        <f t="shared" si="150"/>
        <v>49+ Months</v>
      </c>
      <c r="Y2413" s="1" t="str">
        <f t="shared" si="151"/>
        <v>High</v>
      </c>
    </row>
    <row r="2414" spans="1:25" x14ac:dyDescent="0.2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 t="shared" si="148"/>
        <v>1</v>
      </c>
      <c r="W2414">
        <f t="shared" si="149"/>
        <v>0</v>
      </c>
      <c r="X2414" t="str">
        <f t="shared" si="150"/>
        <v>25-48 Months</v>
      </c>
      <c r="Y2414" s="1" t="str">
        <f t="shared" si="151"/>
        <v>Low</v>
      </c>
    </row>
    <row r="2415" spans="1:25" x14ac:dyDescent="0.2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 t="shared" si="148"/>
        <v>0</v>
      </c>
      <c r="W2415">
        <f t="shared" si="149"/>
        <v>1</v>
      </c>
      <c r="X2415" t="str">
        <f t="shared" si="150"/>
        <v>0-12 Months</v>
      </c>
      <c r="Y2415" s="1" t="str">
        <f t="shared" si="151"/>
        <v>Low</v>
      </c>
    </row>
    <row r="2416" spans="1:25" x14ac:dyDescent="0.2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 t="shared" si="148"/>
        <v>0</v>
      </c>
      <c r="W2416">
        <f t="shared" si="149"/>
        <v>1</v>
      </c>
      <c r="X2416" t="str">
        <f t="shared" si="150"/>
        <v>25-48 Months</v>
      </c>
      <c r="Y2416" s="1" t="str">
        <f t="shared" si="151"/>
        <v>Low</v>
      </c>
    </row>
    <row r="2417" spans="1:25" x14ac:dyDescent="0.2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 t="shared" si="148"/>
        <v>1</v>
      </c>
      <c r="W2417">
        <f t="shared" si="149"/>
        <v>0</v>
      </c>
      <c r="X2417" t="str">
        <f t="shared" si="150"/>
        <v>25-48 Months</v>
      </c>
      <c r="Y2417" s="1" t="str">
        <f t="shared" si="151"/>
        <v>High</v>
      </c>
    </row>
    <row r="2418" spans="1:25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 t="shared" si="148"/>
        <v>0</v>
      </c>
      <c r="W2418">
        <f t="shared" si="149"/>
        <v>1</v>
      </c>
      <c r="X2418" t="str">
        <f t="shared" si="150"/>
        <v>25-48 Months</v>
      </c>
      <c r="Y2418" s="1" t="str">
        <f t="shared" si="151"/>
        <v>High</v>
      </c>
    </row>
    <row r="2419" spans="1:25" x14ac:dyDescent="0.2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 t="shared" si="148"/>
        <v>0</v>
      </c>
      <c r="W2419">
        <f t="shared" si="149"/>
        <v>1</v>
      </c>
      <c r="X2419" t="str">
        <f t="shared" si="150"/>
        <v>0-12 Months</v>
      </c>
      <c r="Y2419" s="1" t="str">
        <f t="shared" si="151"/>
        <v>Low</v>
      </c>
    </row>
    <row r="2420" spans="1:25" x14ac:dyDescent="0.2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 t="shared" si="148"/>
        <v>0</v>
      </c>
      <c r="W2420">
        <f t="shared" si="149"/>
        <v>1</v>
      </c>
      <c r="X2420" t="str">
        <f t="shared" si="150"/>
        <v>25-48 Months</v>
      </c>
      <c r="Y2420" s="1" t="str">
        <f t="shared" si="151"/>
        <v>High</v>
      </c>
    </row>
    <row r="2421" spans="1:25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 t="shared" si="148"/>
        <v>0</v>
      </c>
      <c r="W2421">
        <f t="shared" si="149"/>
        <v>1</v>
      </c>
      <c r="X2421" t="str">
        <f t="shared" si="150"/>
        <v>0-12 Months</v>
      </c>
      <c r="Y2421" s="1" t="str">
        <f t="shared" si="151"/>
        <v>Medium</v>
      </c>
    </row>
    <row r="2422" spans="1:25" x14ac:dyDescent="0.2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 t="shared" si="148"/>
        <v>0</v>
      </c>
      <c r="W2422">
        <f t="shared" si="149"/>
        <v>1</v>
      </c>
      <c r="X2422" t="str">
        <f t="shared" si="150"/>
        <v>0-12 Months</v>
      </c>
      <c r="Y2422" s="1" t="str">
        <f t="shared" si="151"/>
        <v>Low</v>
      </c>
    </row>
    <row r="2423" spans="1:25" x14ac:dyDescent="0.2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 t="shared" si="148"/>
        <v>0</v>
      </c>
      <c r="W2423">
        <f t="shared" si="149"/>
        <v>1</v>
      </c>
      <c r="X2423" t="str">
        <f t="shared" si="150"/>
        <v>49+ Months</v>
      </c>
      <c r="Y2423" s="1" t="str">
        <f t="shared" si="151"/>
        <v>Low</v>
      </c>
    </row>
    <row r="2424" spans="1:25" x14ac:dyDescent="0.2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 t="shared" si="148"/>
        <v>0</v>
      </c>
      <c r="W2424">
        <f t="shared" si="149"/>
        <v>1</v>
      </c>
      <c r="X2424" t="str">
        <f t="shared" si="150"/>
        <v>0-12 Months</v>
      </c>
      <c r="Y2424" s="1" t="str">
        <f t="shared" si="151"/>
        <v>Medium</v>
      </c>
    </row>
    <row r="2425" spans="1:25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 t="shared" si="148"/>
        <v>0</v>
      </c>
      <c r="W2425">
        <f t="shared" si="149"/>
        <v>1</v>
      </c>
      <c r="X2425" t="str">
        <f t="shared" si="150"/>
        <v>13-24 Months</v>
      </c>
      <c r="Y2425" s="1" t="str">
        <f t="shared" si="151"/>
        <v>Low</v>
      </c>
    </row>
    <row r="2426" spans="1:25" x14ac:dyDescent="0.2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 t="shared" si="148"/>
        <v>1</v>
      </c>
      <c r="W2426">
        <f t="shared" si="149"/>
        <v>0</v>
      </c>
      <c r="X2426" t="str">
        <f t="shared" si="150"/>
        <v>49+ Months</v>
      </c>
      <c r="Y2426" s="1" t="str">
        <f t="shared" si="151"/>
        <v>High</v>
      </c>
    </row>
    <row r="2427" spans="1:25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 t="shared" si="148"/>
        <v>0</v>
      </c>
      <c r="W2427">
        <f t="shared" si="149"/>
        <v>1</v>
      </c>
      <c r="X2427" t="str">
        <f t="shared" si="150"/>
        <v>25-48 Months</v>
      </c>
      <c r="Y2427" s="1" t="str">
        <f t="shared" si="151"/>
        <v>Low</v>
      </c>
    </row>
    <row r="2428" spans="1:25" x14ac:dyDescent="0.2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 t="shared" si="148"/>
        <v>0</v>
      </c>
      <c r="W2428">
        <f t="shared" si="149"/>
        <v>1</v>
      </c>
      <c r="X2428" t="str">
        <f t="shared" si="150"/>
        <v>13-24 Months</v>
      </c>
      <c r="Y2428" s="1" t="str">
        <f t="shared" si="151"/>
        <v>Low</v>
      </c>
    </row>
    <row r="2429" spans="1:25" x14ac:dyDescent="0.2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 t="shared" si="148"/>
        <v>1</v>
      </c>
      <c r="W2429">
        <f t="shared" si="149"/>
        <v>0</v>
      </c>
      <c r="X2429" t="str">
        <f t="shared" si="150"/>
        <v>0-12 Months</v>
      </c>
      <c r="Y2429" s="1" t="str">
        <f t="shared" si="151"/>
        <v>Low</v>
      </c>
    </row>
    <row r="2430" spans="1:25" x14ac:dyDescent="0.2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 t="shared" si="148"/>
        <v>1</v>
      </c>
      <c r="W2430">
        <f t="shared" si="149"/>
        <v>0</v>
      </c>
      <c r="X2430" t="str">
        <f t="shared" si="150"/>
        <v>25-48 Months</v>
      </c>
      <c r="Y2430" s="1" t="str">
        <f t="shared" si="151"/>
        <v>High</v>
      </c>
    </row>
    <row r="2431" spans="1:25" x14ac:dyDescent="0.2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 t="shared" si="148"/>
        <v>0</v>
      </c>
      <c r="W2431">
        <f t="shared" si="149"/>
        <v>1</v>
      </c>
      <c r="X2431" t="str">
        <f t="shared" si="150"/>
        <v>49+ Months</v>
      </c>
      <c r="Y2431" s="1" t="str">
        <f t="shared" si="151"/>
        <v>High</v>
      </c>
    </row>
    <row r="2432" spans="1:25" x14ac:dyDescent="0.2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 t="shared" si="148"/>
        <v>0</v>
      </c>
      <c r="W2432">
        <f t="shared" si="149"/>
        <v>1</v>
      </c>
      <c r="X2432" t="str">
        <f t="shared" si="150"/>
        <v>25-48 Months</v>
      </c>
      <c r="Y2432" s="1" t="str">
        <f t="shared" si="151"/>
        <v>Medium</v>
      </c>
    </row>
    <row r="2433" spans="1:25" x14ac:dyDescent="0.2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 t="shared" si="148"/>
        <v>1</v>
      </c>
      <c r="W2433">
        <f t="shared" si="149"/>
        <v>0</v>
      </c>
      <c r="X2433" t="str">
        <f t="shared" si="150"/>
        <v>0-12 Months</v>
      </c>
      <c r="Y2433" s="1" t="str">
        <f t="shared" si="151"/>
        <v>Low</v>
      </c>
    </row>
    <row r="2434" spans="1:25" x14ac:dyDescent="0.2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 t="shared" ref="V2434:V2497" si="152">IF(U2434="Yes",1,0)</f>
        <v>0</v>
      </c>
      <c r="W2434">
        <f t="shared" ref="W2434:W2497" si="153">IF(U2434="No",1,0)</f>
        <v>1</v>
      </c>
      <c r="X2434" t="str">
        <f t="shared" ref="X2434:X2497" si="154">IF(F2434&lt;=12,"0-12 Months",IF(F2434&lt;=24,"13-24 Months",IF(F2434&lt;=48,"25-48 Months","49+ Months")))</f>
        <v>49+ Months</v>
      </c>
      <c r="Y2434" s="1" t="str">
        <f t="shared" ref="Y2434:Y2497" si="155">IF(S2434&lt;50,"Low",IF(S2434&lt;80,"Medium","High"))</f>
        <v>Low</v>
      </c>
    </row>
    <row r="2435" spans="1:25" x14ac:dyDescent="0.2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 t="shared" si="152"/>
        <v>0</v>
      </c>
      <c r="W2435">
        <f t="shared" si="153"/>
        <v>1</v>
      </c>
      <c r="X2435" t="str">
        <f t="shared" si="154"/>
        <v>0-12 Months</v>
      </c>
      <c r="Y2435" s="1" t="str">
        <f t="shared" si="155"/>
        <v>Medium</v>
      </c>
    </row>
    <row r="2436" spans="1:25" x14ac:dyDescent="0.2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 t="shared" si="152"/>
        <v>0</v>
      </c>
      <c r="W2436">
        <f t="shared" si="153"/>
        <v>1</v>
      </c>
      <c r="X2436" t="str">
        <f t="shared" si="154"/>
        <v>0-12 Months</v>
      </c>
      <c r="Y2436" s="1" t="str">
        <f t="shared" si="155"/>
        <v>Low</v>
      </c>
    </row>
    <row r="2437" spans="1:25" x14ac:dyDescent="0.2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 t="shared" si="152"/>
        <v>0</v>
      </c>
      <c r="W2437">
        <f t="shared" si="153"/>
        <v>1</v>
      </c>
      <c r="X2437" t="str">
        <f t="shared" si="154"/>
        <v>13-24 Months</v>
      </c>
      <c r="Y2437" s="1" t="str">
        <f t="shared" si="155"/>
        <v>Medium</v>
      </c>
    </row>
    <row r="2438" spans="1:25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 t="shared" si="152"/>
        <v>0</v>
      </c>
      <c r="W2438">
        <f t="shared" si="153"/>
        <v>1</v>
      </c>
      <c r="X2438" t="str">
        <f t="shared" si="154"/>
        <v>25-48 Months</v>
      </c>
      <c r="Y2438" s="1" t="str">
        <f t="shared" si="155"/>
        <v>Medium</v>
      </c>
    </row>
    <row r="2439" spans="1:25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 t="shared" si="152"/>
        <v>0</v>
      </c>
      <c r="W2439">
        <f t="shared" si="153"/>
        <v>1</v>
      </c>
      <c r="X2439" t="str">
        <f t="shared" si="154"/>
        <v>0-12 Months</v>
      </c>
      <c r="Y2439" s="1" t="str">
        <f t="shared" si="155"/>
        <v>Medium</v>
      </c>
    </row>
    <row r="2440" spans="1:25" x14ac:dyDescent="0.2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 t="shared" si="152"/>
        <v>1</v>
      </c>
      <c r="W2440">
        <f t="shared" si="153"/>
        <v>0</v>
      </c>
      <c r="X2440" t="str">
        <f t="shared" si="154"/>
        <v>0-12 Months</v>
      </c>
      <c r="Y2440" s="1" t="str">
        <f t="shared" si="155"/>
        <v>High</v>
      </c>
    </row>
    <row r="2441" spans="1:25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 t="shared" si="152"/>
        <v>0</v>
      </c>
      <c r="W2441">
        <f t="shared" si="153"/>
        <v>1</v>
      </c>
      <c r="X2441" t="str">
        <f t="shared" si="154"/>
        <v>13-24 Months</v>
      </c>
      <c r="Y2441" s="1" t="str">
        <f t="shared" si="155"/>
        <v>Low</v>
      </c>
    </row>
    <row r="2442" spans="1:25" x14ac:dyDescent="0.2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 t="shared" si="152"/>
        <v>0</v>
      </c>
      <c r="W2442">
        <f t="shared" si="153"/>
        <v>1</v>
      </c>
      <c r="X2442" t="str">
        <f t="shared" si="154"/>
        <v>25-48 Months</v>
      </c>
      <c r="Y2442" s="1" t="str">
        <f t="shared" si="155"/>
        <v>Low</v>
      </c>
    </row>
    <row r="2443" spans="1:25" x14ac:dyDescent="0.2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 t="shared" si="152"/>
        <v>0</v>
      </c>
      <c r="W2443">
        <f t="shared" si="153"/>
        <v>1</v>
      </c>
      <c r="X2443" t="str">
        <f t="shared" si="154"/>
        <v>0-12 Months</v>
      </c>
      <c r="Y2443" s="1" t="str">
        <f t="shared" si="155"/>
        <v>High</v>
      </c>
    </row>
    <row r="2444" spans="1:25" x14ac:dyDescent="0.2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 t="shared" si="152"/>
        <v>1</v>
      </c>
      <c r="W2444">
        <f t="shared" si="153"/>
        <v>0</v>
      </c>
      <c r="X2444" t="str">
        <f t="shared" si="154"/>
        <v>0-12 Months</v>
      </c>
      <c r="Y2444" s="1" t="str">
        <f t="shared" si="155"/>
        <v>High</v>
      </c>
    </row>
    <row r="2445" spans="1:25" x14ac:dyDescent="0.2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 t="shared" si="152"/>
        <v>0</v>
      </c>
      <c r="W2445">
        <f t="shared" si="153"/>
        <v>1</v>
      </c>
      <c r="X2445" t="str">
        <f t="shared" si="154"/>
        <v>49+ Months</v>
      </c>
      <c r="Y2445" s="1" t="str">
        <f t="shared" si="155"/>
        <v>High</v>
      </c>
    </row>
    <row r="2446" spans="1:25" x14ac:dyDescent="0.2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 t="shared" si="152"/>
        <v>1</v>
      </c>
      <c r="W2446">
        <f t="shared" si="153"/>
        <v>0</v>
      </c>
      <c r="X2446" t="str">
        <f t="shared" si="154"/>
        <v>25-48 Months</v>
      </c>
      <c r="Y2446" s="1" t="str">
        <f t="shared" si="155"/>
        <v>High</v>
      </c>
    </row>
    <row r="2447" spans="1:25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 t="shared" si="152"/>
        <v>0</v>
      </c>
      <c r="W2447">
        <f t="shared" si="153"/>
        <v>1</v>
      </c>
      <c r="X2447" t="str">
        <f t="shared" si="154"/>
        <v>25-48 Months</v>
      </c>
      <c r="Y2447" s="1" t="str">
        <f t="shared" si="155"/>
        <v>Medium</v>
      </c>
    </row>
    <row r="2448" spans="1:25" x14ac:dyDescent="0.2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 t="shared" si="152"/>
        <v>1</v>
      </c>
      <c r="W2448">
        <f t="shared" si="153"/>
        <v>0</v>
      </c>
      <c r="X2448" t="str">
        <f t="shared" si="154"/>
        <v>13-24 Months</v>
      </c>
      <c r="Y2448" s="1" t="str">
        <f t="shared" si="155"/>
        <v>High</v>
      </c>
    </row>
    <row r="2449" spans="1:25" x14ac:dyDescent="0.2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 t="shared" si="152"/>
        <v>0</v>
      </c>
      <c r="W2449">
        <f t="shared" si="153"/>
        <v>1</v>
      </c>
      <c r="X2449" t="str">
        <f t="shared" si="154"/>
        <v>0-12 Months</v>
      </c>
      <c r="Y2449" s="1" t="str">
        <f t="shared" si="155"/>
        <v>Medium</v>
      </c>
    </row>
    <row r="2450" spans="1:25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 t="shared" si="152"/>
        <v>1</v>
      </c>
      <c r="W2450">
        <f t="shared" si="153"/>
        <v>0</v>
      </c>
      <c r="X2450" t="str">
        <f t="shared" si="154"/>
        <v>13-24 Months</v>
      </c>
      <c r="Y2450" s="1" t="str">
        <f t="shared" si="155"/>
        <v>High</v>
      </c>
    </row>
    <row r="2451" spans="1:25" x14ac:dyDescent="0.2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 t="shared" si="152"/>
        <v>0</v>
      </c>
      <c r="W2451">
        <f t="shared" si="153"/>
        <v>1</v>
      </c>
      <c r="X2451" t="str">
        <f t="shared" si="154"/>
        <v>0-12 Months</v>
      </c>
      <c r="Y2451" s="1" t="str">
        <f t="shared" si="155"/>
        <v>Medium</v>
      </c>
    </row>
    <row r="2452" spans="1:25" x14ac:dyDescent="0.2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 t="shared" si="152"/>
        <v>0</v>
      </c>
      <c r="W2452">
        <f t="shared" si="153"/>
        <v>1</v>
      </c>
      <c r="X2452" t="str">
        <f t="shared" si="154"/>
        <v>49+ Months</v>
      </c>
      <c r="Y2452" s="1" t="str">
        <f t="shared" si="155"/>
        <v>High</v>
      </c>
    </row>
    <row r="2453" spans="1:25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 t="shared" si="152"/>
        <v>1</v>
      </c>
      <c r="W2453">
        <f t="shared" si="153"/>
        <v>0</v>
      </c>
      <c r="X2453" t="str">
        <f t="shared" si="154"/>
        <v>25-48 Months</v>
      </c>
      <c r="Y2453" s="1" t="str">
        <f t="shared" si="155"/>
        <v>High</v>
      </c>
    </row>
    <row r="2454" spans="1:25" x14ac:dyDescent="0.2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 t="shared" si="152"/>
        <v>1</v>
      </c>
      <c r="W2454">
        <f t="shared" si="153"/>
        <v>0</v>
      </c>
      <c r="X2454" t="str">
        <f t="shared" si="154"/>
        <v>13-24 Months</v>
      </c>
      <c r="Y2454" s="1" t="str">
        <f t="shared" si="155"/>
        <v>Medium</v>
      </c>
    </row>
    <row r="2455" spans="1:25" x14ac:dyDescent="0.2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 t="shared" si="152"/>
        <v>0</v>
      </c>
      <c r="W2455">
        <f t="shared" si="153"/>
        <v>1</v>
      </c>
      <c r="X2455" t="str">
        <f t="shared" si="154"/>
        <v>0-12 Months</v>
      </c>
      <c r="Y2455" s="1" t="str">
        <f t="shared" si="155"/>
        <v>Medium</v>
      </c>
    </row>
    <row r="2456" spans="1:25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 t="shared" si="152"/>
        <v>0</v>
      </c>
      <c r="W2456">
        <f t="shared" si="153"/>
        <v>1</v>
      </c>
      <c r="X2456" t="str">
        <f t="shared" si="154"/>
        <v>49+ Months</v>
      </c>
      <c r="Y2456" s="1" t="str">
        <f t="shared" si="155"/>
        <v>Low</v>
      </c>
    </row>
    <row r="2457" spans="1:25" x14ac:dyDescent="0.2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 t="shared" si="152"/>
        <v>1</v>
      </c>
      <c r="W2457">
        <f t="shared" si="153"/>
        <v>0</v>
      </c>
      <c r="X2457" t="str">
        <f t="shared" si="154"/>
        <v>0-12 Months</v>
      </c>
      <c r="Y2457" s="1" t="str">
        <f t="shared" si="155"/>
        <v>High</v>
      </c>
    </row>
    <row r="2458" spans="1:25" x14ac:dyDescent="0.2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 t="shared" si="152"/>
        <v>0</v>
      </c>
      <c r="W2458">
        <f t="shared" si="153"/>
        <v>1</v>
      </c>
      <c r="X2458" t="str">
        <f t="shared" si="154"/>
        <v>25-48 Months</v>
      </c>
      <c r="Y2458" s="1" t="str">
        <f t="shared" si="155"/>
        <v>Low</v>
      </c>
    </row>
    <row r="2459" spans="1:25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 t="shared" si="152"/>
        <v>0</v>
      </c>
      <c r="W2459">
        <f t="shared" si="153"/>
        <v>1</v>
      </c>
      <c r="X2459" t="str">
        <f t="shared" si="154"/>
        <v>49+ Months</v>
      </c>
      <c r="Y2459" s="1" t="str">
        <f t="shared" si="155"/>
        <v>High</v>
      </c>
    </row>
    <row r="2460" spans="1:25" x14ac:dyDescent="0.2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 t="shared" si="152"/>
        <v>0</v>
      </c>
      <c r="W2460">
        <f t="shared" si="153"/>
        <v>1</v>
      </c>
      <c r="X2460" t="str">
        <f t="shared" si="154"/>
        <v>49+ Months</v>
      </c>
      <c r="Y2460" s="1" t="str">
        <f t="shared" si="155"/>
        <v>High</v>
      </c>
    </row>
    <row r="2461" spans="1:25" x14ac:dyDescent="0.2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 t="shared" si="152"/>
        <v>0</v>
      </c>
      <c r="W2461">
        <f t="shared" si="153"/>
        <v>1</v>
      </c>
      <c r="X2461" t="str">
        <f t="shared" si="154"/>
        <v>0-12 Months</v>
      </c>
      <c r="Y2461" s="1" t="str">
        <f t="shared" si="155"/>
        <v>Low</v>
      </c>
    </row>
    <row r="2462" spans="1:25" x14ac:dyDescent="0.2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 t="shared" si="152"/>
        <v>0</v>
      </c>
      <c r="W2462">
        <f t="shared" si="153"/>
        <v>1</v>
      </c>
      <c r="X2462" t="str">
        <f t="shared" si="154"/>
        <v>25-48 Months</v>
      </c>
      <c r="Y2462" s="1" t="str">
        <f t="shared" si="155"/>
        <v>Low</v>
      </c>
    </row>
    <row r="2463" spans="1:25" x14ac:dyDescent="0.2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 t="shared" si="152"/>
        <v>0</v>
      </c>
      <c r="W2463">
        <f t="shared" si="153"/>
        <v>1</v>
      </c>
      <c r="X2463" t="str">
        <f t="shared" si="154"/>
        <v>49+ Months</v>
      </c>
      <c r="Y2463" s="1" t="str">
        <f t="shared" si="155"/>
        <v>Low</v>
      </c>
    </row>
    <row r="2464" spans="1:25" x14ac:dyDescent="0.2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 t="shared" si="152"/>
        <v>0</v>
      </c>
      <c r="W2464">
        <f t="shared" si="153"/>
        <v>1</v>
      </c>
      <c r="X2464" t="str">
        <f t="shared" si="154"/>
        <v>0-12 Months</v>
      </c>
      <c r="Y2464" s="1" t="str">
        <f t="shared" si="155"/>
        <v>Medium</v>
      </c>
    </row>
    <row r="2465" spans="1:25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 t="shared" si="152"/>
        <v>0</v>
      </c>
      <c r="W2465">
        <f t="shared" si="153"/>
        <v>1</v>
      </c>
      <c r="X2465" t="str">
        <f t="shared" si="154"/>
        <v>0-12 Months</v>
      </c>
      <c r="Y2465" s="1" t="str">
        <f t="shared" si="155"/>
        <v>High</v>
      </c>
    </row>
    <row r="2466" spans="1:25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 t="shared" si="152"/>
        <v>1</v>
      </c>
      <c r="W2466">
        <f t="shared" si="153"/>
        <v>0</v>
      </c>
      <c r="X2466" t="str">
        <f t="shared" si="154"/>
        <v>0-12 Months</v>
      </c>
      <c r="Y2466" s="1" t="str">
        <f t="shared" si="155"/>
        <v>Medium</v>
      </c>
    </row>
    <row r="2467" spans="1:25" x14ac:dyDescent="0.2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 t="shared" si="152"/>
        <v>1</v>
      </c>
      <c r="W2467">
        <f t="shared" si="153"/>
        <v>0</v>
      </c>
      <c r="X2467" t="str">
        <f t="shared" si="154"/>
        <v>0-12 Months</v>
      </c>
      <c r="Y2467" s="1" t="str">
        <f t="shared" si="155"/>
        <v>Low</v>
      </c>
    </row>
    <row r="2468" spans="1:25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 t="shared" si="152"/>
        <v>0</v>
      </c>
      <c r="W2468">
        <f t="shared" si="153"/>
        <v>1</v>
      </c>
      <c r="X2468" t="str">
        <f t="shared" si="154"/>
        <v>49+ Months</v>
      </c>
      <c r="Y2468" s="1" t="str">
        <f t="shared" si="155"/>
        <v>Low</v>
      </c>
    </row>
    <row r="2469" spans="1:25" x14ac:dyDescent="0.2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 t="shared" si="152"/>
        <v>0</v>
      </c>
      <c r="W2469">
        <f t="shared" si="153"/>
        <v>1</v>
      </c>
      <c r="X2469" t="str">
        <f t="shared" si="154"/>
        <v>49+ Months</v>
      </c>
      <c r="Y2469" s="1" t="str">
        <f t="shared" si="155"/>
        <v>High</v>
      </c>
    </row>
    <row r="2470" spans="1:25" x14ac:dyDescent="0.2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 t="shared" si="152"/>
        <v>1</v>
      </c>
      <c r="W2470">
        <f t="shared" si="153"/>
        <v>0</v>
      </c>
      <c r="X2470" t="str">
        <f t="shared" si="154"/>
        <v>0-12 Months</v>
      </c>
      <c r="Y2470" s="1" t="str">
        <f t="shared" si="155"/>
        <v>Low</v>
      </c>
    </row>
    <row r="2471" spans="1:25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 t="shared" si="152"/>
        <v>0</v>
      </c>
      <c r="W2471">
        <f t="shared" si="153"/>
        <v>1</v>
      </c>
      <c r="X2471" t="str">
        <f t="shared" si="154"/>
        <v>25-48 Months</v>
      </c>
      <c r="Y2471" s="1" t="str">
        <f t="shared" si="155"/>
        <v>Low</v>
      </c>
    </row>
    <row r="2472" spans="1:25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 t="shared" si="152"/>
        <v>0</v>
      </c>
      <c r="W2472">
        <f t="shared" si="153"/>
        <v>1</v>
      </c>
      <c r="X2472" t="str">
        <f t="shared" si="154"/>
        <v>49+ Months</v>
      </c>
      <c r="Y2472" s="1" t="str">
        <f t="shared" si="155"/>
        <v>Low</v>
      </c>
    </row>
    <row r="2473" spans="1:25" x14ac:dyDescent="0.2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 t="shared" si="152"/>
        <v>1</v>
      </c>
      <c r="W2473">
        <f t="shared" si="153"/>
        <v>0</v>
      </c>
      <c r="X2473" t="str">
        <f t="shared" si="154"/>
        <v>49+ Months</v>
      </c>
      <c r="Y2473" s="1" t="str">
        <f t="shared" si="155"/>
        <v>High</v>
      </c>
    </row>
    <row r="2474" spans="1:25" x14ac:dyDescent="0.2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 t="shared" si="152"/>
        <v>0</v>
      </c>
      <c r="W2474">
        <f t="shared" si="153"/>
        <v>1</v>
      </c>
      <c r="X2474" t="str">
        <f t="shared" si="154"/>
        <v>49+ Months</v>
      </c>
      <c r="Y2474" s="1" t="str">
        <f t="shared" si="155"/>
        <v>Medium</v>
      </c>
    </row>
    <row r="2475" spans="1:25" x14ac:dyDescent="0.2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 t="shared" si="152"/>
        <v>0</v>
      </c>
      <c r="W2475">
        <f t="shared" si="153"/>
        <v>1</v>
      </c>
      <c r="X2475" t="str">
        <f t="shared" si="154"/>
        <v>0-12 Months</v>
      </c>
      <c r="Y2475" s="1" t="str">
        <f t="shared" si="155"/>
        <v>Low</v>
      </c>
    </row>
    <row r="2476" spans="1:25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 t="shared" si="152"/>
        <v>0</v>
      </c>
      <c r="W2476">
        <f t="shared" si="153"/>
        <v>1</v>
      </c>
      <c r="X2476" t="str">
        <f t="shared" si="154"/>
        <v>25-48 Months</v>
      </c>
      <c r="Y2476" s="1" t="str">
        <f t="shared" si="155"/>
        <v>High</v>
      </c>
    </row>
    <row r="2477" spans="1:25" x14ac:dyDescent="0.2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 t="shared" si="152"/>
        <v>0</v>
      </c>
      <c r="W2477">
        <f t="shared" si="153"/>
        <v>1</v>
      </c>
      <c r="X2477" t="str">
        <f t="shared" si="154"/>
        <v>49+ Months</v>
      </c>
      <c r="Y2477" s="1" t="str">
        <f t="shared" si="155"/>
        <v>High</v>
      </c>
    </row>
    <row r="2478" spans="1:25" x14ac:dyDescent="0.2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 t="shared" si="152"/>
        <v>0</v>
      </c>
      <c r="W2478">
        <f t="shared" si="153"/>
        <v>1</v>
      </c>
      <c r="X2478" t="str">
        <f t="shared" si="154"/>
        <v>49+ Months</v>
      </c>
      <c r="Y2478" s="1" t="str">
        <f t="shared" si="155"/>
        <v>High</v>
      </c>
    </row>
    <row r="2479" spans="1:25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 t="shared" si="152"/>
        <v>0</v>
      </c>
      <c r="W2479">
        <f t="shared" si="153"/>
        <v>1</v>
      </c>
      <c r="X2479" t="str">
        <f t="shared" si="154"/>
        <v>0-12 Months</v>
      </c>
      <c r="Y2479" s="1" t="str">
        <f t="shared" si="155"/>
        <v>High</v>
      </c>
    </row>
    <row r="2480" spans="1:25" x14ac:dyDescent="0.2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 t="shared" si="152"/>
        <v>0</v>
      </c>
      <c r="W2480">
        <f t="shared" si="153"/>
        <v>1</v>
      </c>
      <c r="X2480" t="str">
        <f t="shared" si="154"/>
        <v>0-12 Months</v>
      </c>
      <c r="Y2480" s="1" t="str">
        <f t="shared" si="155"/>
        <v>Low</v>
      </c>
    </row>
    <row r="2481" spans="1:25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 t="shared" si="152"/>
        <v>0</v>
      </c>
      <c r="W2481">
        <f t="shared" si="153"/>
        <v>1</v>
      </c>
      <c r="X2481" t="str">
        <f t="shared" si="154"/>
        <v>49+ Months</v>
      </c>
      <c r="Y2481" s="1" t="str">
        <f t="shared" si="155"/>
        <v>Medium</v>
      </c>
    </row>
    <row r="2482" spans="1:25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 t="shared" si="152"/>
        <v>1</v>
      </c>
      <c r="W2482">
        <f t="shared" si="153"/>
        <v>0</v>
      </c>
      <c r="X2482" t="str">
        <f t="shared" si="154"/>
        <v>49+ Months</v>
      </c>
      <c r="Y2482" s="1" t="str">
        <f t="shared" si="155"/>
        <v>High</v>
      </c>
    </row>
    <row r="2483" spans="1:25" x14ac:dyDescent="0.2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 t="shared" si="152"/>
        <v>0</v>
      </c>
      <c r="W2483">
        <f t="shared" si="153"/>
        <v>1</v>
      </c>
      <c r="X2483" t="str">
        <f t="shared" si="154"/>
        <v>49+ Months</v>
      </c>
      <c r="Y2483" s="1" t="str">
        <f t="shared" si="155"/>
        <v>Low</v>
      </c>
    </row>
    <row r="2484" spans="1:25" x14ac:dyDescent="0.2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 t="shared" si="152"/>
        <v>0</v>
      </c>
      <c r="W2484">
        <f t="shared" si="153"/>
        <v>1</v>
      </c>
      <c r="X2484" t="str">
        <f t="shared" si="154"/>
        <v>0-12 Months</v>
      </c>
      <c r="Y2484" s="1" t="str">
        <f t="shared" si="155"/>
        <v>Low</v>
      </c>
    </row>
    <row r="2485" spans="1:25" x14ac:dyDescent="0.2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 t="shared" si="152"/>
        <v>1</v>
      </c>
      <c r="W2485">
        <f t="shared" si="153"/>
        <v>0</v>
      </c>
      <c r="X2485" t="str">
        <f t="shared" si="154"/>
        <v>25-48 Months</v>
      </c>
      <c r="Y2485" s="1" t="str">
        <f t="shared" si="155"/>
        <v>High</v>
      </c>
    </row>
    <row r="2486" spans="1:25" x14ac:dyDescent="0.2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 t="shared" si="152"/>
        <v>0</v>
      </c>
      <c r="W2486">
        <f t="shared" si="153"/>
        <v>1</v>
      </c>
      <c r="X2486" t="str">
        <f t="shared" si="154"/>
        <v>0-12 Months</v>
      </c>
      <c r="Y2486" s="1" t="str">
        <f t="shared" si="155"/>
        <v>Low</v>
      </c>
    </row>
    <row r="2487" spans="1:25" x14ac:dyDescent="0.2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 t="shared" si="152"/>
        <v>1</v>
      </c>
      <c r="W2487">
        <f t="shared" si="153"/>
        <v>0</v>
      </c>
      <c r="X2487" t="str">
        <f t="shared" si="154"/>
        <v>13-24 Months</v>
      </c>
      <c r="Y2487" s="1" t="str">
        <f t="shared" si="155"/>
        <v>High</v>
      </c>
    </row>
    <row r="2488" spans="1:25" x14ac:dyDescent="0.2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 t="shared" si="152"/>
        <v>0</v>
      </c>
      <c r="W2488">
        <f t="shared" si="153"/>
        <v>1</v>
      </c>
      <c r="X2488" t="str">
        <f t="shared" si="154"/>
        <v>25-48 Months</v>
      </c>
      <c r="Y2488" s="1" t="str">
        <f t="shared" si="155"/>
        <v>High</v>
      </c>
    </row>
    <row r="2489" spans="1:25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 t="shared" si="152"/>
        <v>0</v>
      </c>
      <c r="W2489">
        <f t="shared" si="153"/>
        <v>1</v>
      </c>
      <c r="X2489" t="str">
        <f t="shared" si="154"/>
        <v>13-24 Months</v>
      </c>
      <c r="Y2489" s="1" t="str">
        <f t="shared" si="155"/>
        <v>Medium</v>
      </c>
    </row>
    <row r="2490" spans="1:25" x14ac:dyDescent="0.2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 t="shared" si="152"/>
        <v>1</v>
      </c>
      <c r="W2490">
        <f t="shared" si="153"/>
        <v>0</v>
      </c>
      <c r="X2490" t="str">
        <f t="shared" si="154"/>
        <v>25-48 Months</v>
      </c>
      <c r="Y2490" s="1" t="str">
        <f t="shared" si="155"/>
        <v>Medium</v>
      </c>
    </row>
    <row r="2491" spans="1:25" x14ac:dyDescent="0.2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 t="shared" si="152"/>
        <v>0</v>
      </c>
      <c r="W2491">
        <f t="shared" si="153"/>
        <v>1</v>
      </c>
      <c r="X2491" t="str">
        <f t="shared" si="154"/>
        <v>49+ Months</v>
      </c>
      <c r="Y2491" s="1" t="str">
        <f t="shared" si="155"/>
        <v>Medium</v>
      </c>
    </row>
    <row r="2492" spans="1:25" x14ac:dyDescent="0.2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 t="shared" si="152"/>
        <v>0</v>
      </c>
      <c r="W2492">
        <f t="shared" si="153"/>
        <v>1</v>
      </c>
      <c r="X2492" t="str">
        <f t="shared" si="154"/>
        <v>25-48 Months</v>
      </c>
      <c r="Y2492" s="1" t="str">
        <f t="shared" si="155"/>
        <v>High</v>
      </c>
    </row>
    <row r="2493" spans="1:25" x14ac:dyDescent="0.2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 t="shared" si="152"/>
        <v>0</v>
      </c>
      <c r="W2493">
        <f t="shared" si="153"/>
        <v>1</v>
      </c>
      <c r="X2493" t="str">
        <f t="shared" si="154"/>
        <v>25-48 Months</v>
      </c>
      <c r="Y2493" s="1" t="str">
        <f t="shared" si="155"/>
        <v>Low</v>
      </c>
    </row>
    <row r="2494" spans="1:25" x14ac:dyDescent="0.2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 t="shared" si="152"/>
        <v>1</v>
      </c>
      <c r="W2494">
        <f t="shared" si="153"/>
        <v>0</v>
      </c>
      <c r="X2494" t="str">
        <f t="shared" si="154"/>
        <v>13-24 Months</v>
      </c>
      <c r="Y2494" s="1" t="str">
        <f t="shared" si="155"/>
        <v>Medium</v>
      </c>
    </row>
    <row r="2495" spans="1:25" x14ac:dyDescent="0.2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 t="shared" si="152"/>
        <v>0</v>
      </c>
      <c r="W2495">
        <f t="shared" si="153"/>
        <v>1</v>
      </c>
      <c r="X2495" t="str">
        <f t="shared" si="154"/>
        <v>0-12 Months</v>
      </c>
      <c r="Y2495" s="1" t="str">
        <f t="shared" si="155"/>
        <v>High</v>
      </c>
    </row>
    <row r="2496" spans="1:25" x14ac:dyDescent="0.2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 t="shared" si="152"/>
        <v>1</v>
      </c>
      <c r="W2496">
        <f t="shared" si="153"/>
        <v>0</v>
      </c>
      <c r="X2496" t="str">
        <f t="shared" si="154"/>
        <v>25-48 Months</v>
      </c>
      <c r="Y2496" s="1" t="str">
        <f t="shared" si="155"/>
        <v>Medium</v>
      </c>
    </row>
    <row r="2497" spans="1:25" x14ac:dyDescent="0.2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 t="shared" si="152"/>
        <v>0</v>
      </c>
      <c r="W2497">
        <f t="shared" si="153"/>
        <v>1</v>
      </c>
      <c r="X2497" t="str">
        <f t="shared" si="154"/>
        <v>25-48 Months</v>
      </c>
      <c r="Y2497" s="1" t="str">
        <f t="shared" si="155"/>
        <v>Low</v>
      </c>
    </row>
    <row r="2498" spans="1:25" x14ac:dyDescent="0.2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 t="shared" ref="V2498:V2561" si="156">IF(U2498="Yes",1,0)</f>
        <v>0</v>
      </c>
      <c r="W2498">
        <f t="shared" ref="W2498:W2561" si="157">IF(U2498="No",1,0)</f>
        <v>1</v>
      </c>
      <c r="X2498" t="str">
        <f t="shared" ref="X2498:X2561" si="158">IF(F2498&lt;=12,"0-12 Months",IF(F2498&lt;=24,"13-24 Months",IF(F2498&lt;=48,"25-48 Months","49+ Months")))</f>
        <v>13-24 Months</v>
      </c>
      <c r="Y2498" s="1" t="str">
        <f t="shared" ref="Y2498:Y2561" si="159">IF(S2498&lt;50,"Low",IF(S2498&lt;80,"Medium","High"))</f>
        <v>Low</v>
      </c>
    </row>
    <row r="2499" spans="1:25" x14ac:dyDescent="0.2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 t="shared" si="156"/>
        <v>0</v>
      </c>
      <c r="W2499">
        <f t="shared" si="157"/>
        <v>1</v>
      </c>
      <c r="X2499" t="str">
        <f t="shared" si="158"/>
        <v>0-12 Months</v>
      </c>
      <c r="Y2499" s="1" t="str">
        <f t="shared" si="159"/>
        <v>Low</v>
      </c>
    </row>
    <row r="2500" spans="1:25" x14ac:dyDescent="0.2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 t="shared" si="156"/>
        <v>0</v>
      </c>
      <c r="W2500">
        <f t="shared" si="157"/>
        <v>1</v>
      </c>
      <c r="X2500" t="str">
        <f t="shared" si="158"/>
        <v>25-48 Months</v>
      </c>
      <c r="Y2500" s="1" t="str">
        <f t="shared" si="159"/>
        <v>Medium</v>
      </c>
    </row>
    <row r="2501" spans="1:25" x14ac:dyDescent="0.2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 t="shared" si="156"/>
        <v>0</v>
      </c>
      <c r="W2501">
        <f t="shared" si="157"/>
        <v>1</v>
      </c>
      <c r="X2501" t="str">
        <f t="shared" si="158"/>
        <v>25-48 Months</v>
      </c>
      <c r="Y2501" s="1" t="str">
        <f t="shared" si="159"/>
        <v>Medium</v>
      </c>
    </row>
    <row r="2502" spans="1:25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 t="shared" si="156"/>
        <v>0</v>
      </c>
      <c r="W2502">
        <f t="shared" si="157"/>
        <v>1</v>
      </c>
      <c r="X2502" t="str">
        <f t="shared" si="158"/>
        <v>49+ Months</v>
      </c>
      <c r="Y2502" s="1" t="str">
        <f t="shared" si="159"/>
        <v>Medium</v>
      </c>
    </row>
    <row r="2503" spans="1:25" x14ac:dyDescent="0.2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 t="shared" si="156"/>
        <v>0</v>
      </c>
      <c r="W2503">
        <f t="shared" si="157"/>
        <v>1</v>
      </c>
      <c r="X2503" t="str">
        <f t="shared" si="158"/>
        <v>49+ Months</v>
      </c>
      <c r="Y2503" s="1" t="str">
        <f t="shared" si="159"/>
        <v>Low</v>
      </c>
    </row>
    <row r="2504" spans="1:25" x14ac:dyDescent="0.2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 t="shared" si="156"/>
        <v>0</v>
      </c>
      <c r="W2504">
        <f t="shared" si="157"/>
        <v>1</v>
      </c>
      <c r="X2504" t="str">
        <f t="shared" si="158"/>
        <v>49+ Months</v>
      </c>
      <c r="Y2504" s="1" t="str">
        <f t="shared" si="159"/>
        <v>Low</v>
      </c>
    </row>
    <row r="2505" spans="1:25" x14ac:dyDescent="0.2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 t="shared" si="156"/>
        <v>0</v>
      </c>
      <c r="W2505">
        <f t="shared" si="157"/>
        <v>1</v>
      </c>
      <c r="X2505" t="str">
        <f t="shared" si="158"/>
        <v>25-48 Months</v>
      </c>
      <c r="Y2505" s="1" t="str">
        <f t="shared" si="159"/>
        <v>Low</v>
      </c>
    </row>
    <row r="2506" spans="1:25" x14ac:dyDescent="0.2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 t="shared" si="156"/>
        <v>1</v>
      </c>
      <c r="W2506">
        <f t="shared" si="157"/>
        <v>0</v>
      </c>
      <c r="X2506" t="str">
        <f t="shared" si="158"/>
        <v>0-12 Months</v>
      </c>
      <c r="Y2506" s="1" t="str">
        <f t="shared" si="159"/>
        <v>Medium</v>
      </c>
    </row>
    <row r="2507" spans="1:25" x14ac:dyDescent="0.2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 t="shared" si="156"/>
        <v>0</v>
      </c>
      <c r="W2507">
        <f t="shared" si="157"/>
        <v>1</v>
      </c>
      <c r="X2507" t="str">
        <f t="shared" si="158"/>
        <v>25-48 Months</v>
      </c>
      <c r="Y2507" s="1" t="str">
        <f t="shared" si="159"/>
        <v>Low</v>
      </c>
    </row>
    <row r="2508" spans="1:25" x14ac:dyDescent="0.2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 t="shared" si="156"/>
        <v>0</v>
      </c>
      <c r="W2508">
        <f t="shared" si="157"/>
        <v>1</v>
      </c>
      <c r="X2508" t="str">
        <f t="shared" si="158"/>
        <v>49+ Months</v>
      </c>
      <c r="Y2508" s="1" t="str">
        <f t="shared" si="159"/>
        <v>Low</v>
      </c>
    </row>
    <row r="2509" spans="1:25" x14ac:dyDescent="0.2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 t="shared" si="156"/>
        <v>0</v>
      </c>
      <c r="W2509">
        <f t="shared" si="157"/>
        <v>1</v>
      </c>
      <c r="X2509" t="str">
        <f t="shared" si="158"/>
        <v>49+ Months</v>
      </c>
      <c r="Y2509" s="1" t="str">
        <f t="shared" si="159"/>
        <v>Low</v>
      </c>
    </row>
    <row r="2510" spans="1:25" x14ac:dyDescent="0.2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 t="shared" si="156"/>
        <v>0</v>
      </c>
      <c r="W2510">
        <f t="shared" si="157"/>
        <v>1</v>
      </c>
      <c r="X2510" t="str">
        <f t="shared" si="158"/>
        <v>49+ Months</v>
      </c>
      <c r="Y2510" s="1" t="str">
        <f t="shared" si="159"/>
        <v>High</v>
      </c>
    </row>
    <row r="2511" spans="1:25" x14ac:dyDescent="0.2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 t="shared" si="156"/>
        <v>0</v>
      </c>
      <c r="W2511">
        <f t="shared" si="157"/>
        <v>1</v>
      </c>
      <c r="X2511" t="str">
        <f t="shared" si="158"/>
        <v>49+ Months</v>
      </c>
      <c r="Y2511" s="1" t="str">
        <f t="shared" si="159"/>
        <v>Low</v>
      </c>
    </row>
    <row r="2512" spans="1:25" x14ac:dyDescent="0.2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 t="shared" si="156"/>
        <v>1</v>
      </c>
      <c r="W2512">
        <f t="shared" si="157"/>
        <v>0</v>
      </c>
      <c r="X2512" t="str">
        <f t="shared" si="158"/>
        <v>0-12 Months</v>
      </c>
      <c r="Y2512" s="1" t="str">
        <f t="shared" si="159"/>
        <v>Medium</v>
      </c>
    </row>
    <row r="2513" spans="1:25" x14ac:dyDescent="0.2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 t="shared" si="156"/>
        <v>0</v>
      </c>
      <c r="W2513">
        <f t="shared" si="157"/>
        <v>1</v>
      </c>
      <c r="X2513" t="str">
        <f t="shared" si="158"/>
        <v>25-48 Months</v>
      </c>
      <c r="Y2513" s="1" t="str">
        <f t="shared" si="159"/>
        <v>High</v>
      </c>
    </row>
    <row r="2514" spans="1:25" x14ac:dyDescent="0.2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 t="shared" si="156"/>
        <v>0</v>
      </c>
      <c r="W2514">
        <f t="shared" si="157"/>
        <v>1</v>
      </c>
      <c r="X2514" t="str">
        <f t="shared" si="158"/>
        <v>13-24 Months</v>
      </c>
      <c r="Y2514" s="1" t="str">
        <f t="shared" si="159"/>
        <v>Medium</v>
      </c>
    </row>
    <row r="2515" spans="1:25" x14ac:dyDescent="0.2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 t="shared" si="156"/>
        <v>0</v>
      </c>
      <c r="W2515">
        <f t="shared" si="157"/>
        <v>1</v>
      </c>
      <c r="X2515" t="str">
        <f t="shared" si="158"/>
        <v>49+ Months</v>
      </c>
      <c r="Y2515" s="1" t="str">
        <f t="shared" si="159"/>
        <v>Low</v>
      </c>
    </row>
    <row r="2516" spans="1:25" x14ac:dyDescent="0.2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 t="shared" si="156"/>
        <v>1</v>
      </c>
      <c r="W2516">
        <f t="shared" si="157"/>
        <v>0</v>
      </c>
      <c r="X2516" t="str">
        <f t="shared" si="158"/>
        <v>25-48 Months</v>
      </c>
      <c r="Y2516" s="1" t="str">
        <f t="shared" si="159"/>
        <v>High</v>
      </c>
    </row>
    <row r="2517" spans="1:25" x14ac:dyDescent="0.2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 t="shared" si="156"/>
        <v>0</v>
      </c>
      <c r="W2517">
        <f t="shared" si="157"/>
        <v>1</v>
      </c>
      <c r="X2517" t="str">
        <f t="shared" si="158"/>
        <v>49+ Months</v>
      </c>
      <c r="Y2517" s="1" t="str">
        <f t="shared" si="159"/>
        <v>High</v>
      </c>
    </row>
    <row r="2518" spans="1:25" x14ac:dyDescent="0.2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 t="shared" si="156"/>
        <v>1</v>
      </c>
      <c r="W2518">
        <f t="shared" si="157"/>
        <v>0</v>
      </c>
      <c r="X2518" t="str">
        <f t="shared" si="158"/>
        <v>13-24 Months</v>
      </c>
      <c r="Y2518" s="1" t="str">
        <f t="shared" si="159"/>
        <v>High</v>
      </c>
    </row>
    <row r="2519" spans="1:25" x14ac:dyDescent="0.2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 t="shared" si="156"/>
        <v>1</v>
      </c>
      <c r="W2519">
        <f t="shared" si="157"/>
        <v>0</v>
      </c>
      <c r="X2519" t="str">
        <f t="shared" si="158"/>
        <v>0-12 Months</v>
      </c>
      <c r="Y2519" s="1" t="str">
        <f t="shared" si="159"/>
        <v>Medium</v>
      </c>
    </row>
    <row r="2520" spans="1:25" x14ac:dyDescent="0.2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 t="shared" si="156"/>
        <v>0</v>
      </c>
      <c r="W2520">
        <f t="shared" si="157"/>
        <v>1</v>
      </c>
      <c r="X2520" t="str">
        <f t="shared" si="158"/>
        <v>13-24 Months</v>
      </c>
      <c r="Y2520" s="1" t="str">
        <f t="shared" si="159"/>
        <v>High</v>
      </c>
    </row>
    <row r="2521" spans="1:25" x14ac:dyDescent="0.2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 t="shared" si="156"/>
        <v>0</v>
      </c>
      <c r="W2521">
        <f t="shared" si="157"/>
        <v>1</v>
      </c>
      <c r="X2521" t="str">
        <f t="shared" si="158"/>
        <v>0-12 Months</v>
      </c>
      <c r="Y2521" s="1" t="str">
        <f t="shared" si="159"/>
        <v>High</v>
      </c>
    </row>
    <row r="2522" spans="1:25" x14ac:dyDescent="0.2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 t="shared" si="156"/>
        <v>0</v>
      </c>
      <c r="W2522">
        <f t="shared" si="157"/>
        <v>1</v>
      </c>
      <c r="X2522" t="str">
        <f t="shared" si="158"/>
        <v>25-48 Months</v>
      </c>
      <c r="Y2522" s="1" t="str">
        <f t="shared" si="159"/>
        <v>High</v>
      </c>
    </row>
    <row r="2523" spans="1:25" x14ac:dyDescent="0.2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 t="shared" si="156"/>
        <v>1</v>
      </c>
      <c r="W2523">
        <f t="shared" si="157"/>
        <v>0</v>
      </c>
      <c r="X2523" t="str">
        <f t="shared" si="158"/>
        <v>25-48 Months</v>
      </c>
      <c r="Y2523" s="1" t="str">
        <f t="shared" si="159"/>
        <v>High</v>
      </c>
    </row>
    <row r="2524" spans="1:25" x14ac:dyDescent="0.2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 t="shared" si="156"/>
        <v>0</v>
      </c>
      <c r="W2524">
        <f t="shared" si="157"/>
        <v>1</v>
      </c>
      <c r="X2524" t="str">
        <f t="shared" si="158"/>
        <v>49+ Months</v>
      </c>
      <c r="Y2524" s="1" t="str">
        <f t="shared" si="159"/>
        <v>Medium</v>
      </c>
    </row>
    <row r="2525" spans="1:25" x14ac:dyDescent="0.2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 t="shared" si="156"/>
        <v>0</v>
      </c>
      <c r="W2525">
        <f t="shared" si="157"/>
        <v>1</v>
      </c>
      <c r="X2525" t="str">
        <f t="shared" si="158"/>
        <v>25-48 Months</v>
      </c>
      <c r="Y2525" s="1" t="str">
        <f t="shared" si="159"/>
        <v>Low</v>
      </c>
    </row>
    <row r="2526" spans="1:25" x14ac:dyDescent="0.2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 t="shared" si="156"/>
        <v>0</v>
      </c>
      <c r="W2526">
        <f t="shared" si="157"/>
        <v>1</v>
      </c>
      <c r="X2526" t="str">
        <f t="shared" si="158"/>
        <v>49+ Months</v>
      </c>
      <c r="Y2526" s="1" t="str">
        <f t="shared" si="159"/>
        <v>Low</v>
      </c>
    </row>
    <row r="2527" spans="1:25" x14ac:dyDescent="0.2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 t="shared" si="156"/>
        <v>0</v>
      </c>
      <c r="W2527">
        <f t="shared" si="157"/>
        <v>1</v>
      </c>
      <c r="X2527" t="str">
        <f t="shared" si="158"/>
        <v>49+ Months</v>
      </c>
      <c r="Y2527" s="1" t="str">
        <f t="shared" si="159"/>
        <v>High</v>
      </c>
    </row>
    <row r="2528" spans="1:25" x14ac:dyDescent="0.2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 t="shared" si="156"/>
        <v>1</v>
      </c>
      <c r="W2528">
        <f t="shared" si="157"/>
        <v>0</v>
      </c>
      <c r="X2528" t="str">
        <f t="shared" si="158"/>
        <v>0-12 Months</v>
      </c>
      <c r="Y2528" s="1" t="str">
        <f t="shared" si="159"/>
        <v>Low</v>
      </c>
    </row>
    <row r="2529" spans="1:25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 t="shared" si="156"/>
        <v>1</v>
      </c>
      <c r="W2529">
        <f t="shared" si="157"/>
        <v>0</v>
      </c>
      <c r="X2529" t="str">
        <f t="shared" si="158"/>
        <v>0-12 Months</v>
      </c>
      <c r="Y2529" s="1" t="str">
        <f t="shared" si="159"/>
        <v>High</v>
      </c>
    </row>
    <row r="2530" spans="1:25" x14ac:dyDescent="0.2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 t="shared" si="156"/>
        <v>1</v>
      </c>
      <c r="W2530">
        <f t="shared" si="157"/>
        <v>0</v>
      </c>
      <c r="X2530" t="str">
        <f t="shared" si="158"/>
        <v>0-12 Months</v>
      </c>
      <c r="Y2530" s="1" t="str">
        <f t="shared" si="159"/>
        <v>High</v>
      </c>
    </row>
    <row r="2531" spans="1:25" x14ac:dyDescent="0.2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 t="shared" si="156"/>
        <v>1</v>
      </c>
      <c r="W2531">
        <f t="shared" si="157"/>
        <v>0</v>
      </c>
      <c r="X2531" t="str">
        <f t="shared" si="158"/>
        <v>25-48 Months</v>
      </c>
      <c r="Y2531" s="1" t="str">
        <f t="shared" si="159"/>
        <v>Medium</v>
      </c>
    </row>
    <row r="2532" spans="1:25" x14ac:dyDescent="0.2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 t="shared" si="156"/>
        <v>0</v>
      </c>
      <c r="W2532">
        <f t="shared" si="157"/>
        <v>1</v>
      </c>
      <c r="X2532" t="str">
        <f t="shared" si="158"/>
        <v>0-12 Months</v>
      </c>
      <c r="Y2532" s="1" t="str">
        <f t="shared" si="159"/>
        <v>High</v>
      </c>
    </row>
    <row r="2533" spans="1:25" x14ac:dyDescent="0.2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 t="shared" si="156"/>
        <v>0</v>
      </c>
      <c r="W2533">
        <f t="shared" si="157"/>
        <v>1</v>
      </c>
      <c r="X2533" t="str">
        <f t="shared" si="158"/>
        <v>49+ Months</v>
      </c>
      <c r="Y2533" s="1" t="str">
        <f t="shared" si="159"/>
        <v>Low</v>
      </c>
    </row>
    <row r="2534" spans="1:25" x14ac:dyDescent="0.2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 t="shared" si="156"/>
        <v>0</v>
      </c>
      <c r="W2534">
        <f t="shared" si="157"/>
        <v>1</v>
      </c>
      <c r="X2534" t="str">
        <f t="shared" si="158"/>
        <v>25-48 Months</v>
      </c>
      <c r="Y2534" s="1" t="str">
        <f t="shared" si="159"/>
        <v>High</v>
      </c>
    </row>
    <row r="2535" spans="1:25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 t="shared" si="156"/>
        <v>0</v>
      </c>
      <c r="W2535">
        <f t="shared" si="157"/>
        <v>1</v>
      </c>
      <c r="X2535" t="str">
        <f t="shared" si="158"/>
        <v>49+ Months</v>
      </c>
      <c r="Y2535" s="1" t="str">
        <f t="shared" si="159"/>
        <v>Medium</v>
      </c>
    </row>
    <row r="2536" spans="1:25" x14ac:dyDescent="0.2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 t="shared" si="156"/>
        <v>0</v>
      </c>
      <c r="W2536">
        <f t="shared" si="157"/>
        <v>1</v>
      </c>
      <c r="X2536" t="str">
        <f t="shared" si="158"/>
        <v>49+ Months</v>
      </c>
      <c r="Y2536" s="1" t="str">
        <f t="shared" si="159"/>
        <v>High</v>
      </c>
    </row>
    <row r="2537" spans="1:25" x14ac:dyDescent="0.2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 t="shared" si="156"/>
        <v>0</v>
      </c>
      <c r="W2537">
        <f t="shared" si="157"/>
        <v>1</v>
      </c>
      <c r="X2537" t="str">
        <f t="shared" si="158"/>
        <v>49+ Months</v>
      </c>
      <c r="Y2537" s="1" t="str">
        <f t="shared" si="159"/>
        <v>High</v>
      </c>
    </row>
    <row r="2538" spans="1:25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 t="shared" si="156"/>
        <v>1</v>
      </c>
      <c r="W2538">
        <f t="shared" si="157"/>
        <v>0</v>
      </c>
      <c r="X2538" t="str">
        <f t="shared" si="158"/>
        <v>25-48 Months</v>
      </c>
      <c r="Y2538" s="1" t="str">
        <f t="shared" si="159"/>
        <v>Low</v>
      </c>
    </row>
    <row r="2539" spans="1:25" x14ac:dyDescent="0.2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 t="shared" si="156"/>
        <v>0</v>
      </c>
      <c r="W2539">
        <f t="shared" si="157"/>
        <v>1</v>
      </c>
      <c r="X2539" t="str">
        <f t="shared" si="158"/>
        <v>49+ Months</v>
      </c>
      <c r="Y2539" s="1" t="str">
        <f t="shared" si="159"/>
        <v>High</v>
      </c>
    </row>
    <row r="2540" spans="1:25" x14ac:dyDescent="0.2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 t="shared" si="156"/>
        <v>0</v>
      </c>
      <c r="W2540">
        <f t="shared" si="157"/>
        <v>1</v>
      </c>
      <c r="X2540" t="str">
        <f t="shared" si="158"/>
        <v>25-48 Months</v>
      </c>
      <c r="Y2540" s="1" t="str">
        <f t="shared" si="159"/>
        <v>Low</v>
      </c>
    </row>
    <row r="2541" spans="1:25" x14ac:dyDescent="0.2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 t="shared" si="156"/>
        <v>0</v>
      </c>
      <c r="W2541">
        <f t="shared" si="157"/>
        <v>1</v>
      </c>
      <c r="X2541" t="str">
        <f t="shared" si="158"/>
        <v>49+ Months</v>
      </c>
      <c r="Y2541" s="1" t="str">
        <f t="shared" si="159"/>
        <v>Low</v>
      </c>
    </row>
    <row r="2542" spans="1:25" x14ac:dyDescent="0.2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 t="shared" si="156"/>
        <v>0</v>
      </c>
      <c r="W2542">
        <f t="shared" si="157"/>
        <v>1</v>
      </c>
      <c r="X2542" t="str">
        <f t="shared" si="158"/>
        <v>49+ Months</v>
      </c>
      <c r="Y2542" s="1" t="str">
        <f t="shared" si="159"/>
        <v>High</v>
      </c>
    </row>
    <row r="2543" spans="1:25" x14ac:dyDescent="0.2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 t="shared" si="156"/>
        <v>0</v>
      </c>
      <c r="W2543">
        <f t="shared" si="157"/>
        <v>1</v>
      </c>
      <c r="X2543" t="str">
        <f t="shared" si="158"/>
        <v>49+ Months</v>
      </c>
      <c r="Y2543" s="1" t="str">
        <f t="shared" si="159"/>
        <v>Medium</v>
      </c>
    </row>
    <row r="2544" spans="1:25" x14ac:dyDescent="0.2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 t="shared" si="156"/>
        <v>0</v>
      </c>
      <c r="W2544">
        <f t="shared" si="157"/>
        <v>1</v>
      </c>
      <c r="X2544" t="str">
        <f t="shared" si="158"/>
        <v>25-48 Months</v>
      </c>
      <c r="Y2544" s="1" t="str">
        <f t="shared" si="159"/>
        <v>Medium</v>
      </c>
    </row>
    <row r="2545" spans="1:25" x14ac:dyDescent="0.2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 t="shared" si="156"/>
        <v>1</v>
      </c>
      <c r="W2545">
        <f t="shared" si="157"/>
        <v>0</v>
      </c>
      <c r="X2545" t="str">
        <f t="shared" si="158"/>
        <v>13-24 Months</v>
      </c>
      <c r="Y2545" s="1" t="str">
        <f t="shared" si="159"/>
        <v>High</v>
      </c>
    </row>
    <row r="2546" spans="1:25" x14ac:dyDescent="0.2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 t="shared" si="156"/>
        <v>0</v>
      </c>
      <c r="W2546">
        <f t="shared" si="157"/>
        <v>1</v>
      </c>
      <c r="X2546" t="str">
        <f t="shared" si="158"/>
        <v>0-12 Months</v>
      </c>
      <c r="Y2546" s="1" t="str">
        <f t="shared" si="159"/>
        <v>Medium</v>
      </c>
    </row>
    <row r="2547" spans="1:25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 t="shared" si="156"/>
        <v>0</v>
      </c>
      <c r="W2547">
        <f t="shared" si="157"/>
        <v>1</v>
      </c>
      <c r="X2547" t="str">
        <f t="shared" si="158"/>
        <v>49+ Months</v>
      </c>
      <c r="Y2547" s="1" t="str">
        <f t="shared" si="159"/>
        <v>Medium</v>
      </c>
    </row>
    <row r="2548" spans="1:25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 t="shared" si="156"/>
        <v>0</v>
      </c>
      <c r="W2548">
        <f t="shared" si="157"/>
        <v>1</v>
      </c>
      <c r="X2548" t="str">
        <f t="shared" si="158"/>
        <v>25-48 Months</v>
      </c>
      <c r="Y2548" s="1" t="str">
        <f t="shared" si="159"/>
        <v>Medium</v>
      </c>
    </row>
    <row r="2549" spans="1:25" x14ac:dyDescent="0.2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 t="shared" si="156"/>
        <v>0</v>
      </c>
      <c r="W2549">
        <f t="shared" si="157"/>
        <v>1</v>
      </c>
      <c r="X2549" t="str">
        <f t="shared" si="158"/>
        <v>49+ Months</v>
      </c>
      <c r="Y2549" s="1" t="str">
        <f t="shared" si="159"/>
        <v>Low</v>
      </c>
    </row>
    <row r="2550" spans="1:25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 t="shared" si="156"/>
        <v>0</v>
      </c>
      <c r="W2550">
        <f t="shared" si="157"/>
        <v>1</v>
      </c>
      <c r="X2550" t="str">
        <f t="shared" si="158"/>
        <v>0-12 Months</v>
      </c>
      <c r="Y2550" s="1" t="str">
        <f t="shared" si="159"/>
        <v>Medium</v>
      </c>
    </row>
    <row r="2551" spans="1:25" x14ac:dyDescent="0.2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 t="shared" si="156"/>
        <v>0</v>
      </c>
      <c r="W2551">
        <f t="shared" si="157"/>
        <v>1</v>
      </c>
      <c r="X2551" t="str">
        <f t="shared" si="158"/>
        <v>0-12 Months</v>
      </c>
      <c r="Y2551" s="1" t="str">
        <f t="shared" si="159"/>
        <v>Low</v>
      </c>
    </row>
    <row r="2552" spans="1:25" x14ac:dyDescent="0.2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 t="shared" si="156"/>
        <v>0</v>
      </c>
      <c r="W2552">
        <f t="shared" si="157"/>
        <v>1</v>
      </c>
      <c r="X2552" t="str">
        <f t="shared" si="158"/>
        <v>49+ Months</v>
      </c>
      <c r="Y2552" s="1" t="str">
        <f t="shared" si="159"/>
        <v>Low</v>
      </c>
    </row>
    <row r="2553" spans="1:25" x14ac:dyDescent="0.2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 t="shared" si="156"/>
        <v>0</v>
      </c>
      <c r="W2553">
        <f t="shared" si="157"/>
        <v>1</v>
      </c>
      <c r="X2553" t="str">
        <f t="shared" si="158"/>
        <v>0-12 Months</v>
      </c>
      <c r="Y2553" s="1" t="str">
        <f t="shared" si="159"/>
        <v>Low</v>
      </c>
    </row>
    <row r="2554" spans="1:25" x14ac:dyDescent="0.2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 t="shared" si="156"/>
        <v>0</v>
      </c>
      <c r="W2554">
        <f t="shared" si="157"/>
        <v>1</v>
      </c>
      <c r="X2554" t="str">
        <f t="shared" si="158"/>
        <v>25-48 Months</v>
      </c>
      <c r="Y2554" s="1" t="str">
        <f t="shared" si="159"/>
        <v>Low</v>
      </c>
    </row>
    <row r="2555" spans="1:25" x14ac:dyDescent="0.2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 t="shared" si="156"/>
        <v>0</v>
      </c>
      <c r="W2555">
        <f t="shared" si="157"/>
        <v>1</v>
      </c>
      <c r="X2555" t="str">
        <f t="shared" si="158"/>
        <v>0-12 Months</v>
      </c>
      <c r="Y2555" s="1" t="str">
        <f t="shared" si="159"/>
        <v>Low</v>
      </c>
    </row>
    <row r="2556" spans="1:25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 t="shared" si="156"/>
        <v>0</v>
      </c>
      <c r="W2556">
        <f t="shared" si="157"/>
        <v>1</v>
      </c>
      <c r="X2556" t="str">
        <f t="shared" si="158"/>
        <v>13-24 Months</v>
      </c>
      <c r="Y2556" s="1" t="str">
        <f t="shared" si="159"/>
        <v>Medium</v>
      </c>
    </row>
    <row r="2557" spans="1:25" x14ac:dyDescent="0.2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 t="shared" si="156"/>
        <v>0</v>
      </c>
      <c r="W2557">
        <f t="shared" si="157"/>
        <v>1</v>
      </c>
      <c r="X2557" t="str">
        <f t="shared" si="158"/>
        <v>0-12 Months</v>
      </c>
      <c r="Y2557" s="1" t="str">
        <f t="shared" si="159"/>
        <v>Medium</v>
      </c>
    </row>
    <row r="2558" spans="1:25" x14ac:dyDescent="0.2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 t="shared" si="156"/>
        <v>0</v>
      </c>
      <c r="W2558">
        <f t="shared" si="157"/>
        <v>1</v>
      </c>
      <c r="X2558" t="str">
        <f t="shared" si="158"/>
        <v>25-48 Months</v>
      </c>
      <c r="Y2558" s="1" t="str">
        <f t="shared" si="159"/>
        <v>High</v>
      </c>
    </row>
    <row r="2559" spans="1:25" x14ac:dyDescent="0.2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 t="shared" si="156"/>
        <v>0</v>
      </c>
      <c r="W2559">
        <f t="shared" si="157"/>
        <v>1</v>
      </c>
      <c r="X2559" t="str">
        <f t="shared" si="158"/>
        <v>0-12 Months</v>
      </c>
      <c r="Y2559" s="1" t="str">
        <f t="shared" si="159"/>
        <v>Low</v>
      </c>
    </row>
    <row r="2560" spans="1:25" x14ac:dyDescent="0.2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 t="shared" si="156"/>
        <v>0</v>
      </c>
      <c r="W2560">
        <f t="shared" si="157"/>
        <v>1</v>
      </c>
      <c r="X2560" t="str">
        <f t="shared" si="158"/>
        <v>25-48 Months</v>
      </c>
      <c r="Y2560" s="1" t="str">
        <f t="shared" si="159"/>
        <v>Low</v>
      </c>
    </row>
    <row r="2561" spans="1:25" x14ac:dyDescent="0.2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 t="shared" si="156"/>
        <v>0</v>
      </c>
      <c r="W2561">
        <f t="shared" si="157"/>
        <v>1</v>
      </c>
      <c r="X2561" t="str">
        <f t="shared" si="158"/>
        <v>49+ Months</v>
      </c>
      <c r="Y2561" s="1" t="str">
        <f t="shared" si="159"/>
        <v>High</v>
      </c>
    </row>
    <row r="2562" spans="1:25" x14ac:dyDescent="0.2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 t="shared" ref="V2562:V2625" si="160">IF(U2562="Yes",1,0)</f>
        <v>1</v>
      </c>
      <c r="W2562">
        <f t="shared" ref="W2562:W2625" si="161">IF(U2562="No",1,0)</f>
        <v>0</v>
      </c>
      <c r="X2562" t="str">
        <f t="shared" ref="X2562:X2625" si="162">IF(F2562&lt;=12,"0-12 Months",IF(F2562&lt;=24,"13-24 Months",IF(F2562&lt;=48,"25-48 Months","49+ Months")))</f>
        <v>25-48 Months</v>
      </c>
      <c r="Y2562" s="1" t="str">
        <f t="shared" ref="Y2562:Y2625" si="163">IF(S2562&lt;50,"Low",IF(S2562&lt;80,"Medium","High"))</f>
        <v>High</v>
      </c>
    </row>
    <row r="2563" spans="1:25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 t="shared" si="160"/>
        <v>0</v>
      </c>
      <c r="W2563">
        <f t="shared" si="161"/>
        <v>1</v>
      </c>
      <c r="X2563" t="str">
        <f t="shared" si="162"/>
        <v>49+ Months</v>
      </c>
      <c r="Y2563" s="1" t="str">
        <f t="shared" si="163"/>
        <v>High</v>
      </c>
    </row>
    <row r="2564" spans="1:25" x14ac:dyDescent="0.2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 t="shared" si="160"/>
        <v>0</v>
      </c>
      <c r="W2564">
        <f t="shared" si="161"/>
        <v>1</v>
      </c>
      <c r="X2564" t="str">
        <f t="shared" si="162"/>
        <v>49+ Months</v>
      </c>
      <c r="Y2564" s="1" t="str">
        <f t="shared" si="163"/>
        <v>Medium</v>
      </c>
    </row>
    <row r="2565" spans="1:25" x14ac:dyDescent="0.2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 t="shared" si="160"/>
        <v>1</v>
      </c>
      <c r="W2565">
        <f t="shared" si="161"/>
        <v>0</v>
      </c>
      <c r="X2565" t="str">
        <f t="shared" si="162"/>
        <v>25-48 Months</v>
      </c>
      <c r="Y2565" s="1" t="str">
        <f t="shared" si="163"/>
        <v>High</v>
      </c>
    </row>
    <row r="2566" spans="1:25" x14ac:dyDescent="0.2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 t="shared" si="160"/>
        <v>1</v>
      </c>
      <c r="W2566">
        <f t="shared" si="161"/>
        <v>0</v>
      </c>
      <c r="X2566" t="str">
        <f t="shared" si="162"/>
        <v>13-24 Months</v>
      </c>
      <c r="Y2566" s="1" t="str">
        <f t="shared" si="163"/>
        <v>High</v>
      </c>
    </row>
    <row r="2567" spans="1:25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 t="shared" si="160"/>
        <v>0</v>
      </c>
      <c r="W2567">
        <f t="shared" si="161"/>
        <v>1</v>
      </c>
      <c r="X2567" t="str">
        <f t="shared" si="162"/>
        <v>13-24 Months</v>
      </c>
      <c r="Y2567" s="1" t="str">
        <f t="shared" si="163"/>
        <v>Low</v>
      </c>
    </row>
    <row r="2568" spans="1:25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 t="shared" si="160"/>
        <v>0</v>
      </c>
      <c r="W2568">
        <f t="shared" si="161"/>
        <v>1</v>
      </c>
      <c r="X2568" t="str">
        <f t="shared" si="162"/>
        <v>49+ Months</v>
      </c>
      <c r="Y2568" s="1" t="str">
        <f t="shared" si="163"/>
        <v>High</v>
      </c>
    </row>
    <row r="2569" spans="1:25" x14ac:dyDescent="0.2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 t="shared" si="160"/>
        <v>1</v>
      </c>
      <c r="W2569">
        <f t="shared" si="161"/>
        <v>0</v>
      </c>
      <c r="X2569" t="str">
        <f t="shared" si="162"/>
        <v>49+ Months</v>
      </c>
      <c r="Y2569" s="1" t="str">
        <f t="shared" si="163"/>
        <v>High</v>
      </c>
    </row>
    <row r="2570" spans="1:25" x14ac:dyDescent="0.2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 t="shared" si="160"/>
        <v>0</v>
      </c>
      <c r="W2570">
        <f t="shared" si="161"/>
        <v>1</v>
      </c>
      <c r="X2570" t="str">
        <f t="shared" si="162"/>
        <v>13-24 Months</v>
      </c>
      <c r="Y2570" s="1" t="str">
        <f t="shared" si="163"/>
        <v>Low</v>
      </c>
    </row>
    <row r="2571" spans="1:25" x14ac:dyDescent="0.2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 t="shared" si="160"/>
        <v>0</v>
      </c>
      <c r="W2571">
        <f t="shared" si="161"/>
        <v>1</v>
      </c>
      <c r="X2571" t="str">
        <f t="shared" si="162"/>
        <v>49+ Months</v>
      </c>
      <c r="Y2571" s="1" t="str">
        <f t="shared" si="163"/>
        <v>Low</v>
      </c>
    </row>
    <row r="2572" spans="1:25" x14ac:dyDescent="0.2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 t="shared" si="160"/>
        <v>1</v>
      </c>
      <c r="W2572">
        <f t="shared" si="161"/>
        <v>0</v>
      </c>
      <c r="X2572" t="str">
        <f t="shared" si="162"/>
        <v>25-48 Months</v>
      </c>
      <c r="Y2572" s="1" t="str">
        <f t="shared" si="163"/>
        <v>High</v>
      </c>
    </row>
    <row r="2573" spans="1:25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 t="shared" si="160"/>
        <v>0</v>
      </c>
      <c r="W2573">
        <f t="shared" si="161"/>
        <v>1</v>
      </c>
      <c r="X2573" t="str">
        <f t="shared" si="162"/>
        <v>25-48 Months</v>
      </c>
      <c r="Y2573" s="1" t="str">
        <f t="shared" si="163"/>
        <v>High</v>
      </c>
    </row>
    <row r="2574" spans="1:25" x14ac:dyDescent="0.2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 t="shared" si="160"/>
        <v>0</v>
      </c>
      <c r="W2574">
        <f t="shared" si="161"/>
        <v>1</v>
      </c>
      <c r="X2574" t="str">
        <f t="shared" si="162"/>
        <v>49+ Months</v>
      </c>
      <c r="Y2574" s="1" t="str">
        <f t="shared" si="163"/>
        <v>Low</v>
      </c>
    </row>
    <row r="2575" spans="1:25" x14ac:dyDescent="0.2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 t="shared" si="160"/>
        <v>1</v>
      </c>
      <c r="W2575">
        <f t="shared" si="161"/>
        <v>0</v>
      </c>
      <c r="X2575" t="str">
        <f t="shared" si="162"/>
        <v>0-12 Months</v>
      </c>
      <c r="Y2575" s="1" t="str">
        <f t="shared" si="163"/>
        <v>Medium</v>
      </c>
    </row>
    <row r="2576" spans="1:25" x14ac:dyDescent="0.2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 t="shared" si="160"/>
        <v>1</v>
      </c>
      <c r="W2576">
        <f t="shared" si="161"/>
        <v>0</v>
      </c>
      <c r="X2576" t="str">
        <f t="shared" si="162"/>
        <v>25-48 Months</v>
      </c>
      <c r="Y2576" s="1" t="str">
        <f t="shared" si="163"/>
        <v>High</v>
      </c>
    </row>
    <row r="2577" spans="1:25" x14ac:dyDescent="0.2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 t="shared" si="160"/>
        <v>0</v>
      </c>
      <c r="W2577">
        <f t="shared" si="161"/>
        <v>1</v>
      </c>
      <c r="X2577" t="str">
        <f t="shared" si="162"/>
        <v>25-48 Months</v>
      </c>
      <c r="Y2577" s="1" t="str">
        <f t="shared" si="163"/>
        <v>Low</v>
      </c>
    </row>
    <row r="2578" spans="1:25" x14ac:dyDescent="0.2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 t="shared" si="160"/>
        <v>0</v>
      </c>
      <c r="W2578">
        <f t="shared" si="161"/>
        <v>1</v>
      </c>
      <c r="X2578" t="str">
        <f t="shared" si="162"/>
        <v>49+ Months</v>
      </c>
      <c r="Y2578" s="1" t="str">
        <f t="shared" si="163"/>
        <v>High</v>
      </c>
    </row>
    <row r="2579" spans="1:25" x14ac:dyDescent="0.2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 t="shared" si="160"/>
        <v>1</v>
      </c>
      <c r="W2579">
        <f t="shared" si="161"/>
        <v>0</v>
      </c>
      <c r="X2579" t="str">
        <f t="shared" si="162"/>
        <v>0-12 Months</v>
      </c>
      <c r="Y2579" s="1" t="str">
        <f t="shared" si="163"/>
        <v>High</v>
      </c>
    </row>
    <row r="2580" spans="1:25" x14ac:dyDescent="0.2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 t="shared" si="160"/>
        <v>1</v>
      </c>
      <c r="W2580">
        <f t="shared" si="161"/>
        <v>0</v>
      </c>
      <c r="X2580" t="str">
        <f t="shared" si="162"/>
        <v>25-48 Months</v>
      </c>
      <c r="Y2580" s="1" t="str">
        <f t="shared" si="163"/>
        <v>High</v>
      </c>
    </row>
    <row r="2581" spans="1:25" x14ac:dyDescent="0.2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 t="shared" si="160"/>
        <v>0</v>
      </c>
      <c r="W2581">
        <f t="shared" si="161"/>
        <v>1</v>
      </c>
      <c r="X2581" t="str">
        <f t="shared" si="162"/>
        <v>25-48 Months</v>
      </c>
      <c r="Y2581" s="1" t="str">
        <f t="shared" si="163"/>
        <v>Low</v>
      </c>
    </row>
    <row r="2582" spans="1:25" x14ac:dyDescent="0.2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 t="shared" si="160"/>
        <v>0</v>
      </c>
      <c r="W2582">
        <f t="shared" si="161"/>
        <v>1</v>
      </c>
      <c r="X2582" t="str">
        <f t="shared" si="162"/>
        <v>25-48 Months</v>
      </c>
      <c r="Y2582" s="1" t="str">
        <f t="shared" si="163"/>
        <v>High</v>
      </c>
    </row>
    <row r="2583" spans="1:25" x14ac:dyDescent="0.2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 t="shared" si="160"/>
        <v>0</v>
      </c>
      <c r="W2583">
        <f t="shared" si="161"/>
        <v>1</v>
      </c>
      <c r="X2583" t="str">
        <f t="shared" si="162"/>
        <v>0-12 Months</v>
      </c>
      <c r="Y2583" s="1" t="str">
        <f t="shared" si="163"/>
        <v>Low</v>
      </c>
    </row>
    <row r="2584" spans="1:25" x14ac:dyDescent="0.2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 t="shared" si="160"/>
        <v>0</v>
      </c>
      <c r="W2584">
        <f t="shared" si="161"/>
        <v>1</v>
      </c>
      <c r="X2584" t="str">
        <f t="shared" si="162"/>
        <v>0-12 Months</v>
      </c>
      <c r="Y2584" s="1" t="str">
        <f t="shared" si="163"/>
        <v>High</v>
      </c>
    </row>
    <row r="2585" spans="1:25" x14ac:dyDescent="0.2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 t="shared" si="160"/>
        <v>0</v>
      </c>
      <c r="W2585">
        <f t="shared" si="161"/>
        <v>1</v>
      </c>
      <c r="X2585" t="str">
        <f t="shared" si="162"/>
        <v>49+ Months</v>
      </c>
      <c r="Y2585" s="1" t="str">
        <f t="shared" si="163"/>
        <v>Medium</v>
      </c>
    </row>
    <row r="2586" spans="1:25" x14ac:dyDescent="0.2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 t="shared" si="160"/>
        <v>0</v>
      </c>
      <c r="W2586">
        <f t="shared" si="161"/>
        <v>1</v>
      </c>
      <c r="X2586" t="str">
        <f t="shared" si="162"/>
        <v>49+ Months</v>
      </c>
      <c r="Y2586" s="1" t="str">
        <f t="shared" si="163"/>
        <v>Medium</v>
      </c>
    </row>
    <row r="2587" spans="1:25" x14ac:dyDescent="0.2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 t="shared" si="160"/>
        <v>0</v>
      </c>
      <c r="W2587">
        <f t="shared" si="161"/>
        <v>1</v>
      </c>
      <c r="X2587" t="str">
        <f t="shared" si="162"/>
        <v>25-48 Months</v>
      </c>
      <c r="Y2587" s="1" t="str">
        <f t="shared" si="163"/>
        <v>Low</v>
      </c>
    </row>
    <row r="2588" spans="1:25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 t="shared" si="160"/>
        <v>0</v>
      </c>
      <c r="W2588">
        <f t="shared" si="161"/>
        <v>1</v>
      </c>
      <c r="X2588" t="str">
        <f t="shared" si="162"/>
        <v>25-48 Months</v>
      </c>
      <c r="Y2588" s="1" t="str">
        <f t="shared" si="163"/>
        <v>Low</v>
      </c>
    </row>
    <row r="2589" spans="1:25" x14ac:dyDescent="0.2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 t="shared" si="160"/>
        <v>0</v>
      </c>
      <c r="W2589">
        <f t="shared" si="161"/>
        <v>1</v>
      </c>
      <c r="X2589" t="str">
        <f t="shared" si="162"/>
        <v>25-48 Months</v>
      </c>
      <c r="Y2589" s="1" t="str">
        <f t="shared" si="163"/>
        <v>Low</v>
      </c>
    </row>
    <row r="2590" spans="1:25" x14ac:dyDescent="0.2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 t="shared" si="160"/>
        <v>0</v>
      </c>
      <c r="W2590">
        <f t="shared" si="161"/>
        <v>1</v>
      </c>
      <c r="X2590" t="str">
        <f t="shared" si="162"/>
        <v>0-12 Months</v>
      </c>
      <c r="Y2590" s="1" t="str">
        <f t="shared" si="163"/>
        <v>Low</v>
      </c>
    </row>
    <row r="2591" spans="1:25" x14ac:dyDescent="0.2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 t="shared" si="160"/>
        <v>1</v>
      </c>
      <c r="W2591">
        <f t="shared" si="161"/>
        <v>0</v>
      </c>
      <c r="X2591" t="str">
        <f t="shared" si="162"/>
        <v>0-12 Months</v>
      </c>
      <c r="Y2591" s="1" t="str">
        <f t="shared" si="163"/>
        <v>Medium</v>
      </c>
    </row>
    <row r="2592" spans="1:25" x14ac:dyDescent="0.2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 t="shared" si="160"/>
        <v>0</v>
      </c>
      <c r="W2592">
        <f t="shared" si="161"/>
        <v>1</v>
      </c>
      <c r="X2592" t="str">
        <f t="shared" si="162"/>
        <v>25-48 Months</v>
      </c>
      <c r="Y2592" s="1" t="str">
        <f t="shared" si="163"/>
        <v>High</v>
      </c>
    </row>
    <row r="2593" spans="1:25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 t="shared" si="160"/>
        <v>0</v>
      </c>
      <c r="W2593">
        <f t="shared" si="161"/>
        <v>1</v>
      </c>
      <c r="X2593" t="str">
        <f t="shared" si="162"/>
        <v>49+ Months</v>
      </c>
      <c r="Y2593" s="1" t="str">
        <f t="shared" si="163"/>
        <v>High</v>
      </c>
    </row>
    <row r="2594" spans="1:25" x14ac:dyDescent="0.2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 t="shared" si="160"/>
        <v>0</v>
      </c>
      <c r="W2594">
        <f t="shared" si="161"/>
        <v>1</v>
      </c>
      <c r="X2594" t="str">
        <f t="shared" si="162"/>
        <v>0-12 Months</v>
      </c>
      <c r="Y2594" s="1" t="str">
        <f t="shared" si="163"/>
        <v>Low</v>
      </c>
    </row>
    <row r="2595" spans="1:25" x14ac:dyDescent="0.2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 t="shared" si="160"/>
        <v>0</v>
      </c>
      <c r="W2595">
        <f t="shared" si="161"/>
        <v>1</v>
      </c>
      <c r="X2595" t="str">
        <f t="shared" si="162"/>
        <v>49+ Months</v>
      </c>
      <c r="Y2595" s="1" t="str">
        <f t="shared" si="163"/>
        <v>Low</v>
      </c>
    </row>
    <row r="2596" spans="1:25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 t="shared" si="160"/>
        <v>0</v>
      </c>
      <c r="W2596">
        <f t="shared" si="161"/>
        <v>1</v>
      </c>
      <c r="X2596" t="str">
        <f t="shared" si="162"/>
        <v>49+ Months</v>
      </c>
      <c r="Y2596" s="1" t="str">
        <f t="shared" si="163"/>
        <v>High</v>
      </c>
    </row>
    <row r="2597" spans="1:25" x14ac:dyDescent="0.2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 t="shared" si="160"/>
        <v>0</v>
      </c>
      <c r="W2597">
        <f t="shared" si="161"/>
        <v>1</v>
      </c>
      <c r="X2597" t="str">
        <f t="shared" si="162"/>
        <v>49+ Months</v>
      </c>
      <c r="Y2597" s="1" t="str">
        <f t="shared" si="163"/>
        <v>High</v>
      </c>
    </row>
    <row r="2598" spans="1:25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 t="shared" si="160"/>
        <v>0</v>
      </c>
      <c r="W2598">
        <f t="shared" si="161"/>
        <v>1</v>
      </c>
      <c r="X2598" t="str">
        <f t="shared" si="162"/>
        <v>13-24 Months</v>
      </c>
      <c r="Y2598" s="1" t="str">
        <f t="shared" si="163"/>
        <v>Medium</v>
      </c>
    </row>
    <row r="2599" spans="1:25" x14ac:dyDescent="0.2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 t="shared" si="160"/>
        <v>0</v>
      </c>
      <c r="W2599">
        <f t="shared" si="161"/>
        <v>1</v>
      </c>
      <c r="X2599" t="str">
        <f t="shared" si="162"/>
        <v>49+ Months</v>
      </c>
      <c r="Y2599" s="1" t="str">
        <f t="shared" si="163"/>
        <v>High</v>
      </c>
    </row>
    <row r="2600" spans="1:25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 t="shared" si="160"/>
        <v>0</v>
      </c>
      <c r="W2600">
        <f t="shared" si="161"/>
        <v>1</v>
      </c>
      <c r="X2600" t="str">
        <f t="shared" si="162"/>
        <v>0-12 Months</v>
      </c>
      <c r="Y2600" s="1" t="str">
        <f t="shared" si="163"/>
        <v>Medium</v>
      </c>
    </row>
    <row r="2601" spans="1:25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 t="shared" si="160"/>
        <v>0</v>
      </c>
      <c r="W2601">
        <f t="shared" si="161"/>
        <v>1</v>
      </c>
      <c r="X2601" t="str">
        <f t="shared" si="162"/>
        <v>49+ Months</v>
      </c>
      <c r="Y2601" s="1" t="str">
        <f t="shared" si="163"/>
        <v>Medium</v>
      </c>
    </row>
    <row r="2602" spans="1:25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 t="shared" si="160"/>
        <v>0</v>
      </c>
      <c r="W2602">
        <f t="shared" si="161"/>
        <v>1</v>
      </c>
      <c r="X2602" t="str">
        <f t="shared" si="162"/>
        <v>0-12 Months</v>
      </c>
      <c r="Y2602" s="1" t="str">
        <f t="shared" si="163"/>
        <v>Medium</v>
      </c>
    </row>
    <row r="2603" spans="1:25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 t="shared" si="160"/>
        <v>0</v>
      </c>
      <c r="W2603">
        <f t="shared" si="161"/>
        <v>1</v>
      </c>
      <c r="X2603" t="str">
        <f t="shared" si="162"/>
        <v>49+ Months</v>
      </c>
      <c r="Y2603" s="1" t="str">
        <f t="shared" si="163"/>
        <v>High</v>
      </c>
    </row>
    <row r="2604" spans="1:25" x14ac:dyDescent="0.2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 t="shared" si="160"/>
        <v>0</v>
      </c>
      <c r="W2604">
        <f t="shared" si="161"/>
        <v>1</v>
      </c>
      <c r="X2604" t="str">
        <f t="shared" si="162"/>
        <v>49+ Months</v>
      </c>
      <c r="Y2604" s="1" t="str">
        <f t="shared" si="163"/>
        <v>High</v>
      </c>
    </row>
    <row r="2605" spans="1:25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 t="shared" si="160"/>
        <v>0</v>
      </c>
      <c r="W2605">
        <f t="shared" si="161"/>
        <v>1</v>
      </c>
      <c r="X2605" t="str">
        <f t="shared" si="162"/>
        <v>49+ Months</v>
      </c>
      <c r="Y2605" s="1" t="str">
        <f t="shared" si="163"/>
        <v>High</v>
      </c>
    </row>
    <row r="2606" spans="1:25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 t="shared" si="160"/>
        <v>0</v>
      </c>
      <c r="W2606">
        <f t="shared" si="161"/>
        <v>1</v>
      </c>
      <c r="X2606" t="str">
        <f t="shared" si="162"/>
        <v>25-48 Months</v>
      </c>
      <c r="Y2606" s="1" t="str">
        <f t="shared" si="163"/>
        <v>High</v>
      </c>
    </row>
    <row r="2607" spans="1:25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 t="shared" si="160"/>
        <v>0</v>
      </c>
      <c r="W2607">
        <f t="shared" si="161"/>
        <v>1</v>
      </c>
      <c r="X2607" t="str">
        <f t="shared" si="162"/>
        <v>13-24 Months</v>
      </c>
      <c r="Y2607" s="1" t="str">
        <f t="shared" si="163"/>
        <v>Low</v>
      </c>
    </row>
    <row r="2608" spans="1:25" x14ac:dyDescent="0.2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 t="shared" si="160"/>
        <v>0</v>
      </c>
      <c r="W2608">
        <f t="shared" si="161"/>
        <v>1</v>
      </c>
      <c r="X2608" t="str">
        <f t="shared" si="162"/>
        <v>25-48 Months</v>
      </c>
      <c r="Y2608" s="1" t="str">
        <f t="shared" si="163"/>
        <v>High</v>
      </c>
    </row>
    <row r="2609" spans="1:25" x14ac:dyDescent="0.2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 t="shared" si="160"/>
        <v>1</v>
      </c>
      <c r="W2609">
        <f t="shared" si="161"/>
        <v>0</v>
      </c>
      <c r="X2609" t="str">
        <f t="shared" si="162"/>
        <v>0-12 Months</v>
      </c>
      <c r="Y2609" s="1" t="str">
        <f t="shared" si="163"/>
        <v>Medium</v>
      </c>
    </row>
    <row r="2610" spans="1:25" x14ac:dyDescent="0.2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 t="shared" si="160"/>
        <v>1</v>
      </c>
      <c r="W2610">
        <f t="shared" si="161"/>
        <v>0</v>
      </c>
      <c r="X2610" t="str">
        <f t="shared" si="162"/>
        <v>0-12 Months</v>
      </c>
      <c r="Y2610" s="1" t="str">
        <f t="shared" si="163"/>
        <v>Low</v>
      </c>
    </row>
    <row r="2611" spans="1:25" x14ac:dyDescent="0.2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 t="shared" si="160"/>
        <v>1</v>
      </c>
      <c r="W2611">
        <f t="shared" si="161"/>
        <v>0</v>
      </c>
      <c r="X2611" t="str">
        <f t="shared" si="162"/>
        <v>49+ Months</v>
      </c>
      <c r="Y2611" s="1" t="str">
        <f t="shared" si="163"/>
        <v>High</v>
      </c>
    </row>
    <row r="2612" spans="1:25" x14ac:dyDescent="0.2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 t="shared" si="160"/>
        <v>1</v>
      </c>
      <c r="W2612">
        <f t="shared" si="161"/>
        <v>0</v>
      </c>
      <c r="X2612" t="str">
        <f t="shared" si="162"/>
        <v>25-48 Months</v>
      </c>
      <c r="Y2612" s="1" t="str">
        <f t="shared" si="163"/>
        <v>Low</v>
      </c>
    </row>
    <row r="2613" spans="1:25" x14ac:dyDescent="0.2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 t="shared" si="160"/>
        <v>1</v>
      </c>
      <c r="W2613">
        <f t="shared" si="161"/>
        <v>0</v>
      </c>
      <c r="X2613" t="str">
        <f t="shared" si="162"/>
        <v>0-12 Months</v>
      </c>
      <c r="Y2613" s="1" t="str">
        <f t="shared" si="163"/>
        <v>Medium</v>
      </c>
    </row>
    <row r="2614" spans="1:25" x14ac:dyDescent="0.2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 t="shared" si="160"/>
        <v>0</v>
      </c>
      <c r="W2614">
        <f t="shared" si="161"/>
        <v>1</v>
      </c>
      <c r="X2614" t="str">
        <f t="shared" si="162"/>
        <v>13-24 Months</v>
      </c>
      <c r="Y2614" s="1" t="str">
        <f t="shared" si="163"/>
        <v>High</v>
      </c>
    </row>
    <row r="2615" spans="1:25" x14ac:dyDescent="0.2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 t="shared" si="160"/>
        <v>1</v>
      </c>
      <c r="W2615">
        <f t="shared" si="161"/>
        <v>0</v>
      </c>
      <c r="X2615" t="str">
        <f t="shared" si="162"/>
        <v>0-12 Months</v>
      </c>
      <c r="Y2615" s="1" t="str">
        <f t="shared" si="163"/>
        <v>High</v>
      </c>
    </row>
    <row r="2616" spans="1:25" x14ac:dyDescent="0.2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 t="shared" si="160"/>
        <v>1</v>
      </c>
      <c r="W2616">
        <f t="shared" si="161"/>
        <v>0</v>
      </c>
      <c r="X2616" t="str">
        <f t="shared" si="162"/>
        <v>49+ Months</v>
      </c>
      <c r="Y2616" s="1" t="str">
        <f t="shared" si="163"/>
        <v>High</v>
      </c>
    </row>
    <row r="2617" spans="1:25" x14ac:dyDescent="0.2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 t="shared" si="160"/>
        <v>0</v>
      </c>
      <c r="W2617">
        <f t="shared" si="161"/>
        <v>1</v>
      </c>
      <c r="X2617" t="str">
        <f t="shared" si="162"/>
        <v>49+ Months</v>
      </c>
      <c r="Y2617" s="1" t="str">
        <f t="shared" si="163"/>
        <v>High</v>
      </c>
    </row>
    <row r="2618" spans="1:25" x14ac:dyDescent="0.2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 t="shared" si="160"/>
        <v>1</v>
      </c>
      <c r="W2618">
        <f t="shared" si="161"/>
        <v>0</v>
      </c>
      <c r="X2618" t="str">
        <f t="shared" si="162"/>
        <v>0-12 Months</v>
      </c>
      <c r="Y2618" s="1" t="str">
        <f t="shared" si="163"/>
        <v>Low</v>
      </c>
    </row>
    <row r="2619" spans="1:25" x14ac:dyDescent="0.2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 t="shared" si="160"/>
        <v>1</v>
      </c>
      <c r="W2619">
        <f t="shared" si="161"/>
        <v>0</v>
      </c>
      <c r="X2619" t="str">
        <f t="shared" si="162"/>
        <v>0-12 Months</v>
      </c>
      <c r="Y2619" s="1" t="str">
        <f t="shared" si="163"/>
        <v>Low</v>
      </c>
    </row>
    <row r="2620" spans="1:25" x14ac:dyDescent="0.2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 t="shared" si="160"/>
        <v>0</v>
      </c>
      <c r="W2620">
        <f t="shared" si="161"/>
        <v>1</v>
      </c>
      <c r="X2620" t="str">
        <f t="shared" si="162"/>
        <v>25-48 Months</v>
      </c>
      <c r="Y2620" s="1" t="str">
        <f t="shared" si="163"/>
        <v>Low</v>
      </c>
    </row>
    <row r="2621" spans="1:25" x14ac:dyDescent="0.2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 t="shared" si="160"/>
        <v>1</v>
      </c>
      <c r="W2621">
        <f t="shared" si="161"/>
        <v>0</v>
      </c>
      <c r="X2621" t="str">
        <f t="shared" si="162"/>
        <v>25-48 Months</v>
      </c>
      <c r="Y2621" s="1" t="str">
        <f t="shared" si="163"/>
        <v>High</v>
      </c>
    </row>
    <row r="2622" spans="1:25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 t="shared" si="160"/>
        <v>0</v>
      </c>
      <c r="W2622">
        <f t="shared" si="161"/>
        <v>1</v>
      </c>
      <c r="X2622" t="str">
        <f t="shared" si="162"/>
        <v>13-24 Months</v>
      </c>
      <c r="Y2622" s="1" t="str">
        <f t="shared" si="163"/>
        <v>Medium</v>
      </c>
    </row>
    <row r="2623" spans="1:25" x14ac:dyDescent="0.2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 t="shared" si="160"/>
        <v>0</v>
      </c>
      <c r="W2623">
        <f t="shared" si="161"/>
        <v>1</v>
      </c>
      <c r="X2623" t="str">
        <f t="shared" si="162"/>
        <v>49+ Months</v>
      </c>
      <c r="Y2623" s="1" t="str">
        <f t="shared" si="163"/>
        <v>Medium</v>
      </c>
    </row>
    <row r="2624" spans="1:25" x14ac:dyDescent="0.2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 t="shared" si="160"/>
        <v>0</v>
      </c>
      <c r="W2624">
        <f t="shared" si="161"/>
        <v>1</v>
      </c>
      <c r="X2624" t="str">
        <f t="shared" si="162"/>
        <v>25-48 Months</v>
      </c>
      <c r="Y2624" s="1" t="str">
        <f t="shared" si="163"/>
        <v>Medium</v>
      </c>
    </row>
    <row r="2625" spans="1:25" x14ac:dyDescent="0.2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 t="shared" si="160"/>
        <v>0</v>
      </c>
      <c r="W2625">
        <f t="shared" si="161"/>
        <v>1</v>
      </c>
      <c r="X2625" t="str">
        <f t="shared" si="162"/>
        <v>0-12 Months</v>
      </c>
      <c r="Y2625" s="1" t="str">
        <f t="shared" si="163"/>
        <v>High</v>
      </c>
    </row>
    <row r="2626" spans="1:25" x14ac:dyDescent="0.2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 t="shared" ref="V2626:V2689" si="164">IF(U2626="Yes",1,0)</f>
        <v>0</v>
      </c>
      <c r="W2626">
        <f t="shared" ref="W2626:W2689" si="165">IF(U2626="No",1,0)</f>
        <v>1</v>
      </c>
      <c r="X2626" t="str">
        <f t="shared" ref="X2626:X2689" si="166">IF(F2626&lt;=12,"0-12 Months",IF(F2626&lt;=24,"13-24 Months",IF(F2626&lt;=48,"25-48 Months","49+ Months")))</f>
        <v>13-24 Months</v>
      </c>
      <c r="Y2626" s="1" t="str">
        <f t="shared" ref="Y2626:Y2689" si="167">IF(S2626&lt;50,"Low",IF(S2626&lt;80,"Medium","High"))</f>
        <v>Medium</v>
      </c>
    </row>
    <row r="2627" spans="1:25" x14ac:dyDescent="0.2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 t="shared" si="164"/>
        <v>0</v>
      </c>
      <c r="W2627">
        <f t="shared" si="165"/>
        <v>1</v>
      </c>
      <c r="X2627" t="str">
        <f t="shared" si="166"/>
        <v>49+ Months</v>
      </c>
      <c r="Y2627" s="1" t="str">
        <f t="shared" si="167"/>
        <v>High</v>
      </c>
    </row>
    <row r="2628" spans="1:25" x14ac:dyDescent="0.2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 t="shared" si="164"/>
        <v>0</v>
      </c>
      <c r="W2628">
        <f t="shared" si="165"/>
        <v>1</v>
      </c>
      <c r="X2628" t="str">
        <f t="shared" si="166"/>
        <v>49+ Months</v>
      </c>
      <c r="Y2628" s="1" t="str">
        <f t="shared" si="167"/>
        <v>Medium</v>
      </c>
    </row>
    <row r="2629" spans="1:25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 t="shared" si="164"/>
        <v>0</v>
      </c>
      <c r="W2629">
        <f t="shared" si="165"/>
        <v>1</v>
      </c>
      <c r="X2629" t="str">
        <f t="shared" si="166"/>
        <v>25-48 Months</v>
      </c>
      <c r="Y2629" s="1" t="str">
        <f t="shared" si="167"/>
        <v>Low</v>
      </c>
    </row>
    <row r="2630" spans="1:25" x14ac:dyDescent="0.2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 t="shared" si="164"/>
        <v>0</v>
      </c>
      <c r="W2630">
        <f t="shared" si="165"/>
        <v>1</v>
      </c>
      <c r="X2630" t="str">
        <f t="shared" si="166"/>
        <v>0-12 Months</v>
      </c>
      <c r="Y2630" s="1" t="str">
        <f t="shared" si="167"/>
        <v>High</v>
      </c>
    </row>
    <row r="2631" spans="1:25" x14ac:dyDescent="0.2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 t="shared" si="164"/>
        <v>1</v>
      </c>
      <c r="W2631">
        <f t="shared" si="165"/>
        <v>0</v>
      </c>
      <c r="X2631" t="str">
        <f t="shared" si="166"/>
        <v>0-12 Months</v>
      </c>
      <c r="Y2631" s="1" t="str">
        <f t="shared" si="167"/>
        <v>Medium</v>
      </c>
    </row>
    <row r="2632" spans="1:25" x14ac:dyDescent="0.2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 t="shared" si="164"/>
        <v>0</v>
      </c>
      <c r="W2632">
        <f t="shared" si="165"/>
        <v>1</v>
      </c>
      <c r="X2632" t="str">
        <f t="shared" si="166"/>
        <v>49+ Months</v>
      </c>
      <c r="Y2632" s="1" t="str">
        <f t="shared" si="167"/>
        <v>High</v>
      </c>
    </row>
    <row r="2633" spans="1:25" x14ac:dyDescent="0.2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 t="shared" si="164"/>
        <v>1</v>
      </c>
      <c r="W2633">
        <f t="shared" si="165"/>
        <v>0</v>
      </c>
      <c r="X2633" t="str">
        <f t="shared" si="166"/>
        <v>0-12 Months</v>
      </c>
      <c r="Y2633" s="1" t="str">
        <f t="shared" si="167"/>
        <v>High</v>
      </c>
    </row>
    <row r="2634" spans="1:25" x14ac:dyDescent="0.2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 t="shared" si="164"/>
        <v>0</v>
      </c>
      <c r="W2634">
        <f t="shared" si="165"/>
        <v>1</v>
      </c>
      <c r="X2634" t="str">
        <f t="shared" si="166"/>
        <v>49+ Months</v>
      </c>
      <c r="Y2634" s="1" t="str">
        <f t="shared" si="167"/>
        <v>Medium</v>
      </c>
    </row>
    <row r="2635" spans="1:25" x14ac:dyDescent="0.2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 t="shared" si="164"/>
        <v>0</v>
      </c>
      <c r="W2635">
        <f t="shared" si="165"/>
        <v>1</v>
      </c>
      <c r="X2635" t="str">
        <f t="shared" si="166"/>
        <v>49+ Months</v>
      </c>
      <c r="Y2635" s="1" t="str">
        <f t="shared" si="167"/>
        <v>High</v>
      </c>
    </row>
    <row r="2636" spans="1:25" x14ac:dyDescent="0.2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 t="shared" si="164"/>
        <v>1</v>
      </c>
      <c r="W2636">
        <f t="shared" si="165"/>
        <v>0</v>
      </c>
      <c r="X2636" t="str">
        <f t="shared" si="166"/>
        <v>0-12 Months</v>
      </c>
      <c r="Y2636" s="1" t="str">
        <f t="shared" si="167"/>
        <v>High</v>
      </c>
    </row>
    <row r="2637" spans="1:25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 t="shared" si="164"/>
        <v>0</v>
      </c>
      <c r="W2637">
        <f t="shared" si="165"/>
        <v>1</v>
      </c>
      <c r="X2637" t="str">
        <f t="shared" si="166"/>
        <v>49+ Months</v>
      </c>
      <c r="Y2637" s="1" t="str">
        <f t="shared" si="167"/>
        <v>Low</v>
      </c>
    </row>
    <row r="2638" spans="1:25" x14ac:dyDescent="0.2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 t="shared" si="164"/>
        <v>0</v>
      </c>
      <c r="W2638">
        <f t="shared" si="165"/>
        <v>1</v>
      </c>
      <c r="X2638" t="str">
        <f t="shared" si="166"/>
        <v>49+ Months</v>
      </c>
      <c r="Y2638" s="1" t="str">
        <f t="shared" si="167"/>
        <v>High</v>
      </c>
    </row>
    <row r="2639" spans="1:25" x14ac:dyDescent="0.2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 t="shared" si="164"/>
        <v>0</v>
      </c>
      <c r="W2639">
        <f t="shared" si="165"/>
        <v>1</v>
      </c>
      <c r="X2639" t="str">
        <f t="shared" si="166"/>
        <v>25-48 Months</v>
      </c>
      <c r="Y2639" s="1" t="str">
        <f t="shared" si="167"/>
        <v>Low</v>
      </c>
    </row>
    <row r="2640" spans="1:25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 t="shared" si="164"/>
        <v>1</v>
      </c>
      <c r="W2640">
        <f t="shared" si="165"/>
        <v>0</v>
      </c>
      <c r="X2640" t="str">
        <f t="shared" si="166"/>
        <v>49+ Months</v>
      </c>
      <c r="Y2640" s="1" t="str">
        <f t="shared" si="167"/>
        <v>High</v>
      </c>
    </row>
    <row r="2641" spans="1:25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 t="shared" si="164"/>
        <v>1</v>
      </c>
      <c r="W2641">
        <f t="shared" si="165"/>
        <v>0</v>
      </c>
      <c r="X2641" t="str">
        <f t="shared" si="166"/>
        <v>13-24 Months</v>
      </c>
      <c r="Y2641" s="1" t="str">
        <f t="shared" si="167"/>
        <v>Medium</v>
      </c>
    </row>
    <row r="2642" spans="1:25" x14ac:dyDescent="0.2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 t="shared" si="164"/>
        <v>0</v>
      </c>
      <c r="W2642">
        <f t="shared" si="165"/>
        <v>1</v>
      </c>
      <c r="X2642" t="str">
        <f t="shared" si="166"/>
        <v>13-24 Months</v>
      </c>
      <c r="Y2642" s="1" t="str">
        <f t="shared" si="167"/>
        <v>High</v>
      </c>
    </row>
    <row r="2643" spans="1:25" x14ac:dyDescent="0.2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 t="shared" si="164"/>
        <v>0</v>
      </c>
      <c r="W2643">
        <f t="shared" si="165"/>
        <v>1</v>
      </c>
      <c r="X2643" t="str">
        <f t="shared" si="166"/>
        <v>0-12 Months</v>
      </c>
      <c r="Y2643" s="1" t="str">
        <f t="shared" si="167"/>
        <v>Medium</v>
      </c>
    </row>
    <row r="2644" spans="1:25" x14ac:dyDescent="0.2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 t="shared" si="164"/>
        <v>1</v>
      </c>
      <c r="W2644">
        <f t="shared" si="165"/>
        <v>0</v>
      </c>
      <c r="X2644" t="str">
        <f t="shared" si="166"/>
        <v>25-48 Months</v>
      </c>
      <c r="Y2644" s="1" t="str">
        <f t="shared" si="167"/>
        <v>High</v>
      </c>
    </row>
    <row r="2645" spans="1:25" x14ac:dyDescent="0.2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 t="shared" si="164"/>
        <v>1</v>
      </c>
      <c r="W2645">
        <f t="shared" si="165"/>
        <v>0</v>
      </c>
      <c r="X2645" t="str">
        <f t="shared" si="166"/>
        <v>25-48 Months</v>
      </c>
      <c r="Y2645" s="1" t="str">
        <f t="shared" si="167"/>
        <v>High</v>
      </c>
    </row>
    <row r="2646" spans="1:25" x14ac:dyDescent="0.2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 t="shared" si="164"/>
        <v>1</v>
      </c>
      <c r="W2646">
        <f t="shared" si="165"/>
        <v>0</v>
      </c>
      <c r="X2646" t="str">
        <f t="shared" si="166"/>
        <v>13-24 Months</v>
      </c>
      <c r="Y2646" s="1" t="str">
        <f t="shared" si="167"/>
        <v>Low</v>
      </c>
    </row>
    <row r="2647" spans="1:25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 t="shared" si="164"/>
        <v>0</v>
      </c>
      <c r="W2647">
        <f t="shared" si="165"/>
        <v>1</v>
      </c>
      <c r="X2647" t="str">
        <f t="shared" si="166"/>
        <v>0-12 Months</v>
      </c>
      <c r="Y2647" s="1" t="str">
        <f t="shared" si="167"/>
        <v>Low</v>
      </c>
    </row>
    <row r="2648" spans="1:25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 t="shared" si="164"/>
        <v>0</v>
      </c>
      <c r="W2648">
        <f t="shared" si="165"/>
        <v>1</v>
      </c>
      <c r="X2648" t="str">
        <f t="shared" si="166"/>
        <v>49+ Months</v>
      </c>
      <c r="Y2648" s="1" t="str">
        <f t="shared" si="167"/>
        <v>High</v>
      </c>
    </row>
    <row r="2649" spans="1:25" x14ac:dyDescent="0.2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 t="shared" si="164"/>
        <v>0</v>
      </c>
      <c r="W2649">
        <f t="shared" si="165"/>
        <v>1</v>
      </c>
      <c r="X2649" t="str">
        <f t="shared" si="166"/>
        <v>0-12 Months</v>
      </c>
      <c r="Y2649" s="1" t="str">
        <f t="shared" si="167"/>
        <v>Low</v>
      </c>
    </row>
    <row r="2650" spans="1:25" x14ac:dyDescent="0.2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 t="shared" si="164"/>
        <v>0</v>
      </c>
      <c r="W2650">
        <f t="shared" si="165"/>
        <v>1</v>
      </c>
      <c r="X2650" t="str">
        <f t="shared" si="166"/>
        <v>25-48 Months</v>
      </c>
      <c r="Y2650" s="1" t="str">
        <f t="shared" si="167"/>
        <v>Medium</v>
      </c>
    </row>
    <row r="2651" spans="1:25" x14ac:dyDescent="0.2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 t="shared" si="164"/>
        <v>0</v>
      </c>
      <c r="W2651">
        <f t="shared" si="165"/>
        <v>1</v>
      </c>
      <c r="X2651" t="str">
        <f t="shared" si="166"/>
        <v>49+ Months</v>
      </c>
      <c r="Y2651" s="1" t="str">
        <f t="shared" si="167"/>
        <v>Low</v>
      </c>
    </row>
    <row r="2652" spans="1:25" x14ac:dyDescent="0.2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 t="shared" si="164"/>
        <v>0</v>
      </c>
      <c r="W2652">
        <f t="shared" si="165"/>
        <v>1</v>
      </c>
      <c r="X2652" t="str">
        <f t="shared" si="166"/>
        <v>13-24 Months</v>
      </c>
      <c r="Y2652" s="1" t="str">
        <f t="shared" si="167"/>
        <v>High</v>
      </c>
    </row>
    <row r="2653" spans="1:25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 t="shared" si="164"/>
        <v>1</v>
      </c>
      <c r="W2653">
        <f t="shared" si="165"/>
        <v>0</v>
      </c>
      <c r="X2653" t="str">
        <f t="shared" si="166"/>
        <v>13-24 Months</v>
      </c>
      <c r="Y2653" s="1" t="str">
        <f t="shared" si="167"/>
        <v>High</v>
      </c>
    </row>
    <row r="2654" spans="1:25" x14ac:dyDescent="0.2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 t="shared" si="164"/>
        <v>0</v>
      </c>
      <c r="W2654">
        <f t="shared" si="165"/>
        <v>1</v>
      </c>
      <c r="X2654" t="str">
        <f t="shared" si="166"/>
        <v>0-12 Months</v>
      </c>
      <c r="Y2654" s="1" t="str">
        <f t="shared" si="167"/>
        <v>Medium</v>
      </c>
    </row>
    <row r="2655" spans="1:25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 t="shared" si="164"/>
        <v>0</v>
      </c>
      <c r="W2655">
        <f t="shared" si="165"/>
        <v>1</v>
      </c>
      <c r="X2655" t="str">
        <f t="shared" si="166"/>
        <v>49+ Months</v>
      </c>
      <c r="Y2655" s="1" t="str">
        <f t="shared" si="167"/>
        <v>Medium</v>
      </c>
    </row>
    <row r="2656" spans="1:25" x14ac:dyDescent="0.2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 t="shared" si="164"/>
        <v>1</v>
      </c>
      <c r="W2656">
        <f t="shared" si="165"/>
        <v>0</v>
      </c>
      <c r="X2656" t="str">
        <f t="shared" si="166"/>
        <v>0-12 Months</v>
      </c>
      <c r="Y2656" s="1" t="str">
        <f t="shared" si="167"/>
        <v>High</v>
      </c>
    </row>
    <row r="2657" spans="1:25" x14ac:dyDescent="0.2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 t="shared" si="164"/>
        <v>1</v>
      </c>
      <c r="W2657">
        <f t="shared" si="165"/>
        <v>0</v>
      </c>
      <c r="X2657" t="str">
        <f t="shared" si="166"/>
        <v>0-12 Months</v>
      </c>
      <c r="Y2657" s="1" t="str">
        <f t="shared" si="167"/>
        <v>High</v>
      </c>
    </row>
    <row r="2658" spans="1:25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 t="shared" si="164"/>
        <v>0</v>
      </c>
      <c r="W2658">
        <f t="shared" si="165"/>
        <v>1</v>
      </c>
      <c r="X2658" t="str">
        <f t="shared" si="166"/>
        <v>25-48 Months</v>
      </c>
      <c r="Y2658" s="1" t="str">
        <f t="shared" si="167"/>
        <v>Medium</v>
      </c>
    </row>
    <row r="2659" spans="1:25" x14ac:dyDescent="0.2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 t="shared" si="164"/>
        <v>0</v>
      </c>
      <c r="W2659">
        <f t="shared" si="165"/>
        <v>1</v>
      </c>
      <c r="X2659" t="str">
        <f t="shared" si="166"/>
        <v>25-48 Months</v>
      </c>
      <c r="Y2659" s="1" t="str">
        <f t="shared" si="167"/>
        <v>Medium</v>
      </c>
    </row>
    <row r="2660" spans="1:25" x14ac:dyDescent="0.2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 t="shared" si="164"/>
        <v>0</v>
      </c>
      <c r="W2660">
        <f t="shared" si="165"/>
        <v>1</v>
      </c>
      <c r="X2660" t="str">
        <f t="shared" si="166"/>
        <v>13-24 Months</v>
      </c>
      <c r="Y2660" s="1" t="str">
        <f t="shared" si="167"/>
        <v>Low</v>
      </c>
    </row>
    <row r="2661" spans="1:25" x14ac:dyDescent="0.2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 t="shared" si="164"/>
        <v>0</v>
      </c>
      <c r="W2661">
        <f t="shared" si="165"/>
        <v>1</v>
      </c>
      <c r="X2661" t="str">
        <f t="shared" si="166"/>
        <v>49+ Months</v>
      </c>
      <c r="Y2661" s="1" t="str">
        <f t="shared" si="167"/>
        <v>High</v>
      </c>
    </row>
    <row r="2662" spans="1:25" x14ac:dyDescent="0.2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 t="shared" si="164"/>
        <v>0</v>
      </c>
      <c r="W2662">
        <f t="shared" si="165"/>
        <v>1</v>
      </c>
      <c r="X2662" t="str">
        <f t="shared" si="166"/>
        <v>13-24 Months</v>
      </c>
      <c r="Y2662" s="1" t="str">
        <f t="shared" si="167"/>
        <v>Medium</v>
      </c>
    </row>
    <row r="2663" spans="1:25" x14ac:dyDescent="0.2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 t="shared" si="164"/>
        <v>0</v>
      </c>
      <c r="W2663">
        <f t="shared" si="165"/>
        <v>1</v>
      </c>
      <c r="X2663" t="str">
        <f t="shared" si="166"/>
        <v>49+ Months</v>
      </c>
      <c r="Y2663" s="1" t="str">
        <f t="shared" si="167"/>
        <v>Low</v>
      </c>
    </row>
    <row r="2664" spans="1:25" x14ac:dyDescent="0.2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 t="shared" si="164"/>
        <v>1</v>
      </c>
      <c r="W2664">
        <f t="shared" si="165"/>
        <v>0</v>
      </c>
      <c r="X2664" t="str">
        <f t="shared" si="166"/>
        <v>0-12 Months</v>
      </c>
      <c r="Y2664" s="1" t="str">
        <f t="shared" si="167"/>
        <v>Low</v>
      </c>
    </row>
    <row r="2665" spans="1:25" x14ac:dyDescent="0.2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 t="shared" si="164"/>
        <v>0</v>
      </c>
      <c r="W2665">
        <f t="shared" si="165"/>
        <v>1</v>
      </c>
      <c r="X2665" t="str">
        <f t="shared" si="166"/>
        <v>49+ Months</v>
      </c>
      <c r="Y2665" s="1" t="str">
        <f t="shared" si="167"/>
        <v>High</v>
      </c>
    </row>
    <row r="2666" spans="1:25" x14ac:dyDescent="0.2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 t="shared" si="164"/>
        <v>0</v>
      </c>
      <c r="W2666">
        <f t="shared" si="165"/>
        <v>1</v>
      </c>
      <c r="X2666" t="str">
        <f t="shared" si="166"/>
        <v>49+ Months</v>
      </c>
      <c r="Y2666" s="1" t="str">
        <f t="shared" si="167"/>
        <v>High</v>
      </c>
    </row>
    <row r="2667" spans="1:25" x14ac:dyDescent="0.2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 t="shared" si="164"/>
        <v>0</v>
      </c>
      <c r="W2667">
        <f t="shared" si="165"/>
        <v>1</v>
      </c>
      <c r="X2667" t="str">
        <f t="shared" si="166"/>
        <v>25-48 Months</v>
      </c>
      <c r="Y2667" s="1" t="str">
        <f t="shared" si="167"/>
        <v>High</v>
      </c>
    </row>
    <row r="2668" spans="1:25" x14ac:dyDescent="0.2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 t="shared" si="164"/>
        <v>0</v>
      </c>
      <c r="W2668">
        <f t="shared" si="165"/>
        <v>1</v>
      </c>
      <c r="X2668" t="str">
        <f t="shared" si="166"/>
        <v>49+ Months</v>
      </c>
      <c r="Y2668" s="1" t="str">
        <f t="shared" si="167"/>
        <v>Medium</v>
      </c>
    </row>
    <row r="2669" spans="1:25" x14ac:dyDescent="0.2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 t="shared" si="164"/>
        <v>0</v>
      </c>
      <c r="W2669">
        <f t="shared" si="165"/>
        <v>1</v>
      </c>
      <c r="X2669" t="str">
        <f t="shared" si="166"/>
        <v>49+ Months</v>
      </c>
      <c r="Y2669" s="1" t="str">
        <f t="shared" si="167"/>
        <v>High</v>
      </c>
    </row>
    <row r="2670" spans="1:25" x14ac:dyDescent="0.2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 t="shared" si="164"/>
        <v>1</v>
      </c>
      <c r="W2670">
        <f t="shared" si="165"/>
        <v>0</v>
      </c>
      <c r="X2670" t="str">
        <f t="shared" si="166"/>
        <v>0-12 Months</v>
      </c>
      <c r="Y2670" s="1" t="str">
        <f t="shared" si="167"/>
        <v>Low</v>
      </c>
    </row>
    <row r="2671" spans="1:25" x14ac:dyDescent="0.2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 t="shared" si="164"/>
        <v>1</v>
      </c>
      <c r="W2671">
        <f t="shared" si="165"/>
        <v>0</v>
      </c>
      <c r="X2671" t="str">
        <f t="shared" si="166"/>
        <v>13-24 Months</v>
      </c>
      <c r="Y2671" s="1" t="str">
        <f t="shared" si="167"/>
        <v>High</v>
      </c>
    </row>
    <row r="2672" spans="1:25" x14ac:dyDescent="0.2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 t="shared" si="164"/>
        <v>0</v>
      </c>
      <c r="W2672">
        <f t="shared" si="165"/>
        <v>1</v>
      </c>
      <c r="X2672" t="str">
        <f t="shared" si="166"/>
        <v>49+ Months</v>
      </c>
      <c r="Y2672" s="1" t="str">
        <f t="shared" si="167"/>
        <v>High</v>
      </c>
    </row>
    <row r="2673" spans="1:25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 t="shared" si="164"/>
        <v>0</v>
      </c>
      <c r="W2673">
        <f t="shared" si="165"/>
        <v>1</v>
      </c>
      <c r="X2673" t="str">
        <f t="shared" si="166"/>
        <v>49+ Months</v>
      </c>
      <c r="Y2673" s="1" t="str">
        <f t="shared" si="167"/>
        <v>High</v>
      </c>
    </row>
    <row r="2674" spans="1:25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 t="shared" si="164"/>
        <v>0</v>
      </c>
      <c r="W2674">
        <f t="shared" si="165"/>
        <v>1</v>
      </c>
      <c r="X2674" t="str">
        <f t="shared" si="166"/>
        <v>25-48 Months</v>
      </c>
      <c r="Y2674" s="1" t="str">
        <f t="shared" si="167"/>
        <v>Low</v>
      </c>
    </row>
    <row r="2675" spans="1:25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 t="shared" si="164"/>
        <v>1</v>
      </c>
      <c r="W2675">
        <f t="shared" si="165"/>
        <v>0</v>
      </c>
      <c r="X2675" t="str">
        <f t="shared" si="166"/>
        <v>13-24 Months</v>
      </c>
      <c r="Y2675" s="1" t="str">
        <f t="shared" si="167"/>
        <v>High</v>
      </c>
    </row>
    <row r="2676" spans="1:25" x14ac:dyDescent="0.2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 t="shared" si="164"/>
        <v>0</v>
      </c>
      <c r="W2676">
        <f t="shared" si="165"/>
        <v>1</v>
      </c>
      <c r="X2676" t="str">
        <f t="shared" si="166"/>
        <v>0-12 Months</v>
      </c>
      <c r="Y2676" s="1" t="str">
        <f t="shared" si="167"/>
        <v>Low</v>
      </c>
    </row>
    <row r="2677" spans="1:25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 t="shared" si="164"/>
        <v>0</v>
      </c>
      <c r="W2677">
        <f t="shared" si="165"/>
        <v>1</v>
      </c>
      <c r="X2677" t="str">
        <f t="shared" si="166"/>
        <v>25-48 Months</v>
      </c>
      <c r="Y2677" s="1" t="str">
        <f t="shared" si="167"/>
        <v>Low</v>
      </c>
    </row>
    <row r="2678" spans="1:25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 t="shared" si="164"/>
        <v>0</v>
      </c>
      <c r="W2678">
        <f t="shared" si="165"/>
        <v>1</v>
      </c>
      <c r="X2678" t="str">
        <f t="shared" si="166"/>
        <v>25-48 Months</v>
      </c>
      <c r="Y2678" s="1" t="str">
        <f t="shared" si="167"/>
        <v>Low</v>
      </c>
    </row>
    <row r="2679" spans="1:25" x14ac:dyDescent="0.2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 t="shared" si="164"/>
        <v>1</v>
      </c>
      <c r="W2679">
        <f t="shared" si="165"/>
        <v>0</v>
      </c>
      <c r="X2679" t="str">
        <f t="shared" si="166"/>
        <v>0-12 Months</v>
      </c>
      <c r="Y2679" s="1" t="str">
        <f t="shared" si="167"/>
        <v>Medium</v>
      </c>
    </row>
    <row r="2680" spans="1:25" x14ac:dyDescent="0.2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 t="shared" si="164"/>
        <v>0</v>
      </c>
      <c r="W2680">
        <f t="shared" si="165"/>
        <v>1</v>
      </c>
      <c r="X2680" t="str">
        <f t="shared" si="166"/>
        <v>25-48 Months</v>
      </c>
      <c r="Y2680" s="1" t="str">
        <f t="shared" si="167"/>
        <v>Low</v>
      </c>
    </row>
    <row r="2681" spans="1:25" x14ac:dyDescent="0.2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 t="shared" si="164"/>
        <v>1</v>
      </c>
      <c r="W2681">
        <f t="shared" si="165"/>
        <v>0</v>
      </c>
      <c r="X2681" t="str">
        <f t="shared" si="166"/>
        <v>0-12 Months</v>
      </c>
      <c r="Y2681" s="1" t="str">
        <f t="shared" si="167"/>
        <v>Medium</v>
      </c>
    </row>
    <row r="2682" spans="1:25" x14ac:dyDescent="0.2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 t="shared" si="164"/>
        <v>0</v>
      </c>
      <c r="W2682">
        <f t="shared" si="165"/>
        <v>1</v>
      </c>
      <c r="X2682" t="str">
        <f t="shared" si="166"/>
        <v>49+ Months</v>
      </c>
      <c r="Y2682" s="1" t="str">
        <f t="shared" si="167"/>
        <v>High</v>
      </c>
    </row>
    <row r="2683" spans="1:25" x14ac:dyDescent="0.2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 t="shared" si="164"/>
        <v>0</v>
      </c>
      <c r="W2683">
        <f t="shared" si="165"/>
        <v>1</v>
      </c>
      <c r="X2683" t="str">
        <f t="shared" si="166"/>
        <v>25-48 Months</v>
      </c>
      <c r="Y2683" s="1" t="str">
        <f t="shared" si="167"/>
        <v>Low</v>
      </c>
    </row>
    <row r="2684" spans="1:25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 t="shared" si="164"/>
        <v>1</v>
      </c>
      <c r="W2684">
        <f t="shared" si="165"/>
        <v>0</v>
      </c>
      <c r="X2684" t="str">
        <f t="shared" si="166"/>
        <v>0-12 Months</v>
      </c>
      <c r="Y2684" s="1" t="str">
        <f t="shared" si="167"/>
        <v>Medium</v>
      </c>
    </row>
    <row r="2685" spans="1:25" x14ac:dyDescent="0.2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 t="shared" si="164"/>
        <v>1</v>
      </c>
      <c r="W2685">
        <f t="shared" si="165"/>
        <v>0</v>
      </c>
      <c r="X2685" t="str">
        <f t="shared" si="166"/>
        <v>0-12 Months</v>
      </c>
      <c r="Y2685" s="1" t="str">
        <f t="shared" si="167"/>
        <v>Medium</v>
      </c>
    </row>
    <row r="2686" spans="1:25" x14ac:dyDescent="0.2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 t="shared" si="164"/>
        <v>0</v>
      </c>
      <c r="W2686">
        <f t="shared" si="165"/>
        <v>1</v>
      </c>
      <c r="X2686" t="str">
        <f t="shared" si="166"/>
        <v>49+ Months</v>
      </c>
      <c r="Y2686" s="1" t="str">
        <f t="shared" si="167"/>
        <v>High</v>
      </c>
    </row>
    <row r="2687" spans="1:25" x14ac:dyDescent="0.2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 t="shared" si="164"/>
        <v>0</v>
      </c>
      <c r="W2687">
        <f t="shared" si="165"/>
        <v>1</v>
      </c>
      <c r="X2687" t="str">
        <f t="shared" si="166"/>
        <v>49+ Months</v>
      </c>
      <c r="Y2687" s="1" t="str">
        <f t="shared" si="167"/>
        <v>High</v>
      </c>
    </row>
    <row r="2688" spans="1:25" x14ac:dyDescent="0.2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 t="shared" si="164"/>
        <v>1</v>
      </c>
      <c r="W2688">
        <f t="shared" si="165"/>
        <v>0</v>
      </c>
      <c r="X2688" t="str">
        <f t="shared" si="166"/>
        <v>13-24 Months</v>
      </c>
      <c r="Y2688" s="1" t="str">
        <f t="shared" si="167"/>
        <v>Medium</v>
      </c>
    </row>
    <row r="2689" spans="1:25" x14ac:dyDescent="0.2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 t="shared" si="164"/>
        <v>0</v>
      </c>
      <c r="W2689">
        <f t="shared" si="165"/>
        <v>1</v>
      </c>
      <c r="X2689" t="str">
        <f t="shared" si="166"/>
        <v>25-48 Months</v>
      </c>
      <c r="Y2689" s="1" t="str">
        <f t="shared" si="167"/>
        <v>High</v>
      </c>
    </row>
    <row r="2690" spans="1:25" x14ac:dyDescent="0.2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 t="shared" ref="V2690:V2753" si="168">IF(U2690="Yes",1,0)</f>
        <v>1</v>
      </c>
      <c r="W2690">
        <f t="shared" ref="W2690:W2753" si="169">IF(U2690="No",1,0)</f>
        <v>0</v>
      </c>
      <c r="X2690" t="str">
        <f t="shared" ref="X2690:X2753" si="170">IF(F2690&lt;=12,"0-12 Months",IF(F2690&lt;=24,"13-24 Months",IF(F2690&lt;=48,"25-48 Months","49+ Months")))</f>
        <v>0-12 Months</v>
      </c>
      <c r="Y2690" s="1" t="str">
        <f t="shared" ref="Y2690:Y2753" si="171">IF(S2690&lt;50,"Low",IF(S2690&lt;80,"Medium","High"))</f>
        <v>Medium</v>
      </c>
    </row>
    <row r="2691" spans="1:25" x14ac:dyDescent="0.2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 t="shared" si="168"/>
        <v>0</v>
      </c>
      <c r="W2691">
        <f t="shared" si="169"/>
        <v>1</v>
      </c>
      <c r="X2691" t="str">
        <f t="shared" si="170"/>
        <v>49+ Months</v>
      </c>
      <c r="Y2691" s="1" t="str">
        <f t="shared" si="171"/>
        <v>High</v>
      </c>
    </row>
    <row r="2692" spans="1:25" x14ac:dyDescent="0.2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 t="shared" si="168"/>
        <v>1</v>
      </c>
      <c r="W2692">
        <f t="shared" si="169"/>
        <v>0</v>
      </c>
      <c r="X2692" t="str">
        <f t="shared" si="170"/>
        <v>0-12 Months</v>
      </c>
      <c r="Y2692" s="1" t="str">
        <f t="shared" si="171"/>
        <v>High</v>
      </c>
    </row>
    <row r="2693" spans="1:25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 t="shared" si="168"/>
        <v>0</v>
      </c>
      <c r="W2693">
        <f t="shared" si="169"/>
        <v>1</v>
      </c>
      <c r="X2693" t="str">
        <f t="shared" si="170"/>
        <v>0-12 Months</v>
      </c>
      <c r="Y2693" s="1" t="str">
        <f t="shared" si="171"/>
        <v>Medium</v>
      </c>
    </row>
    <row r="2694" spans="1:25" x14ac:dyDescent="0.2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 t="shared" si="168"/>
        <v>0</v>
      </c>
      <c r="W2694">
        <f t="shared" si="169"/>
        <v>1</v>
      </c>
      <c r="X2694" t="str">
        <f t="shared" si="170"/>
        <v>13-24 Months</v>
      </c>
      <c r="Y2694" s="1" t="str">
        <f t="shared" si="171"/>
        <v>Low</v>
      </c>
    </row>
    <row r="2695" spans="1:25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 t="shared" si="168"/>
        <v>0</v>
      </c>
      <c r="W2695">
        <f t="shared" si="169"/>
        <v>1</v>
      </c>
      <c r="X2695" t="str">
        <f t="shared" si="170"/>
        <v>49+ Months</v>
      </c>
      <c r="Y2695" s="1" t="str">
        <f t="shared" si="171"/>
        <v>Low</v>
      </c>
    </row>
    <row r="2696" spans="1:25" x14ac:dyDescent="0.2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 t="shared" si="168"/>
        <v>0</v>
      </c>
      <c r="W2696">
        <f t="shared" si="169"/>
        <v>1</v>
      </c>
      <c r="X2696" t="str">
        <f t="shared" si="170"/>
        <v>0-12 Months</v>
      </c>
      <c r="Y2696" s="1" t="str">
        <f t="shared" si="171"/>
        <v>Low</v>
      </c>
    </row>
    <row r="2697" spans="1:25" x14ac:dyDescent="0.2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 t="shared" si="168"/>
        <v>0</v>
      </c>
      <c r="W2697">
        <f t="shared" si="169"/>
        <v>1</v>
      </c>
      <c r="X2697" t="str">
        <f t="shared" si="170"/>
        <v>49+ Months</v>
      </c>
      <c r="Y2697" s="1" t="str">
        <f t="shared" si="171"/>
        <v>High</v>
      </c>
    </row>
    <row r="2698" spans="1:25" x14ac:dyDescent="0.2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 t="shared" si="168"/>
        <v>0</v>
      </c>
      <c r="W2698">
        <f t="shared" si="169"/>
        <v>1</v>
      </c>
      <c r="X2698" t="str">
        <f t="shared" si="170"/>
        <v>49+ Months</v>
      </c>
      <c r="Y2698" s="1" t="str">
        <f t="shared" si="171"/>
        <v>Low</v>
      </c>
    </row>
    <row r="2699" spans="1:25" x14ac:dyDescent="0.2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 t="shared" si="168"/>
        <v>0</v>
      </c>
      <c r="W2699">
        <f t="shared" si="169"/>
        <v>1</v>
      </c>
      <c r="X2699" t="str">
        <f t="shared" si="170"/>
        <v>49+ Months</v>
      </c>
      <c r="Y2699" s="1" t="str">
        <f t="shared" si="171"/>
        <v>High</v>
      </c>
    </row>
    <row r="2700" spans="1:25" x14ac:dyDescent="0.2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 t="shared" si="168"/>
        <v>0</v>
      </c>
      <c r="W2700">
        <f t="shared" si="169"/>
        <v>1</v>
      </c>
      <c r="X2700" t="str">
        <f t="shared" si="170"/>
        <v>0-12 Months</v>
      </c>
      <c r="Y2700" s="1" t="str">
        <f t="shared" si="171"/>
        <v>Low</v>
      </c>
    </row>
    <row r="2701" spans="1:25" x14ac:dyDescent="0.2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 t="shared" si="168"/>
        <v>0</v>
      </c>
      <c r="W2701">
        <f t="shared" si="169"/>
        <v>1</v>
      </c>
      <c r="X2701" t="str">
        <f t="shared" si="170"/>
        <v>25-48 Months</v>
      </c>
      <c r="Y2701" s="1" t="str">
        <f t="shared" si="171"/>
        <v>High</v>
      </c>
    </row>
    <row r="2702" spans="1:25" x14ac:dyDescent="0.2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 t="shared" si="168"/>
        <v>0</v>
      </c>
      <c r="W2702">
        <f t="shared" si="169"/>
        <v>1</v>
      </c>
      <c r="X2702" t="str">
        <f t="shared" si="170"/>
        <v>25-48 Months</v>
      </c>
      <c r="Y2702" s="1" t="str">
        <f t="shared" si="171"/>
        <v>Low</v>
      </c>
    </row>
    <row r="2703" spans="1:25" x14ac:dyDescent="0.2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 t="shared" si="168"/>
        <v>0</v>
      </c>
      <c r="W2703">
        <f t="shared" si="169"/>
        <v>1</v>
      </c>
      <c r="X2703" t="str">
        <f t="shared" si="170"/>
        <v>49+ Months</v>
      </c>
      <c r="Y2703" s="1" t="str">
        <f t="shared" si="171"/>
        <v>Low</v>
      </c>
    </row>
    <row r="2704" spans="1:25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 t="shared" si="168"/>
        <v>0</v>
      </c>
      <c r="W2704">
        <f t="shared" si="169"/>
        <v>1</v>
      </c>
      <c r="X2704" t="str">
        <f t="shared" si="170"/>
        <v>0-12 Months</v>
      </c>
      <c r="Y2704" s="1" t="str">
        <f t="shared" si="171"/>
        <v>Low</v>
      </c>
    </row>
    <row r="2705" spans="1:25" x14ac:dyDescent="0.2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 t="shared" si="168"/>
        <v>1</v>
      </c>
      <c r="W2705">
        <f t="shared" si="169"/>
        <v>0</v>
      </c>
      <c r="X2705" t="str">
        <f t="shared" si="170"/>
        <v>0-12 Months</v>
      </c>
      <c r="Y2705" s="1" t="str">
        <f t="shared" si="171"/>
        <v>Medium</v>
      </c>
    </row>
    <row r="2706" spans="1:25" x14ac:dyDescent="0.2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 t="shared" si="168"/>
        <v>0</v>
      </c>
      <c r="W2706">
        <f t="shared" si="169"/>
        <v>1</v>
      </c>
      <c r="X2706" t="str">
        <f t="shared" si="170"/>
        <v>49+ Months</v>
      </c>
      <c r="Y2706" s="1" t="str">
        <f t="shared" si="171"/>
        <v>Medium</v>
      </c>
    </row>
    <row r="2707" spans="1:25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 t="shared" si="168"/>
        <v>0</v>
      </c>
      <c r="W2707">
        <f t="shared" si="169"/>
        <v>1</v>
      </c>
      <c r="X2707" t="str">
        <f t="shared" si="170"/>
        <v>49+ Months</v>
      </c>
      <c r="Y2707" s="1" t="str">
        <f t="shared" si="171"/>
        <v>Low</v>
      </c>
    </row>
    <row r="2708" spans="1:25" x14ac:dyDescent="0.2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 t="shared" si="168"/>
        <v>1</v>
      </c>
      <c r="W2708">
        <f t="shared" si="169"/>
        <v>0</v>
      </c>
      <c r="X2708" t="str">
        <f t="shared" si="170"/>
        <v>0-12 Months</v>
      </c>
      <c r="Y2708" s="1" t="str">
        <f t="shared" si="171"/>
        <v>Medium</v>
      </c>
    </row>
    <row r="2709" spans="1:25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 t="shared" si="168"/>
        <v>1</v>
      </c>
      <c r="W2709">
        <f t="shared" si="169"/>
        <v>0</v>
      </c>
      <c r="X2709" t="str">
        <f t="shared" si="170"/>
        <v>0-12 Months</v>
      </c>
      <c r="Y2709" s="1" t="str">
        <f t="shared" si="171"/>
        <v>High</v>
      </c>
    </row>
    <row r="2710" spans="1:25" x14ac:dyDescent="0.2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 t="shared" si="168"/>
        <v>1</v>
      </c>
      <c r="W2710">
        <f t="shared" si="169"/>
        <v>0</v>
      </c>
      <c r="X2710" t="str">
        <f t="shared" si="170"/>
        <v>13-24 Months</v>
      </c>
      <c r="Y2710" s="1" t="str">
        <f t="shared" si="171"/>
        <v>High</v>
      </c>
    </row>
    <row r="2711" spans="1:25" x14ac:dyDescent="0.2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 t="shared" si="168"/>
        <v>0</v>
      </c>
      <c r="W2711">
        <f t="shared" si="169"/>
        <v>1</v>
      </c>
      <c r="X2711" t="str">
        <f t="shared" si="170"/>
        <v>25-48 Months</v>
      </c>
      <c r="Y2711" s="1" t="str">
        <f t="shared" si="171"/>
        <v>Medium</v>
      </c>
    </row>
    <row r="2712" spans="1:25" x14ac:dyDescent="0.2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 t="shared" si="168"/>
        <v>0</v>
      </c>
      <c r="W2712">
        <f t="shared" si="169"/>
        <v>1</v>
      </c>
      <c r="X2712" t="str">
        <f t="shared" si="170"/>
        <v>13-24 Months</v>
      </c>
      <c r="Y2712" s="1" t="str">
        <f t="shared" si="171"/>
        <v>Low</v>
      </c>
    </row>
    <row r="2713" spans="1:25" x14ac:dyDescent="0.2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 t="shared" si="168"/>
        <v>1</v>
      </c>
      <c r="W2713">
        <f t="shared" si="169"/>
        <v>0</v>
      </c>
      <c r="X2713" t="str">
        <f t="shared" si="170"/>
        <v>25-48 Months</v>
      </c>
      <c r="Y2713" s="1" t="str">
        <f t="shared" si="171"/>
        <v>High</v>
      </c>
    </row>
    <row r="2714" spans="1:25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 t="shared" si="168"/>
        <v>0</v>
      </c>
      <c r="W2714">
        <f t="shared" si="169"/>
        <v>1</v>
      </c>
      <c r="X2714" t="str">
        <f t="shared" si="170"/>
        <v>0-12 Months</v>
      </c>
      <c r="Y2714" s="1" t="str">
        <f t="shared" si="171"/>
        <v>Low</v>
      </c>
    </row>
    <row r="2715" spans="1:25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 t="shared" si="168"/>
        <v>0</v>
      </c>
      <c r="W2715">
        <f t="shared" si="169"/>
        <v>1</v>
      </c>
      <c r="X2715" t="str">
        <f t="shared" si="170"/>
        <v>0-12 Months</v>
      </c>
      <c r="Y2715" s="1" t="str">
        <f t="shared" si="171"/>
        <v>Low</v>
      </c>
    </row>
    <row r="2716" spans="1:25" x14ac:dyDescent="0.2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 t="shared" si="168"/>
        <v>0</v>
      </c>
      <c r="W2716">
        <f t="shared" si="169"/>
        <v>1</v>
      </c>
      <c r="X2716" t="str">
        <f t="shared" si="170"/>
        <v>49+ Months</v>
      </c>
      <c r="Y2716" s="1" t="str">
        <f t="shared" si="171"/>
        <v>High</v>
      </c>
    </row>
    <row r="2717" spans="1:25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 t="shared" si="168"/>
        <v>0</v>
      </c>
      <c r="W2717">
        <f t="shared" si="169"/>
        <v>1</v>
      </c>
      <c r="X2717" t="str">
        <f t="shared" si="170"/>
        <v>25-48 Months</v>
      </c>
      <c r="Y2717" s="1" t="str">
        <f t="shared" si="171"/>
        <v>Low</v>
      </c>
    </row>
    <row r="2718" spans="1:25" x14ac:dyDescent="0.2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 t="shared" si="168"/>
        <v>0</v>
      </c>
      <c r="W2718">
        <f t="shared" si="169"/>
        <v>1</v>
      </c>
      <c r="X2718" t="str">
        <f t="shared" si="170"/>
        <v>13-24 Months</v>
      </c>
      <c r="Y2718" s="1" t="str">
        <f t="shared" si="171"/>
        <v>Low</v>
      </c>
    </row>
    <row r="2719" spans="1:25" x14ac:dyDescent="0.2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 t="shared" si="168"/>
        <v>0</v>
      </c>
      <c r="W2719">
        <f t="shared" si="169"/>
        <v>1</v>
      </c>
      <c r="X2719" t="str">
        <f t="shared" si="170"/>
        <v>49+ Months</v>
      </c>
      <c r="Y2719" s="1" t="str">
        <f t="shared" si="171"/>
        <v>High</v>
      </c>
    </row>
    <row r="2720" spans="1:25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 t="shared" si="168"/>
        <v>0</v>
      </c>
      <c r="W2720">
        <f t="shared" si="169"/>
        <v>1</v>
      </c>
      <c r="X2720" t="str">
        <f t="shared" si="170"/>
        <v>49+ Months</v>
      </c>
      <c r="Y2720" s="1" t="str">
        <f t="shared" si="171"/>
        <v>Low</v>
      </c>
    </row>
    <row r="2721" spans="1:25" x14ac:dyDescent="0.2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 t="shared" si="168"/>
        <v>0</v>
      </c>
      <c r="W2721">
        <f t="shared" si="169"/>
        <v>1</v>
      </c>
      <c r="X2721" t="str">
        <f t="shared" si="170"/>
        <v>49+ Months</v>
      </c>
      <c r="Y2721" s="1" t="str">
        <f t="shared" si="171"/>
        <v>Medium</v>
      </c>
    </row>
    <row r="2722" spans="1:25" x14ac:dyDescent="0.2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 t="shared" si="168"/>
        <v>1</v>
      </c>
      <c r="W2722">
        <f t="shared" si="169"/>
        <v>0</v>
      </c>
      <c r="X2722" t="str">
        <f t="shared" si="170"/>
        <v>13-24 Months</v>
      </c>
      <c r="Y2722" s="1" t="str">
        <f t="shared" si="171"/>
        <v>Medium</v>
      </c>
    </row>
    <row r="2723" spans="1:25" x14ac:dyDescent="0.2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 t="shared" si="168"/>
        <v>1</v>
      </c>
      <c r="W2723">
        <f t="shared" si="169"/>
        <v>0</v>
      </c>
      <c r="X2723" t="str">
        <f t="shared" si="170"/>
        <v>0-12 Months</v>
      </c>
      <c r="Y2723" s="1" t="str">
        <f t="shared" si="171"/>
        <v>Medium</v>
      </c>
    </row>
    <row r="2724" spans="1:25" x14ac:dyDescent="0.2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 t="shared" si="168"/>
        <v>0</v>
      </c>
      <c r="W2724">
        <f t="shared" si="169"/>
        <v>1</v>
      </c>
      <c r="X2724" t="str">
        <f t="shared" si="170"/>
        <v>25-48 Months</v>
      </c>
      <c r="Y2724" s="1" t="str">
        <f t="shared" si="171"/>
        <v>Low</v>
      </c>
    </row>
    <row r="2725" spans="1:25" x14ac:dyDescent="0.2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 t="shared" si="168"/>
        <v>0</v>
      </c>
      <c r="W2725">
        <f t="shared" si="169"/>
        <v>1</v>
      </c>
      <c r="X2725" t="str">
        <f t="shared" si="170"/>
        <v>13-24 Months</v>
      </c>
      <c r="Y2725" s="1" t="str">
        <f t="shared" si="171"/>
        <v>Low</v>
      </c>
    </row>
    <row r="2726" spans="1:25" x14ac:dyDescent="0.2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 t="shared" si="168"/>
        <v>0</v>
      </c>
      <c r="W2726">
        <f t="shared" si="169"/>
        <v>1</v>
      </c>
      <c r="X2726" t="str">
        <f t="shared" si="170"/>
        <v>49+ Months</v>
      </c>
      <c r="Y2726" s="1" t="str">
        <f t="shared" si="171"/>
        <v>Low</v>
      </c>
    </row>
    <row r="2727" spans="1:25" x14ac:dyDescent="0.2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 t="shared" si="168"/>
        <v>0</v>
      </c>
      <c r="W2727">
        <f t="shared" si="169"/>
        <v>1</v>
      </c>
      <c r="X2727" t="str">
        <f t="shared" si="170"/>
        <v>0-12 Months</v>
      </c>
      <c r="Y2727" s="1" t="str">
        <f t="shared" si="171"/>
        <v>Low</v>
      </c>
    </row>
    <row r="2728" spans="1:25" x14ac:dyDescent="0.2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 t="shared" si="168"/>
        <v>0</v>
      </c>
      <c r="W2728">
        <f t="shared" si="169"/>
        <v>1</v>
      </c>
      <c r="X2728" t="str">
        <f t="shared" si="170"/>
        <v>25-48 Months</v>
      </c>
      <c r="Y2728" s="1" t="str">
        <f t="shared" si="171"/>
        <v>Low</v>
      </c>
    </row>
    <row r="2729" spans="1:25" x14ac:dyDescent="0.2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 t="shared" si="168"/>
        <v>1</v>
      </c>
      <c r="W2729">
        <f t="shared" si="169"/>
        <v>0</v>
      </c>
      <c r="X2729" t="str">
        <f t="shared" si="170"/>
        <v>0-12 Months</v>
      </c>
      <c r="Y2729" s="1" t="str">
        <f t="shared" si="171"/>
        <v>High</v>
      </c>
    </row>
    <row r="2730" spans="1:25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 t="shared" si="168"/>
        <v>0</v>
      </c>
      <c r="W2730">
        <f t="shared" si="169"/>
        <v>1</v>
      </c>
      <c r="X2730" t="str">
        <f t="shared" si="170"/>
        <v>25-48 Months</v>
      </c>
      <c r="Y2730" s="1" t="str">
        <f t="shared" si="171"/>
        <v>Medium</v>
      </c>
    </row>
    <row r="2731" spans="1:25" x14ac:dyDescent="0.2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 t="shared" si="168"/>
        <v>1</v>
      </c>
      <c r="W2731">
        <f t="shared" si="169"/>
        <v>0</v>
      </c>
      <c r="X2731" t="str">
        <f t="shared" si="170"/>
        <v>0-12 Months</v>
      </c>
      <c r="Y2731" s="1" t="str">
        <f t="shared" si="171"/>
        <v>High</v>
      </c>
    </row>
    <row r="2732" spans="1:25" x14ac:dyDescent="0.2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 t="shared" si="168"/>
        <v>0</v>
      </c>
      <c r="W2732">
        <f t="shared" si="169"/>
        <v>1</v>
      </c>
      <c r="X2732" t="str">
        <f t="shared" si="170"/>
        <v>49+ Months</v>
      </c>
      <c r="Y2732" s="1" t="str">
        <f t="shared" si="171"/>
        <v>High</v>
      </c>
    </row>
    <row r="2733" spans="1:25" x14ac:dyDescent="0.2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 t="shared" si="168"/>
        <v>0</v>
      </c>
      <c r="W2733">
        <f t="shared" si="169"/>
        <v>1</v>
      </c>
      <c r="X2733" t="str">
        <f t="shared" si="170"/>
        <v>49+ Months</v>
      </c>
      <c r="Y2733" s="1" t="str">
        <f t="shared" si="171"/>
        <v>High</v>
      </c>
    </row>
    <row r="2734" spans="1:25" x14ac:dyDescent="0.2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 t="shared" si="168"/>
        <v>0</v>
      </c>
      <c r="W2734">
        <f t="shared" si="169"/>
        <v>1</v>
      </c>
      <c r="X2734" t="str">
        <f t="shared" si="170"/>
        <v>0-12 Months</v>
      </c>
      <c r="Y2734" s="1" t="str">
        <f t="shared" si="171"/>
        <v>Low</v>
      </c>
    </row>
    <row r="2735" spans="1:25" x14ac:dyDescent="0.2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 t="shared" si="168"/>
        <v>0</v>
      </c>
      <c r="W2735">
        <f t="shared" si="169"/>
        <v>1</v>
      </c>
      <c r="X2735" t="str">
        <f t="shared" si="170"/>
        <v>0-12 Months</v>
      </c>
      <c r="Y2735" s="1" t="str">
        <f t="shared" si="171"/>
        <v>Medium</v>
      </c>
    </row>
    <row r="2736" spans="1:25" x14ac:dyDescent="0.2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 t="shared" si="168"/>
        <v>0</v>
      </c>
      <c r="W2736">
        <f t="shared" si="169"/>
        <v>1</v>
      </c>
      <c r="X2736" t="str">
        <f t="shared" si="170"/>
        <v>0-12 Months</v>
      </c>
      <c r="Y2736" s="1" t="str">
        <f t="shared" si="171"/>
        <v>Low</v>
      </c>
    </row>
    <row r="2737" spans="1:25" x14ac:dyDescent="0.2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 t="shared" si="168"/>
        <v>0</v>
      </c>
      <c r="W2737">
        <f t="shared" si="169"/>
        <v>1</v>
      </c>
      <c r="X2737" t="str">
        <f t="shared" si="170"/>
        <v>49+ Months</v>
      </c>
      <c r="Y2737" s="1" t="str">
        <f t="shared" si="171"/>
        <v>Medium</v>
      </c>
    </row>
    <row r="2738" spans="1:25" x14ac:dyDescent="0.2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 t="shared" si="168"/>
        <v>0</v>
      </c>
      <c r="W2738">
        <f t="shared" si="169"/>
        <v>1</v>
      </c>
      <c r="X2738" t="str">
        <f t="shared" si="170"/>
        <v>49+ Months</v>
      </c>
      <c r="Y2738" s="1" t="str">
        <f t="shared" si="171"/>
        <v>High</v>
      </c>
    </row>
    <row r="2739" spans="1:25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 t="shared" si="168"/>
        <v>0</v>
      </c>
      <c r="W2739">
        <f t="shared" si="169"/>
        <v>1</v>
      </c>
      <c r="X2739" t="str">
        <f t="shared" si="170"/>
        <v>49+ Months</v>
      </c>
      <c r="Y2739" s="1" t="str">
        <f t="shared" si="171"/>
        <v>High</v>
      </c>
    </row>
    <row r="2740" spans="1:25" x14ac:dyDescent="0.2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 t="shared" si="168"/>
        <v>0</v>
      </c>
      <c r="W2740">
        <f t="shared" si="169"/>
        <v>1</v>
      </c>
      <c r="X2740" t="str">
        <f t="shared" si="170"/>
        <v>25-48 Months</v>
      </c>
      <c r="Y2740" s="1" t="str">
        <f t="shared" si="171"/>
        <v>Medium</v>
      </c>
    </row>
    <row r="2741" spans="1:25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 t="shared" si="168"/>
        <v>0</v>
      </c>
      <c r="W2741">
        <f t="shared" si="169"/>
        <v>1</v>
      </c>
      <c r="X2741" t="str">
        <f t="shared" si="170"/>
        <v>49+ Months</v>
      </c>
      <c r="Y2741" s="1" t="str">
        <f t="shared" si="171"/>
        <v>High</v>
      </c>
    </row>
    <row r="2742" spans="1:25" x14ac:dyDescent="0.2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 t="shared" si="168"/>
        <v>1</v>
      </c>
      <c r="W2742">
        <f t="shared" si="169"/>
        <v>0</v>
      </c>
      <c r="X2742" t="str">
        <f t="shared" si="170"/>
        <v>0-12 Months</v>
      </c>
      <c r="Y2742" s="1" t="str">
        <f t="shared" si="171"/>
        <v>Low</v>
      </c>
    </row>
    <row r="2743" spans="1:25" x14ac:dyDescent="0.2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 t="shared" si="168"/>
        <v>1</v>
      </c>
      <c r="W2743">
        <f t="shared" si="169"/>
        <v>0</v>
      </c>
      <c r="X2743" t="str">
        <f t="shared" si="170"/>
        <v>0-12 Months</v>
      </c>
      <c r="Y2743" s="1" t="str">
        <f t="shared" si="171"/>
        <v>High</v>
      </c>
    </row>
    <row r="2744" spans="1:25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 t="shared" si="168"/>
        <v>0</v>
      </c>
      <c r="W2744">
        <f t="shared" si="169"/>
        <v>1</v>
      </c>
      <c r="X2744" t="str">
        <f t="shared" si="170"/>
        <v>49+ Months</v>
      </c>
      <c r="Y2744" s="1" t="str">
        <f t="shared" si="171"/>
        <v>Medium</v>
      </c>
    </row>
    <row r="2745" spans="1:25" x14ac:dyDescent="0.2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 t="shared" si="168"/>
        <v>0</v>
      </c>
      <c r="W2745">
        <f t="shared" si="169"/>
        <v>1</v>
      </c>
      <c r="X2745" t="str">
        <f t="shared" si="170"/>
        <v>49+ Months</v>
      </c>
      <c r="Y2745" s="1" t="str">
        <f t="shared" si="171"/>
        <v>High</v>
      </c>
    </row>
    <row r="2746" spans="1:25" x14ac:dyDescent="0.2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 t="shared" si="168"/>
        <v>0</v>
      </c>
      <c r="W2746">
        <f t="shared" si="169"/>
        <v>1</v>
      </c>
      <c r="X2746" t="str">
        <f t="shared" si="170"/>
        <v>25-48 Months</v>
      </c>
      <c r="Y2746" s="1" t="str">
        <f t="shared" si="171"/>
        <v>High</v>
      </c>
    </row>
    <row r="2747" spans="1:25" x14ac:dyDescent="0.2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 t="shared" si="168"/>
        <v>1</v>
      </c>
      <c r="W2747">
        <f t="shared" si="169"/>
        <v>0</v>
      </c>
      <c r="X2747" t="str">
        <f t="shared" si="170"/>
        <v>0-12 Months</v>
      </c>
      <c r="Y2747" s="1" t="str">
        <f t="shared" si="171"/>
        <v>High</v>
      </c>
    </row>
    <row r="2748" spans="1:25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 t="shared" si="168"/>
        <v>0</v>
      </c>
      <c r="W2748">
        <f t="shared" si="169"/>
        <v>1</v>
      </c>
      <c r="X2748" t="str">
        <f t="shared" si="170"/>
        <v>25-48 Months</v>
      </c>
      <c r="Y2748" s="1" t="str">
        <f t="shared" si="171"/>
        <v>Low</v>
      </c>
    </row>
    <row r="2749" spans="1:25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 t="shared" si="168"/>
        <v>0</v>
      </c>
      <c r="W2749">
        <f t="shared" si="169"/>
        <v>1</v>
      </c>
      <c r="X2749" t="str">
        <f t="shared" si="170"/>
        <v>0-12 Months</v>
      </c>
      <c r="Y2749" s="1" t="str">
        <f t="shared" si="171"/>
        <v>Low</v>
      </c>
    </row>
    <row r="2750" spans="1:25" x14ac:dyDescent="0.2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 t="shared" si="168"/>
        <v>1</v>
      </c>
      <c r="W2750">
        <f t="shared" si="169"/>
        <v>0</v>
      </c>
      <c r="X2750" t="str">
        <f t="shared" si="170"/>
        <v>0-12 Months</v>
      </c>
      <c r="Y2750" s="1" t="str">
        <f t="shared" si="171"/>
        <v>Low</v>
      </c>
    </row>
    <row r="2751" spans="1:25" x14ac:dyDescent="0.2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 t="shared" si="168"/>
        <v>0</v>
      </c>
      <c r="W2751">
        <f t="shared" si="169"/>
        <v>1</v>
      </c>
      <c r="X2751" t="str">
        <f t="shared" si="170"/>
        <v>25-48 Months</v>
      </c>
      <c r="Y2751" s="1" t="str">
        <f t="shared" si="171"/>
        <v>Medium</v>
      </c>
    </row>
    <row r="2752" spans="1:25" x14ac:dyDescent="0.2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 t="shared" si="168"/>
        <v>0</v>
      </c>
      <c r="W2752">
        <f t="shared" si="169"/>
        <v>1</v>
      </c>
      <c r="X2752" t="str">
        <f t="shared" si="170"/>
        <v>0-12 Months</v>
      </c>
      <c r="Y2752" s="1" t="str">
        <f t="shared" si="171"/>
        <v>Low</v>
      </c>
    </row>
    <row r="2753" spans="1:25" x14ac:dyDescent="0.2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 t="shared" si="168"/>
        <v>0</v>
      </c>
      <c r="W2753">
        <f t="shared" si="169"/>
        <v>1</v>
      </c>
      <c r="X2753" t="str">
        <f t="shared" si="170"/>
        <v>13-24 Months</v>
      </c>
      <c r="Y2753" s="1" t="str">
        <f t="shared" si="171"/>
        <v>Low</v>
      </c>
    </row>
    <row r="2754" spans="1:25" x14ac:dyDescent="0.2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 t="shared" ref="V2754:V2817" si="172">IF(U2754="Yes",1,0)</f>
        <v>1</v>
      </c>
      <c r="W2754">
        <f t="shared" ref="W2754:W2817" si="173">IF(U2754="No",1,0)</f>
        <v>0</v>
      </c>
      <c r="X2754" t="str">
        <f t="shared" ref="X2754:X2817" si="174">IF(F2754&lt;=12,"0-12 Months",IF(F2754&lt;=24,"13-24 Months",IF(F2754&lt;=48,"25-48 Months","49+ Months")))</f>
        <v>25-48 Months</v>
      </c>
      <c r="Y2754" s="1" t="str">
        <f t="shared" ref="Y2754:Y2817" si="175">IF(S2754&lt;50,"Low",IF(S2754&lt;80,"Medium","High"))</f>
        <v>Low</v>
      </c>
    </row>
    <row r="2755" spans="1:25" x14ac:dyDescent="0.2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 t="shared" si="172"/>
        <v>1</v>
      </c>
      <c r="W2755">
        <f t="shared" si="173"/>
        <v>0</v>
      </c>
      <c r="X2755" t="str">
        <f t="shared" si="174"/>
        <v>0-12 Months</v>
      </c>
      <c r="Y2755" s="1" t="str">
        <f t="shared" si="175"/>
        <v>High</v>
      </c>
    </row>
    <row r="2756" spans="1:25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 t="shared" si="172"/>
        <v>0</v>
      </c>
      <c r="W2756">
        <f t="shared" si="173"/>
        <v>1</v>
      </c>
      <c r="X2756" t="str">
        <f t="shared" si="174"/>
        <v>0-12 Months</v>
      </c>
      <c r="Y2756" s="1" t="str">
        <f t="shared" si="175"/>
        <v>Low</v>
      </c>
    </row>
    <row r="2757" spans="1:25" x14ac:dyDescent="0.2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 t="shared" si="172"/>
        <v>0</v>
      </c>
      <c r="W2757">
        <f t="shared" si="173"/>
        <v>1</v>
      </c>
      <c r="X2757" t="str">
        <f t="shared" si="174"/>
        <v>25-48 Months</v>
      </c>
      <c r="Y2757" s="1" t="str">
        <f t="shared" si="175"/>
        <v>Low</v>
      </c>
    </row>
    <row r="2758" spans="1:25" x14ac:dyDescent="0.2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 t="shared" si="172"/>
        <v>1</v>
      </c>
      <c r="W2758">
        <f t="shared" si="173"/>
        <v>0</v>
      </c>
      <c r="X2758" t="str">
        <f t="shared" si="174"/>
        <v>0-12 Months</v>
      </c>
      <c r="Y2758" s="1" t="str">
        <f t="shared" si="175"/>
        <v>Low</v>
      </c>
    </row>
    <row r="2759" spans="1:25" x14ac:dyDescent="0.2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 t="shared" si="172"/>
        <v>0</v>
      </c>
      <c r="W2759">
        <f t="shared" si="173"/>
        <v>1</v>
      </c>
      <c r="X2759" t="str">
        <f t="shared" si="174"/>
        <v>49+ Months</v>
      </c>
      <c r="Y2759" s="1" t="str">
        <f t="shared" si="175"/>
        <v>High</v>
      </c>
    </row>
    <row r="2760" spans="1:25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 t="shared" si="172"/>
        <v>0</v>
      </c>
      <c r="W2760">
        <f t="shared" si="173"/>
        <v>1</v>
      </c>
      <c r="X2760" t="str">
        <f t="shared" si="174"/>
        <v>0-12 Months</v>
      </c>
      <c r="Y2760" s="1" t="str">
        <f t="shared" si="175"/>
        <v>Low</v>
      </c>
    </row>
    <row r="2761" spans="1:25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 t="shared" si="172"/>
        <v>0</v>
      </c>
      <c r="W2761">
        <f t="shared" si="173"/>
        <v>1</v>
      </c>
      <c r="X2761" t="str">
        <f t="shared" si="174"/>
        <v>0-12 Months</v>
      </c>
      <c r="Y2761" s="1" t="str">
        <f t="shared" si="175"/>
        <v>Low</v>
      </c>
    </row>
    <row r="2762" spans="1:25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 t="shared" si="172"/>
        <v>0</v>
      </c>
      <c r="W2762">
        <f t="shared" si="173"/>
        <v>1</v>
      </c>
      <c r="X2762" t="str">
        <f t="shared" si="174"/>
        <v>25-48 Months</v>
      </c>
      <c r="Y2762" s="1" t="str">
        <f t="shared" si="175"/>
        <v>Low</v>
      </c>
    </row>
    <row r="2763" spans="1:25" x14ac:dyDescent="0.2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 t="shared" si="172"/>
        <v>1</v>
      </c>
      <c r="W2763">
        <f t="shared" si="173"/>
        <v>0</v>
      </c>
      <c r="X2763" t="str">
        <f t="shared" si="174"/>
        <v>0-12 Months</v>
      </c>
      <c r="Y2763" s="1" t="str">
        <f t="shared" si="175"/>
        <v>Low</v>
      </c>
    </row>
    <row r="2764" spans="1:25" x14ac:dyDescent="0.2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 t="shared" si="172"/>
        <v>0</v>
      </c>
      <c r="W2764">
        <f t="shared" si="173"/>
        <v>1</v>
      </c>
      <c r="X2764" t="str">
        <f t="shared" si="174"/>
        <v>25-48 Months</v>
      </c>
      <c r="Y2764" s="1" t="str">
        <f t="shared" si="175"/>
        <v>High</v>
      </c>
    </row>
    <row r="2765" spans="1:25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 t="shared" si="172"/>
        <v>0</v>
      </c>
      <c r="W2765">
        <f t="shared" si="173"/>
        <v>1</v>
      </c>
      <c r="X2765" t="str">
        <f t="shared" si="174"/>
        <v>49+ Months</v>
      </c>
      <c r="Y2765" s="1" t="str">
        <f t="shared" si="175"/>
        <v>High</v>
      </c>
    </row>
    <row r="2766" spans="1:25" x14ac:dyDescent="0.2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 t="shared" si="172"/>
        <v>0</v>
      </c>
      <c r="W2766">
        <f t="shared" si="173"/>
        <v>1</v>
      </c>
      <c r="X2766" t="str">
        <f t="shared" si="174"/>
        <v>25-48 Months</v>
      </c>
      <c r="Y2766" s="1" t="str">
        <f t="shared" si="175"/>
        <v>Medium</v>
      </c>
    </row>
    <row r="2767" spans="1:25" x14ac:dyDescent="0.2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 t="shared" si="172"/>
        <v>0</v>
      </c>
      <c r="W2767">
        <f t="shared" si="173"/>
        <v>1</v>
      </c>
      <c r="X2767" t="str">
        <f t="shared" si="174"/>
        <v>13-24 Months</v>
      </c>
      <c r="Y2767" s="1" t="str">
        <f t="shared" si="175"/>
        <v>Medium</v>
      </c>
    </row>
    <row r="2768" spans="1:25" x14ac:dyDescent="0.2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 t="shared" si="172"/>
        <v>0</v>
      </c>
      <c r="W2768">
        <f t="shared" si="173"/>
        <v>1</v>
      </c>
      <c r="X2768" t="str">
        <f t="shared" si="174"/>
        <v>49+ Months</v>
      </c>
      <c r="Y2768" s="1" t="str">
        <f t="shared" si="175"/>
        <v>High</v>
      </c>
    </row>
    <row r="2769" spans="1:25" x14ac:dyDescent="0.2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 t="shared" si="172"/>
        <v>0</v>
      </c>
      <c r="W2769">
        <f t="shared" si="173"/>
        <v>1</v>
      </c>
      <c r="X2769" t="str">
        <f t="shared" si="174"/>
        <v>25-48 Months</v>
      </c>
      <c r="Y2769" s="1" t="str">
        <f t="shared" si="175"/>
        <v>High</v>
      </c>
    </row>
    <row r="2770" spans="1:25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 t="shared" si="172"/>
        <v>0</v>
      </c>
      <c r="W2770">
        <f t="shared" si="173"/>
        <v>1</v>
      </c>
      <c r="X2770" t="str">
        <f t="shared" si="174"/>
        <v>0-12 Months</v>
      </c>
      <c r="Y2770" s="1" t="str">
        <f t="shared" si="175"/>
        <v>Low</v>
      </c>
    </row>
    <row r="2771" spans="1:25" x14ac:dyDescent="0.2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 t="shared" si="172"/>
        <v>1</v>
      </c>
      <c r="W2771">
        <f t="shared" si="173"/>
        <v>0</v>
      </c>
      <c r="X2771" t="str">
        <f t="shared" si="174"/>
        <v>13-24 Months</v>
      </c>
      <c r="Y2771" s="1" t="str">
        <f t="shared" si="175"/>
        <v>Low</v>
      </c>
    </row>
    <row r="2772" spans="1:25" x14ac:dyDescent="0.2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 t="shared" si="172"/>
        <v>1</v>
      </c>
      <c r="W2772">
        <f t="shared" si="173"/>
        <v>0</v>
      </c>
      <c r="X2772" t="str">
        <f t="shared" si="174"/>
        <v>13-24 Months</v>
      </c>
      <c r="Y2772" s="1" t="str">
        <f t="shared" si="175"/>
        <v>High</v>
      </c>
    </row>
    <row r="2773" spans="1:25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 t="shared" si="172"/>
        <v>0</v>
      </c>
      <c r="W2773">
        <f t="shared" si="173"/>
        <v>1</v>
      </c>
      <c r="X2773" t="str">
        <f t="shared" si="174"/>
        <v>13-24 Months</v>
      </c>
      <c r="Y2773" s="1" t="str">
        <f t="shared" si="175"/>
        <v>Medium</v>
      </c>
    </row>
    <row r="2774" spans="1:25" x14ac:dyDescent="0.2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 t="shared" si="172"/>
        <v>0</v>
      </c>
      <c r="W2774">
        <f t="shared" si="173"/>
        <v>1</v>
      </c>
      <c r="X2774" t="str">
        <f t="shared" si="174"/>
        <v>49+ Months</v>
      </c>
      <c r="Y2774" s="1" t="str">
        <f t="shared" si="175"/>
        <v>Medium</v>
      </c>
    </row>
    <row r="2775" spans="1:25" x14ac:dyDescent="0.2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 t="shared" si="172"/>
        <v>0</v>
      </c>
      <c r="W2775">
        <f t="shared" si="173"/>
        <v>1</v>
      </c>
      <c r="X2775" t="str">
        <f t="shared" si="174"/>
        <v>13-24 Months</v>
      </c>
      <c r="Y2775" s="1" t="str">
        <f t="shared" si="175"/>
        <v>Low</v>
      </c>
    </row>
    <row r="2776" spans="1:25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 t="shared" si="172"/>
        <v>0</v>
      </c>
      <c r="W2776">
        <f t="shared" si="173"/>
        <v>1</v>
      </c>
      <c r="X2776" t="str">
        <f t="shared" si="174"/>
        <v>0-12 Months</v>
      </c>
      <c r="Y2776" s="1" t="str">
        <f t="shared" si="175"/>
        <v>Medium</v>
      </c>
    </row>
    <row r="2777" spans="1:25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 t="shared" si="172"/>
        <v>1</v>
      </c>
      <c r="W2777">
        <f t="shared" si="173"/>
        <v>0</v>
      </c>
      <c r="X2777" t="str">
        <f t="shared" si="174"/>
        <v>49+ Months</v>
      </c>
      <c r="Y2777" s="1" t="str">
        <f t="shared" si="175"/>
        <v>Medium</v>
      </c>
    </row>
    <row r="2778" spans="1:25" x14ac:dyDescent="0.2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 t="shared" si="172"/>
        <v>1</v>
      </c>
      <c r="W2778">
        <f t="shared" si="173"/>
        <v>0</v>
      </c>
      <c r="X2778" t="str">
        <f t="shared" si="174"/>
        <v>13-24 Months</v>
      </c>
      <c r="Y2778" s="1" t="str">
        <f t="shared" si="175"/>
        <v>Medium</v>
      </c>
    </row>
    <row r="2779" spans="1:25" x14ac:dyDescent="0.2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 t="shared" si="172"/>
        <v>0</v>
      </c>
      <c r="W2779">
        <f t="shared" si="173"/>
        <v>1</v>
      </c>
      <c r="X2779" t="str">
        <f t="shared" si="174"/>
        <v>0-12 Months</v>
      </c>
      <c r="Y2779" s="1" t="str">
        <f t="shared" si="175"/>
        <v>Low</v>
      </c>
    </row>
    <row r="2780" spans="1:25" x14ac:dyDescent="0.2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 t="shared" si="172"/>
        <v>0</v>
      </c>
      <c r="W2780">
        <f t="shared" si="173"/>
        <v>1</v>
      </c>
      <c r="X2780" t="str">
        <f t="shared" si="174"/>
        <v>13-24 Months</v>
      </c>
      <c r="Y2780" s="1" t="str">
        <f t="shared" si="175"/>
        <v>Medium</v>
      </c>
    </row>
    <row r="2781" spans="1:25" x14ac:dyDescent="0.2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 t="shared" si="172"/>
        <v>1</v>
      </c>
      <c r="W2781">
        <f t="shared" si="173"/>
        <v>0</v>
      </c>
      <c r="X2781" t="str">
        <f t="shared" si="174"/>
        <v>0-12 Months</v>
      </c>
      <c r="Y2781" s="1" t="str">
        <f t="shared" si="175"/>
        <v>High</v>
      </c>
    </row>
    <row r="2782" spans="1:25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 t="shared" si="172"/>
        <v>1</v>
      </c>
      <c r="W2782">
        <f t="shared" si="173"/>
        <v>0</v>
      </c>
      <c r="X2782" t="str">
        <f t="shared" si="174"/>
        <v>25-48 Months</v>
      </c>
      <c r="Y2782" s="1" t="str">
        <f t="shared" si="175"/>
        <v>Medium</v>
      </c>
    </row>
    <row r="2783" spans="1:25" x14ac:dyDescent="0.2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 t="shared" si="172"/>
        <v>0</v>
      </c>
      <c r="W2783">
        <f t="shared" si="173"/>
        <v>1</v>
      </c>
      <c r="X2783" t="str">
        <f t="shared" si="174"/>
        <v>0-12 Months</v>
      </c>
      <c r="Y2783" s="1" t="str">
        <f t="shared" si="175"/>
        <v>Low</v>
      </c>
    </row>
    <row r="2784" spans="1:25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 t="shared" si="172"/>
        <v>0</v>
      </c>
      <c r="W2784">
        <f t="shared" si="173"/>
        <v>1</v>
      </c>
      <c r="X2784" t="str">
        <f t="shared" si="174"/>
        <v>25-48 Months</v>
      </c>
      <c r="Y2784" s="1" t="str">
        <f t="shared" si="175"/>
        <v>High</v>
      </c>
    </row>
    <row r="2785" spans="1:25" x14ac:dyDescent="0.2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 t="shared" si="172"/>
        <v>0</v>
      </c>
      <c r="W2785">
        <f t="shared" si="173"/>
        <v>1</v>
      </c>
      <c r="X2785" t="str">
        <f t="shared" si="174"/>
        <v>25-48 Months</v>
      </c>
      <c r="Y2785" s="1" t="str">
        <f t="shared" si="175"/>
        <v>High</v>
      </c>
    </row>
    <row r="2786" spans="1:25" x14ac:dyDescent="0.2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 t="shared" si="172"/>
        <v>1</v>
      </c>
      <c r="W2786">
        <f t="shared" si="173"/>
        <v>0</v>
      </c>
      <c r="X2786" t="str">
        <f t="shared" si="174"/>
        <v>0-12 Months</v>
      </c>
      <c r="Y2786" s="1" t="str">
        <f t="shared" si="175"/>
        <v>High</v>
      </c>
    </row>
    <row r="2787" spans="1:25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 t="shared" si="172"/>
        <v>0</v>
      </c>
      <c r="W2787">
        <f t="shared" si="173"/>
        <v>1</v>
      </c>
      <c r="X2787" t="str">
        <f t="shared" si="174"/>
        <v>25-48 Months</v>
      </c>
      <c r="Y2787" s="1" t="str">
        <f t="shared" si="175"/>
        <v>High</v>
      </c>
    </row>
    <row r="2788" spans="1:25" x14ac:dyDescent="0.2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 t="shared" si="172"/>
        <v>0</v>
      </c>
      <c r="W2788">
        <f t="shared" si="173"/>
        <v>1</v>
      </c>
      <c r="X2788" t="str">
        <f t="shared" si="174"/>
        <v>25-48 Months</v>
      </c>
      <c r="Y2788" s="1" t="str">
        <f t="shared" si="175"/>
        <v>Medium</v>
      </c>
    </row>
    <row r="2789" spans="1:25" x14ac:dyDescent="0.2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 t="shared" si="172"/>
        <v>0</v>
      </c>
      <c r="W2789">
        <f t="shared" si="173"/>
        <v>1</v>
      </c>
      <c r="X2789" t="str">
        <f t="shared" si="174"/>
        <v>49+ Months</v>
      </c>
      <c r="Y2789" s="1" t="str">
        <f t="shared" si="175"/>
        <v>Low</v>
      </c>
    </row>
    <row r="2790" spans="1:25" x14ac:dyDescent="0.2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 t="shared" si="172"/>
        <v>0</v>
      </c>
      <c r="W2790">
        <f t="shared" si="173"/>
        <v>1</v>
      </c>
      <c r="X2790" t="str">
        <f t="shared" si="174"/>
        <v>49+ Months</v>
      </c>
      <c r="Y2790" s="1" t="str">
        <f t="shared" si="175"/>
        <v>High</v>
      </c>
    </row>
    <row r="2791" spans="1:25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 t="shared" si="172"/>
        <v>0</v>
      </c>
      <c r="W2791">
        <f t="shared" si="173"/>
        <v>1</v>
      </c>
      <c r="X2791" t="str">
        <f t="shared" si="174"/>
        <v>13-24 Months</v>
      </c>
      <c r="Y2791" s="1" t="str">
        <f t="shared" si="175"/>
        <v>High</v>
      </c>
    </row>
    <row r="2792" spans="1:25" x14ac:dyDescent="0.2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 t="shared" si="172"/>
        <v>1</v>
      </c>
      <c r="W2792">
        <f t="shared" si="173"/>
        <v>0</v>
      </c>
      <c r="X2792" t="str">
        <f t="shared" si="174"/>
        <v>49+ Months</v>
      </c>
      <c r="Y2792" s="1" t="str">
        <f t="shared" si="175"/>
        <v>High</v>
      </c>
    </row>
    <row r="2793" spans="1:25" x14ac:dyDescent="0.2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 t="shared" si="172"/>
        <v>0</v>
      </c>
      <c r="W2793">
        <f t="shared" si="173"/>
        <v>1</v>
      </c>
      <c r="X2793" t="str">
        <f t="shared" si="174"/>
        <v>49+ Months</v>
      </c>
      <c r="Y2793" s="1" t="str">
        <f t="shared" si="175"/>
        <v>Medium</v>
      </c>
    </row>
    <row r="2794" spans="1:25" x14ac:dyDescent="0.2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 t="shared" si="172"/>
        <v>0</v>
      </c>
      <c r="W2794">
        <f t="shared" si="173"/>
        <v>1</v>
      </c>
      <c r="X2794" t="str">
        <f t="shared" si="174"/>
        <v>13-24 Months</v>
      </c>
      <c r="Y2794" s="1" t="str">
        <f t="shared" si="175"/>
        <v>Low</v>
      </c>
    </row>
    <row r="2795" spans="1:25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 t="shared" si="172"/>
        <v>0</v>
      </c>
      <c r="W2795">
        <f t="shared" si="173"/>
        <v>1</v>
      </c>
      <c r="X2795" t="str">
        <f t="shared" si="174"/>
        <v>0-12 Months</v>
      </c>
      <c r="Y2795" s="1" t="str">
        <f t="shared" si="175"/>
        <v>High</v>
      </c>
    </row>
    <row r="2796" spans="1:25" x14ac:dyDescent="0.2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 t="shared" si="172"/>
        <v>0</v>
      </c>
      <c r="W2796">
        <f t="shared" si="173"/>
        <v>1</v>
      </c>
      <c r="X2796" t="str">
        <f t="shared" si="174"/>
        <v>25-48 Months</v>
      </c>
      <c r="Y2796" s="1" t="str">
        <f t="shared" si="175"/>
        <v>Medium</v>
      </c>
    </row>
    <row r="2797" spans="1:25" x14ac:dyDescent="0.2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 t="shared" si="172"/>
        <v>1</v>
      </c>
      <c r="W2797">
        <f t="shared" si="173"/>
        <v>0</v>
      </c>
      <c r="X2797" t="str">
        <f t="shared" si="174"/>
        <v>0-12 Months</v>
      </c>
      <c r="Y2797" s="1" t="str">
        <f t="shared" si="175"/>
        <v>Medium</v>
      </c>
    </row>
    <row r="2798" spans="1:25" x14ac:dyDescent="0.2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 t="shared" si="172"/>
        <v>0</v>
      </c>
      <c r="W2798">
        <f t="shared" si="173"/>
        <v>1</v>
      </c>
      <c r="X2798" t="str">
        <f t="shared" si="174"/>
        <v>49+ Months</v>
      </c>
      <c r="Y2798" s="1" t="str">
        <f t="shared" si="175"/>
        <v>High</v>
      </c>
    </row>
    <row r="2799" spans="1:25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 t="shared" si="172"/>
        <v>1</v>
      </c>
      <c r="W2799">
        <f t="shared" si="173"/>
        <v>0</v>
      </c>
      <c r="X2799" t="str">
        <f t="shared" si="174"/>
        <v>0-12 Months</v>
      </c>
      <c r="Y2799" s="1" t="str">
        <f t="shared" si="175"/>
        <v>High</v>
      </c>
    </row>
    <row r="2800" spans="1:25" x14ac:dyDescent="0.2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 t="shared" si="172"/>
        <v>1</v>
      </c>
      <c r="W2800">
        <f t="shared" si="173"/>
        <v>0</v>
      </c>
      <c r="X2800" t="str">
        <f t="shared" si="174"/>
        <v>0-12 Months</v>
      </c>
      <c r="Y2800" s="1" t="str">
        <f t="shared" si="175"/>
        <v>High</v>
      </c>
    </row>
    <row r="2801" spans="1:25" x14ac:dyDescent="0.2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 t="shared" si="172"/>
        <v>0</v>
      </c>
      <c r="W2801">
        <f t="shared" si="173"/>
        <v>1</v>
      </c>
      <c r="X2801" t="str">
        <f t="shared" si="174"/>
        <v>49+ Months</v>
      </c>
      <c r="Y2801" s="1" t="str">
        <f t="shared" si="175"/>
        <v>Low</v>
      </c>
    </row>
    <row r="2802" spans="1:25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 t="shared" si="172"/>
        <v>0</v>
      </c>
      <c r="W2802">
        <f t="shared" si="173"/>
        <v>1</v>
      </c>
      <c r="X2802" t="str">
        <f t="shared" si="174"/>
        <v>13-24 Months</v>
      </c>
      <c r="Y2802" s="1" t="str">
        <f t="shared" si="175"/>
        <v>Low</v>
      </c>
    </row>
    <row r="2803" spans="1:25" x14ac:dyDescent="0.2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 t="shared" si="172"/>
        <v>0</v>
      </c>
      <c r="W2803">
        <f t="shared" si="173"/>
        <v>1</v>
      </c>
      <c r="X2803" t="str">
        <f t="shared" si="174"/>
        <v>49+ Months</v>
      </c>
      <c r="Y2803" s="1" t="str">
        <f t="shared" si="175"/>
        <v>High</v>
      </c>
    </row>
    <row r="2804" spans="1:25" x14ac:dyDescent="0.2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 t="shared" si="172"/>
        <v>1</v>
      </c>
      <c r="W2804">
        <f t="shared" si="173"/>
        <v>0</v>
      </c>
      <c r="X2804" t="str">
        <f t="shared" si="174"/>
        <v>25-48 Months</v>
      </c>
      <c r="Y2804" s="1" t="str">
        <f t="shared" si="175"/>
        <v>High</v>
      </c>
    </row>
    <row r="2805" spans="1:25" x14ac:dyDescent="0.2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 t="shared" si="172"/>
        <v>0</v>
      </c>
      <c r="W2805">
        <f t="shared" si="173"/>
        <v>1</v>
      </c>
      <c r="X2805" t="str">
        <f t="shared" si="174"/>
        <v>25-48 Months</v>
      </c>
      <c r="Y2805" s="1" t="str">
        <f t="shared" si="175"/>
        <v>Low</v>
      </c>
    </row>
    <row r="2806" spans="1:25" x14ac:dyDescent="0.2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 t="shared" si="172"/>
        <v>1</v>
      </c>
      <c r="W2806">
        <f t="shared" si="173"/>
        <v>0</v>
      </c>
      <c r="X2806" t="str">
        <f t="shared" si="174"/>
        <v>0-12 Months</v>
      </c>
      <c r="Y2806" s="1" t="str">
        <f t="shared" si="175"/>
        <v>Low</v>
      </c>
    </row>
    <row r="2807" spans="1:25" x14ac:dyDescent="0.2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 t="shared" si="172"/>
        <v>0</v>
      </c>
      <c r="W2807">
        <f t="shared" si="173"/>
        <v>1</v>
      </c>
      <c r="X2807" t="str">
        <f t="shared" si="174"/>
        <v>49+ Months</v>
      </c>
      <c r="Y2807" s="1" t="str">
        <f t="shared" si="175"/>
        <v>Medium</v>
      </c>
    </row>
    <row r="2808" spans="1:25" x14ac:dyDescent="0.2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 t="shared" si="172"/>
        <v>0</v>
      </c>
      <c r="W2808">
        <f t="shared" si="173"/>
        <v>1</v>
      </c>
      <c r="X2808" t="str">
        <f t="shared" si="174"/>
        <v>49+ Months</v>
      </c>
      <c r="Y2808" s="1" t="str">
        <f t="shared" si="175"/>
        <v>High</v>
      </c>
    </row>
    <row r="2809" spans="1:25" x14ac:dyDescent="0.2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 t="shared" si="172"/>
        <v>0</v>
      </c>
      <c r="W2809">
        <f t="shared" si="173"/>
        <v>1</v>
      </c>
      <c r="X2809" t="str">
        <f t="shared" si="174"/>
        <v>0-12 Months</v>
      </c>
      <c r="Y2809" s="1" t="str">
        <f t="shared" si="175"/>
        <v>Low</v>
      </c>
    </row>
    <row r="2810" spans="1:25" x14ac:dyDescent="0.2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 t="shared" si="172"/>
        <v>0</v>
      </c>
      <c r="W2810">
        <f t="shared" si="173"/>
        <v>1</v>
      </c>
      <c r="X2810" t="str">
        <f t="shared" si="174"/>
        <v>0-12 Months</v>
      </c>
      <c r="Y2810" s="1" t="str">
        <f t="shared" si="175"/>
        <v>High</v>
      </c>
    </row>
    <row r="2811" spans="1:25" x14ac:dyDescent="0.2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 t="shared" si="172"/>
        <v>0</v>
      </c>
      <c r="W2811">
        <f t="shared" si="173"/>
        <v>1</v>
      </c>
      <c r="X2811" t="str">
        <f t="shared" si="174"/>
        <v>25-48 Months</v>
      </c>
      <c r="Y2811" s="1" t="str">
        <f t="shared" si="175"/>
        <v>Low</v>
      </c>
    </row>
    <row r="2812" spans="1:25" x14ac:dyDescent="0.2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 t="shared" si="172"/>
        <v>0</v>
      </c>
      <c r="W2812">
        <f t="shared" si="173"/>
        <v>1</v>
      </c>
      <c r="X2812" t="str">
        <f t="shared" si="174"/>
        <v>49+ Months</v>
      </c>
      <c r="Y2812" s="1" t="str">
        <f t="shared" si="175"/>
        <v>High</v>
      </c>
    </row>
    <row r="2813" spans="1:25" x14ac:dyDescent="0.2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 t="shared" si="172"/>
        <v>0</v>
      </c>
      <c r="W2813">
        <f t="shared" si="173"/>
        <v>1</v>
      </c>
      <c r="X2813" t="str">
        <f t="shared" si="174"/>
        <v>25-48 Months</v>
      </c>
      <c r="Y2813" s="1" t="str">
        <f t="shared" si="175"/>
        <v>Low</v>
      </c>
    </row>
    <row r="2814" spans="1:25" x14ac:dyDescent="0.2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 t="shared" si="172"/>
        <v>1</v>
      </c>
      <c r="W2814">
        <f t="shared" si="173"/>
        <v>0</v>
      </c>
      <c r="X2814" t="str">
        <f t="shared" si="174"/>
        <v>49+ Months</v>
      </c>
      <c r="Y2814" s="1" t="str">
        <f t="shared" si="175"/>
        <v>High</v>
      </c>
    </row>
    <row r="2815" spans="1:25" x14ac:dyDescent="0.2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 t="shared" si="172"/>
        <v>0</v>
      </c>
      <c r="W2815">
        <f t="shared" si="173"/>
        <v>1</v>
      </c>
      <c r="X2815" t="str">
        <f t="shared" si="174"/>
        <v>49+ Months</v>
      </c>
      <c r="Y2815" s="1" t="str">
        <f t="shared" si="175"/>
        <v>Low</v>
      </c>
    </row>
    <row r="2816" spans="1:25" x14ac:dyDescent="0.2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 t="shared" si="172"/>
        <v>0</v>
      </c>
      <c r="W2816">
        <f t="shared" si="173"/>
        <v>1</v>
      </c>
      <c r="X2816" t="str">
        <f t="shared" si="174"/>
        <v>49+ Months</v>
      </c>
      <c r="Y2816" s="1" t="str">
        <f t="shared" si="175"/>
        <v>Low</v>
      </c>
    </row>
    <row r="2817" spans="1:25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 t="shared" si="172"/>
        <v>1</v>
      </c>
      <c r="W2817">
        <f t="shared" si="173"/>
        <v>0</v>
      </c>
      <c r="X2817" t="str">
        <f t="shared" si="174"/>
        <v>0-12 Months</v>
      </c>
      <c r="Y2817" s="1" t="str">
        <f t="shared" si="175"/>
        <v>High</v>
      </c>
    </row>
    <row r="2818" spans="1:25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 t="shared" ref="V2818:V2881" si="176">IF(U2818="Yes",1,0)</f>
        <v>0</v>
      </c>
      <c r="W2818">
        <f t="shared" ref="W2818:W2881" si="177">IF(U2818="No",1,0)</f>
        <v>1</v>
      </c>
      <c r="X2818" t="str">
        <f t="shared" ref="X2818:X2881" si="178">IF(F2818&lt;=12,"0-12 Months",IF(F2818&lt;=24,"13-24 Months",IF(F2818&lt;=48,"25-48 Months","49+ Months")))</f>
        <v>49+ Months</v>
      </c>
      <c r="Y2818" s="1" t="str">
        <f t="shared" ref="Y2818:Y2881" si="179">IF(S2818&lt;50,"Low",IF(S2818&lt;80,"Medium","High"))</f>
        <v>High</v>
      </c>
    </row>
    <row r="2819" spans="1:25" x14ac:dyDescent="0.2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 t="shared" si="176"/>
        <v>0</v>
      </c>
      <c r="W2819">
        <f t="shared" si="177"/>
        <v>1</v>
      </c>
      <c r="X2819" t="str">
        <f t="shared" si="178"/>
        <v>25-48 Months</v>
      </c>
      <c r="Y2819" s="1" t="str">
        <f t="shared" si="179"/>
        <v>Low</v>
      </c>
    </row>
    <row r="2820" spans="1:25" x14ac:dyDescent="0.2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 t="shared" si="176"/>
        <v>1</v>
      </c>
      <c r="W2820">
        <f t="shared" si="177"/>
        <v>0</v>
      </c>
      <c r="X2820" t="str">
        <f t="shared" si="178"/>
        <v>25-48 Months</v>
      </c>
      <c r="Y2820" s="1" t="str">
        <f t="shared" si="179"/>
        <v>High</v>
      </c>
    </row>
    <row r="2821" spans="1:25" x14ac:dyDescent="0.2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 t="shared" si="176"/>
        <v>0</v>
      </c>
      <c r="W2821">
        <f t="shared" si="177"/>
        <v>1</v>
      </c>
      <c r="X2821" t="str">
        <f t="shared" si="178"/>
        <v>0-12 Months</v>
      </c>
      <c r="Y2821" s="1" t="str">
        <f t="shared" si="179"/>
        <v>Medium</v>
      </c>
    </row>
    <row r="2822" spans="1:25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 t="shared" si="176"/>
        <v>0</v>
      </c>
      <c r="W2822">
        <f t="shared" si="177"/>
        <v>1</v>
      </c>
      <c r="X2822" t="str">
        <f t="shared" si="178"/>
        <v>49+ Months</v>
      </c>
      <c r="Y2822" s="1" t="str">
        <f t="shared" si="179"/>
        <v>Low</v>
      </c>
    </row>
    <row r="2823" spans="1:25" x14ac:dyDescent="0.2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 t="shared" si="176"/>
        <v>1</v>
      </c>
      <c r="W2823">
        <f t="shared" si="177"/>
        <v>0</v>
      </c>
      <c r="X2823" t="str">
        <f t="shared" si="178"/>
        <v>0-12 Months</v>
      </c>
      <c r="Y2823" s="1" t="str">
        <f t="shared" si="179"/>
        <v>Medium</v>
      </c>
    </row>
    <row r="2824" spans="1:25" x14ac:dyDescent="0.2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 t="shared" si="176"/>
        <v>1</v>
      </c>
      <c r="W2824">
        <f t="shared" si="177"/>
        <v>0</v>
      </c>
      <c r="X2824" t="str">
        <f t="shared" si="178"/>
        <v>25-48 Months</v>
      </c>
      <c r="Y2824" s="1" t="str">
        <f t="shared" si="179"/>
        <v>Medium</v>
      </c>
    </row>
    <row r="2825" spans="1:25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 t="shared" si="176"/>
        <v>0</v>
      </c>
      <c r="W2825">
        <f t="shared" si="177"/>
        <v>1</v>
      </c>
      <c r="X2825" t="str">
        <f t="shared" si="178"/>
        <v>25-48 Months</v>
      </c>
      <c r="Y2825" s="1" t="str">
        <f t="shared" si="179"/>
        <v>Low</v>
      </c>
    </row>
    <row r="2826" spans="1:25" x14ac:dyDescent="0.2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 t="shared" si="176"/>
        <v>0</v>
      </c>
      <c r="W2826">
        <f t="shared" si="177"/>
        <v>1</v>
      </c>
      <c r="X2826" t="str">
        <f t="shared" si="178"/>
        <v>49+ Months</v>
      </c>
      <c r="Y2826" s="1" t="str">
        <f t="shared" si="179"/>
        <v>Low</v>
      </c>
    </row>
    <row r="2827" spans="1:25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 t="shared" si="176"/>
        <v>0</v>
      </c>
      <c r="W2827">
        <f t="shared" si="177"/>
        <v>1</v>
      </c>
      <c r="X2827" t="str">
        <f t="shared" si="178"/>
        <v>13-24 Months</v>
      </c>
      <c r="Y2827" s="1" t="str">
        <f t="shared" si="179"/>
        <v>Low</v>
      </c>
    </row>
    <row r="2828" spans="1:25" x14ac:dyDescent="0.2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 t="shared" si="176"/>
        <v>0</v>
      </c>
      <c r="W2828">
        <f t="shared" si="177"/>
        <v>1</v>
      </c>
      <c r="X2828" t="str">
        <f t="shared" si="178"/>
        <v>13-24 Months</v>
      </c>
      <c r="Y2828" s="1" t="str">
        <f t="shared" si="179"/>
        <v>Low</v>
      </c>
    </row>
    <row r="2829" spans="1:25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 t="shared" si="176"/>
        <v>0</v>
      </c>
      <c r="W2829">
        <f t="shared" si="177"/>
        <v>1</v>
      </c>
      <c r="X2829" t="str">
        <f t="shared" si="178"/>
        <v>0-12 Months</v>
      </c>
      <c r="Y2829" s="1" t="str">
        <f t="shared" si="179"/>
        <v>Medium</v>
      </c>
    </row>
    <row r="2830" spans="1:25" x14ac:dyDescent="0.2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 t="shared" si="176"/>
        <v>0</v>
      </c>
      <c r="W2830">
        <f t="shared" si="177"/>
        <v>1</v>
      </c>
      <c r="X2830" t="str">
        <f t="shared" si="178"/>
        <v>0-12 Months</v>
      </c>
      <c r="Y2830" s="1" t="str">
        <f t="shared" si="179"/>
        <v>Low</v>
      </c>
    </row>
    <row r="2831" spans="1:25" x14ac:dyDescent="0.2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 t="shared" si="176"/>
        <v>1</v>
      </c>
      <c r="W2831">
        <f t="shared" si="177"/>
        <v>0</v>
      </c>
      <c r="X2831" t="str">
        <f t="shared" si="178"/>
        <v>0-12 Months</v>
      </c>
      <c r="Y2831" s="1" t="str">
        <f t="shared" si="179"/>
        <v>Medium</v>
      </c>
    </row>
    <row r="2832" spans="1:25" x14ac:dyDescent="0.2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 t="shared" si="176"/>
        <v>0</v>
      </c>
      <c r="W2832">
        <f t="shared" si="177"/>
        <v>1</v>
      </c>
      <c r="X2832" t="str">
        <f t="shared" si="178"/>
        <v>49+ Months</v>
      </c>
      <c r="Y2832" s="1" t="str">
        <f t="shared" si="179"/>
        <v>Medium</v>
      </c>
    </row>
    <row r="2833" spans="1:25" x14ac:dyDescent="0.2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 t="shared" si="176"/>
        <v>1</v>
      </c>
      <c r="W2833">
        <f t="shared" si="177"/>
        <v>0</v>
      </c>
      <c r="X2833" t="str">
        <f t="shared" si="178"/>
        <v>0-12 Months</v>
      </c>
      <c r="Y2833" s="1" t="str">
        <f t="shared" si="179"/>
        <v>High</v>
      </c>
    </row>
    <row r="2834" spans="1:25" x14ac:dyDescent="0.2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 t="shared" si="176"/>
        <v>0</v>
      </c>
      <c r="W2834">
        <f t="shared" si="177"/>
        <v>1</v>
      </c>
      <c r="X2834" t="str">
        <f t="shared" si="178"/>
        <v>25-48 Months</v>
      </c>
      <c r="Y2834" s="1" t="str">
        <f t="shared" si="179"/>
        <v>Medium</v>
      </c>
    </row>
    <row r="2835" spans="1:25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 t="shared" si="176"/>
        <v>0</v>
      </c>
      <c r="W2835">
        <f t="shared" si="177"/>
        <v>1</v>
      </c>
      <c r="X2835" t="str">
        <f t="shared" si="178"/>
        <v>49+ Months</v>
      </c>
      <c r="Y2835" s="1" t="str">
        <f t="shared" si="179"/>
        <v>Medium</v>
      </c>
    </row>
    <row r="2836" spans="1:25" x14ac:dyDescent="0.2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 t="shared" si="176"/>
        <v>0</v>
      </c>
      <c r="W2836">
        <f t="shared" si="177"/>
        <v>1</v>
      </c>
      <c r="X2836" t="str">
        <f t="shared" si="178"/>
        <v>25-48 Months</v>
      </c>
      <c r="Y2836" s="1" t="str">
        <f t="shared" si="179"/>
        <v>Low</v>
      </c>
    </row>
    <row r="2837" spans="1:25" x14ac:dyDescent="0.2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 t="shared" si="176"/>
        <v>0</v>
      </c>
      <c r="W2837">
        <f t="shared" si="177"/>
        <v>1</v>
      </c>
      <c r="X2837" t="str">
        <f t="shared" si="178"/>
        <v>49+ Months</v>
      </c>
      <c r="Y2837" s="1" t="str">
        <f t="shared" si="179"/>
        <v>Medium</v>
      </c>
    </row>
    <row r="2838" spans="1:25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 t="shared" si="176"/>
        <v>0</v>
      </c>
      <c r="W2838">
        <f t="shared" si="177"/>
        <v>1</v>
      </c>
      <c r="X2838" t="str">
        <f t="shared" si="178"/>
        <v>49+ Months</v>
      </c>
      <c r="Y2838" s="1" t="str">
        <f t="shared" si="179"/>
        <v>High</v>
      </c>
    </row>
    <row r="2839" spans="1:25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 t="shared" si="176"/>
        <v>1</v>
      </c>
      <c r="W2839">
        <f t="shared" si="177"/>
        <v>0</v>
      </c>
      <c r="X2839" t="str">
        <f t="shared" si="178"/>
        <v>0-12 Months</v>
      </c>
      <c r="Y2839" s="1" t="str">
        <f t="shared" si="179"/>
        <v>Low</v>
      </c>
    </row>
    <row r="2840" spans="1:25" x14ac:dyDescent="0.2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 t="shared" si="176"/>
        <v>0</v>
      </c>
      <c r="W2840">
        <f t="shared" si="177"/>
        <v>1</v>
      </c>
      <c r="X2840" t="str">
        <f t="shared" si="178"/>
        <v>25-48 Months</v>
      </c>
      <c r="Y2840" s="1" t="str">
        <f t="shared" si="179"/>
        <v>Low</v>
      </c>
    </row>
    <row r="2841" spans="1:25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 t="shared" si="176"/>
        <v>0</v>
      </c>
      <c r="W2841">
        <f t="shared" si="177"/>
        <v>1</v>
      </c>
      <c r="X2841" t="str">
        <f t="shared" si="178"/>
        <v>25-48 Months</v>
      </c>
      <c r="Y2841" s="1" t="str">
        <f t="shared" si="179"/>
        <v>Low</v>
      </c>
    </row>
    <row r="2842" spans="1:25" x14ac:dyDescent="0.2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 t="shared" si="176"/>
        <v>0</v>
      </c>
      <c r="W2842">
        <f t="shared" si="177"/>
        <v>1</v>
      </c>
      <c r="X2842" t="str">
        <f t="shared" si="178"/>
        <v>13-24 Months</v>
      </c>
      <c r="Y2842" s="1" t="str">
        <f t="shared" si="179"/>
        <v>High</v>
      </c>
    </row>
    <row r="2843" spans="1:25" x14ac:dyDescent="0.2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 t="shared" si="176"/>
        <v>0</v>
      </c>
      <c r="W2843">
        <f t="shared" si="177"/>
        <v>1</v>
      </c>
      <c r="X2843" t="str">
        <f t="shared" si="178"/>
        <v>0-12 Months</v>
      </c>
      <c r="Y2843" s="1" t="str">
        <f t="shared" si="179"/>
        <v>Low</v>
      </c>
    </row>
    <row r="2844" spans="1:25" x14ac:dyDescent="0.2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 t="shared" si="176"/>
        <v>0</v>
      </c>
      <c r="W2844">
        <f t="shared" si="177"/>
        <v>1</v>
      </c>
      <c r="X2844" t="str">
        <f t="shared" si="178"/>
        <v>0-12 Months</v>
      </c>
      <c r="Y2844" s="1" t="str">
        <f t="shared" si="179"/>
        <v>Low</v>
      </c>
    </row>
    <row r="2845" spans="1:25" x14ac:dyDescent="0.2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 t="shared" si="176"/>
        <v>0</v>
      </c>
      <c r="W2845">
        <f t="shared" si="177"/>
        <v>1</v>
      </c>
      <c r="X2845" t="str">
        <f t="shared" si="178"/>
        <v>49+ Months</v>
      </c>
      <c r="Y2845" s="1" t="str">
        <f t="shared" si="179"/>
        <v>Low</v>
      </c>
    </row>
    <row r="2846" spans="1:25" x14ac:dyDescent="0.2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 t="shared" si="176"/>
        <v>1</v>
      </c>
      <c r="W2846">
        <f t="shared" si="177"/>
        <v>0</v>
      </c>
      <c r="X2846" t="str">
        <f t="shared" si="178"/>
        <v>0-12 Months</v>
      </c>
      <c r="Y2846" s="1" t="str">
        <f t="shared" si="179"/>
        <v>High</v>
      </c>
    </row>
    <row r="2847" spans="1:25" x14ac:dyDescent="0.2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 t="shared" si="176"/>
        <v>0</v>
      </c>
      <c r="W2847">
        <f t="shared" si="177"/>
        <v>1</v>
      </c>
      <c r="X2847" t="str">
        <f t="shared" si="178"/>
        <v>0-12 Months</v>
      </c>
      <c r="Y2847" s="1" t="str">
        <f t="shared" si="179"/>
        <v>High</v>
      </c>
    </row>
    <row r="2848" spans="1:25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 t="shared" si="176"/>
        <v>0</v>
      </c>
      <c r="W2848">
        <f t="shared" si="177"/>
        <v>1</v>
      </c>
      <c r="X2848" t="str">
        <f t="shared" si="178"/>
        <v>0-12 Months</v>
      </c>
      <c r="Y2848" s="1" t="str">
        <f t="shared" si="179"/>
        <v>Medium</v>
      </c>
    </row>
    <row r="2849" spans="1:25" x14ac:dyDescent="0.2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 t="shared" si="176"/>
        <v>0</v>
      </c>
      <c r="W2849">
        <f t="shared" si="177"/>
        <v>1</v>
      </c>
      <c r="X2849" t="str">
        <f t="shared" si="178"/>
        <v>25-48 Months</v>
      </c>
      <c r="Y2849" s="1" t="str">
        <f t="shared" si="179"/>
        <v>Medium</v>
      </c>
    </row>
    <row r="2850" spans="1:25" x14ac:dyDescent="0.2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 t="shared" si="176"/>
        <v>0</v>
      </c>
      <c r="W2850">
        <f t="shared" si="177"/>
        <v>1</v>
      </c>
      <c r="X2850" t="str">
        <f t="shared" si="178"/>
        <v>13-24 Months</v>
      </c>
      <c r="Y2850" s="1" t="str">
        <f t="shared" si="179"/>
        <v>Medium</v>
      </c>
    </row>
    <row r="2851" spans="1:25" x14ac:dyDescent="0.2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 t="shared" si="176"/>
        <v>0</v>
      </c>
      <c r="W2851">
        <f t="shared" si="177"/>
        <v>1</v>
      </c>
      <c r="X2851" t="str">
        <f t="shared" si="178"/>
        <v>0-12 Months</v>
      </c>
      <c r="Y2851" s="1" t="str">
        <f t="shared" si="179"/>
        <v>Low</v>
      </c>
    </row>
    <row r="2852" spans="1:25" x14ac:dyDescent="0.2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 t="shared" si="176"/>
        <v>0</v>
      </c>
      <c r="W2852">
        <f t="shared" si="177"/>
        <v>1</v>
      </c>
      <c r="X2852" t="str">
        <f t="shared" si="178"/>
        <v>49+ Months</v>
      </c>
      <c r="Y2852" s="1" t="str">
        <f t="shared" si="179"/>
        <v>High</v>
      </c>
    </row>
    <row r="2853" spans="1:25" x14ac:dyDescent="0.2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 t="shared" si="176"/>
        <v>0</v>
      </c>
      <c r="W2853">
        <f t="shared" si="177"/>
        <v>1</v>
      </c>
      <c r="X2853" t="str">
        <f t="shared" si="178"/>
        <v>49+ Months</v>
      </c>
      <c r="Y2853" s="1" t="str">
        <f t="shared" si="179"/>
        <v>High</v>
      </c>
    </row>
    <row r="2854" spans="1:25" x14ac:dyDescent="0.2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 t="shared" si="176"/>
        <v>0</v>
      </c>
      <c r="W2854">
        <f t="shared" si="177"/>
        <v>1</v>
      </c>
      <c r="X2854" t="str">
        <f t="shared" si="178"/>
        <v>49+ Months</v>
      </c>
      <c r="Y2854" s="1" t="str">
        <f t="shared" si="179"/>
        <v>High</v>
      </c>
    </row>
    <row r="2855" spans="1:25" x14ac:dyDescent="0.2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 t="shared" si="176"/>
        <v>0</v>
      </c>
      <c r="W2855">
        <f t="shared" si="177"/>
        <v>1</v>
      </c>
      <c r="X2855" t="str">
        <f t="shared" si="178"/>
        <v>49+ Months</v>
      </c>
      <c r="Y2855" s="1" t="str">
        <f t="shared" si="179"/>
        <v>Medium</v>
      </c>
    </row>
    <row r="2856" spans="1:25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 t="shared" si="176"/>
        <v>0</v>
      </c>
      <c r="W2856">
        <f t="shared" si="177"/>
        <v>1</v>
      </c>
      <c r="X2856" t="str">
        <f t="shared" si="178"/>
        <v>13-24 Months</v>
      </c>
      <c r="Y2856" s="1" t="str">
        <f t="shared" si="179"/>
        <v>Medium</v>
      </c>
    </row>
    <row r="2857" spans="1:25" x14ac:dyDescent="0.2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 t="shared" si="176"/>
        <v>0</v>
      </c>
      <c r="W2857">
        <f t="shared" si="177"/>
        <v>1</v>
      </c>
      <c r="X2857" t="str">
        <f t="shared" si="178"/>
        <v>25-48 Months</v>
      </c>
      <c r="Y2857" s="1" t="str">
        <f t="shared" si="179"/>
        <v>Low</v>
      </c>
    </row>
    <row r="2858" spans="1:25" x14ac:dyDescent="0.2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 t="shared" si="176"/>
        <v>0</v>
      </c>
      <c r="W2858">
        <f t="shared" si="177"/>
        <v>1</v>
      </c>
      <c r="X2858" t="str">
        <f t="shared" si="178"/>
        <v>0-12 Months</v>
      </c>
      <c r="Y2858" s="1" t="str">
        <f t="shared" si="179"/>
        <v>Medium</v>
      </c>
    </row>
    <row r="2859" spans="1:25" x14ac:dyDescent="0.2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 t="shared" si="176"/>
        <v>0</v>
      </c>
      <c r="W2859">
        <f t="shared" si="177"/>
        <v>1</v>
      </c>
      <c r="X2859" t="str">
        <f t="shared" si="178"/>
        <v>25-48 Months</v>
      </c>
      <c r="Y2859" s="1" t="str">
        <f t="shared" si="179"/>
        <v>Medium</v>
      </c>
    </row>
    <row r="2860" spans="1:25" x14ac:dyDescent="0.2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 t="shared" si="176"/>
        <v>0</v>
      </c>
      <c r="W2860">
        <f t="shared" si="177"/>
        <v>1</v>
      </c>
      <c r="X2860" t="str">
        <f t="shared" si="178"/>
        <v>0-12 Months</v>
      </c>
      <c r="Y2860" s="1" t="str">
        <f t="shared" si="179"/>
        <v>Low</v>
      </c>
    </row>
    <row r="2861" spans="1:25" x14ac:dyDescent="0.2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 t="shared" si="176"/>
        <v>0</v>
      </c>
      <c r="W2861">
        <f t="shared" si="177"/>
        <v>1</v>
      </c>
      <c r="X2861" t="str">
        <f t="shared" si="178"/>
        <v>49+ Months</v>
      </c>
      <c r="Y2861" s="1" t="str">
        <f t="shared" si="179"/>
        <v>High</v>
      </c>
    </row>
    <row r="2862" spans="1:25" x14ac:dyDescent="0.2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 t="shared" si="176"/>
        <v>0</v>
      </c>
      <c r="W2862">
        <f t="shared" si="177"/>
        <v>1</v>
      </c>
      <c r="X2862" t="str">
        <f t="shared" si="178"/>
        <v>49+ Months</v>
      </c>
      <c r="Y2862" s="1" t="str">
        <f t="shared" si="179"/>
        <v>High</v>
      </c>
    </row>
    <row r="2863" spans="1:25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 t="shared" si="176"/>
        <v>1</v>
      </c>
      <c r="W2863">
        <f t="shared" si="177"/>
        <v>0</v>
      </c>
      <c r="X2863" t="str">
        <f t="shared" si="178"/>
        <v>0-12 Months</v>
      </c>
      <c r="Y2863" s="1" t="str">
        <f t="shared" si="179"/>
        <v>High</v>
      </c>
    </row>
    <row r="2864" spans="1:25" x14ac:dyDescent="0.2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 t="shared" si="176"/>
        <v>1</v>
      </c>
      <c r="W2864">
        <f t="shared" si="177"/>
        <v>0</v>
      </c>
      <c r="X2864" t="str">
        <f t="shared" si="178"/>
        <v>0-12 Months</v>
      </c>
      <c r="Y2864" s="1" t="str">
        <f t="shared" si="179"/>
        <v>Medium</v>
      </c>
    </row>
    <row r="2865" spans="1:25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 t="shared" si="176"/>
        <v>0</v>
      </c>
      <c r="W2865">
        <f t="shared" si="177"/>
        <v>1</v>
      </c>
      <c r="X2865" t="str">
        <f t="shared" si="178"/>
        <v>0-12 Months</v>
      </c>
      <c r="Y2865" s="1" t="str">
        <f t="shared" si="179"/>
        <v>Low</v>
      </c>
    </row>
    <row r="2866" spans="1:25" x14ac:dyDescent="0.2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 t="shared" si="176"/>
        <v>0</v>
      </c>
      <c r="W2866">
        <f t="shared" si="177"/>
        <v>1</v>
      </c>
      <c r="X2866" t="str">
        <f t="shared" si="178"/>
        <v>0-12 Months</v>
      </c>
      <c r="Y2866" s="1" t="str">
        <f t="shared" si="179"/>
        <v>Medium</v>
      </c>
    </row>
    <row r="2867" spans="1:25" x14ac:dyDescent="0.2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 t="shared" si="176"/>
        <v>0</v>
      </c>
      <c r="W2867">
        <f t="shared" si="177"/>
        <v>1</v>
      </c>
      <c r="X2867" t="str">
        <f t="shared" si="178"/>
        <v>49+ Months</v>
      </c>
      <c r="Y2867" s="1" t="str">
        <f t="shared" si="179"/>
        <v>High</v>
      </c>
    </row>
    <row r="2868" spans="1:25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 t="shared" si="176"/>
        <v>0</v>
      </c>
      <c r="W2868">
        <f t="shared" si="177"/>
        <v>1</v>
      </c>
      <c r="X2868" t="str">
        <f t="shared" si="178"/>
        <v>0-12 Months</v>
      </c>
      <c r="Y2868" s="1" t="str">
        <f t="shared" si="179"/>
        <v>High</v>
      </c>
    </row>
    <row r="2869" spans="1:25" x14ac:dyDescent="0.2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 t="shared" si="176"/>
        <v>0</v>
      </c>
      <c r="W2869">
        <f t="shared" si="177"/>
        <v>1</v>
      </c>
      <c r="X2869" t="str">
        <f t="shared" si="178"/>
        <v>13-24 Months</v>
      </c>
      <c r="Y2869" s="1" t="str">
        <f t="shared" si="179"/>
        <v>Low</v>
      </c>
    </row>
    <row r="2870" spans="1:25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 t="shared" si="176"/>
        <v>0</v>
      </c>
      <c r="W2870">
        <f t="shared" si="177"/>
        <v>1</v>
      </c>
      <c r="X2870" t="str">
        <f t="shared" si="178"/>
        <v>25-48 Months</v>
      </c>
      <c r="Y2870" s="1" t="str">
        <f t="shared" si="179"/>
        <v>High</v>
      </c>
    </row>
    <row r="2871" spans="1:25" x14ac:dyDescent="0.2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 t="shared" si="176"/>
        <v>1</v>
      </c>
      <c r="W2871">
        <f t="shared" si="177"/>
        <v>0</v>
      </c>
      <c r="X2871" t="str">
        <f t="shared" si="178"/>
        <v>0-12 Months</v>
      </c>
      <c r="Y2871" s="1" t="str">
        <f t="shared" si="179"/>
        <v>High</v>
      </c>
    </row>
    <row r="2872" spans="1:25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 t="shared" si="176"/>
        <v>0</v>
      </c>
      <c r="W2872">
        <f t="shared" si="177"/>
        <v>1</v>
      </c>
      <c r="X2872" t="str">
        <f t="shared" si="178"/>
        <v>49+ Months</v>
      </c>
      <c r="Y2872" s="1" t="str">
        <f t="shared" si="179"/>
        <v>High</v>
      </c>
    </row>
    <row r="2873" spans="1:25" x14ac:dyDescent="0.2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 t="shared" si="176"/>
        <v>1</v>
      </c>
      <c r="W2873">
        <f t="shared" si="177"/>
        <v>0</v>
      </c>
      <c r="X2873" t="str">
        <f t="shared" si="178"/>
        <v>13-24 Months</v>
      </c>
      <c r="Y2873" s="1" t="str">
        <f t="shared" si="179"/>
        <v>High</v>
      </c>
    </row>
    <row r="2874" spans="1:25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 t="shared" si="176"/>
        <v>0</v>
      </c>
      <c r="W2874">
        <f t="shared" si="177"/>
        <v>1</v>
      </c>
      <c r="X2874" t="str">
        <f t="shared" si="178"/>
        <v>25-48 Months</v>
      </c>
      <c r="Y2874" s="1" t="str">
        <f t="shared" si="179"/>
        <v>Low</v>
      </c>
    </row>
    <row r="2875" spans="1:25" x14ac:dyDescent="0.2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 t="shared" si="176"/>
        <v>1</v>
      </c>
      <c r="W2875">
        <f t="shared" si="177"/>
        <v>0</v>
      </c>
      <c r="X2875" t="str">
        <f t="shared" si="178"/>
        <v>25-48 Months</v>
      </c>
      <c r="Y2875" s="1" t="str">
        <f t="shared" si="179"/>
        <v>High</v>
      </c>
    </row>
    <row r="2876" spans="1:25" x14ac:dyDescent="0.2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 t="shared" si="176"/>
        <v>0</v>
      </c>
      <c r="W2876">
        <f t="shared" si="177"/>
        <v>1</v>
      </c>
      <c r="X2876" t="str">
        <f t="shared" si="178"/>
        <v>49+ Months</v>
      </c>
      <c r="Y2876" s="1" t="str">
        <f t="shared" si="179"/>
        <v>Low</v>
      </c>
    </row>
    <row r="2877" spans="1:25" x14ac:dyDescent="0.2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 t="shared" si="176"/>
        <v>1</v>
      </c>
      <c r="W2877">
        <f t="shared" si="177"/>
        <v>0</v>
      </c>
      <c r="X2877" t="str">
        <f t="shared" si="178"/>
        <v>13-24 Months</v>
      </c>
      <c r="Y2877" s="1" t="str">
        <f t="shared" si="179"/>
        <v>High</v>
      </c>
    </row>
    <row r="2878" spans="1:25" x14ac:dyDescent="0.2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 t="shared" si="176"/>
        <v>0</v>
      </c>
      <c r="W2878">
        <f t="shared" si="177"/>
        <v>1</v>
      </c>
      <c r="X2878" t="str">
        <f t="shared" si="178"/>
        <v>13-24 Months</v>
      </c>
      <c r="Y2878" s="1" t="str">
        <f t="shared" si="179"/>
        <v>Low</v>
      </c>
    </row>
    <row r="2879" spans="1:25" x14ac:dyDescent="0.2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 t="shared" si="176"/>
        <v>1</v>
      </c>
      <c r="W2879">
        <f t="shared" si="177"/>
        <v>0</v>
      </c>
      <c r="X2879" t="str">
        <f t="shared" si="178"/>
        <v>49+ Months</v>
      </c>
      <c r="Y2879" s="1" t="str">
        <f t="shared" si="179"/>
        <v>High</v>
      </c>
    </row>
    <row r="2880" spans="1:25" x14ac:dyDescent="0.2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 t="shared" si="176"/>
        <v>0</v>
      </c>
      <c r="W2880">
        <f t="shared" si="177"/>
        <v>1</v>
      </c>
      <c r="X2880" t="str">
        <f t="shared" si="178"/>
        <v>13-24 Months</v>
      </c>
      <c r="Y2880" s="1" t="str">
        <f t="shared" si="179"/>
        <v>High</v>
      </c>
    </row>
    <row r="2881" spans="1:25" x14ac:dyDescent="0.2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 t="shared" si="176"/>
        <v>1</v>
      </c>
      <c r="W2881">
        <f t="shared" si="177"/>
        <v>0</v>
      </c>
      <c r="X2881" t="str">
        <f t="shared" si="178"/>
        <v>49+ Months</v>
      </c>
      <c r="Y2881" s="1" t="str">
        <f t="shared" si="179"/>
        <v>High</v>
      </c>
    </row>
    <row r="2882" spans="1:25" x14ac:dyDescent="0.2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 t="shared" ref="V2882:V2945" si="180">IF(U2882="Yes",1,0)</f>
        <v>0</v>
      </c>
      <c r="W2882">
        <f t="shared" ref="W2882:W2945" si="181">IF(U2882="No",1,0)</f>
        <v>1</v>
      </c>
      <c r="X2882" t="str">
        <f t="shared" ref="X2882:X2945" si="182">IF(F2882&lt;=12,"0-12 Months",IF(F2882&lt;=24,"13-24 Months",IF(F2882&lt;=48,"25-48 Months","49+ Months")))</f>
        <v>0-12 Months</v>
      </c>
      <c r="Y2882" s="1" t="str">
        <f t="shared" ref="Y2882:Y2945" si="183">IF(S2882&lt;50,"Low",IF(S2882&lt;80,"Medium","High"))</f>
        <v>Medium</v>
      </c>
    </row>
    <row r="2883" spans="1:25" x14ac:dyDescent="0.2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 t="shared" si="180"/>
        <v>0</v>
      </c>
      <c r="W2883">
        <f t="shared" si="181"/>
        <v>1</v>
      </c>
      <c r="X2883" t="str">
        <f t="shared" si="182"/>
        <v>25-48 Months</v>
      </c>
      <c r="Y2883" s="1" t="str">
        <f t="shared" si="183"/>
        <v>Medium</v>
      </c>
    </row>
    <row r="2884" spans="1:25" x14ac:dyDescent="0.2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 t="shared" si="180"/>
        <v>0</v>
      </c>
      <c r="W2884">
        <f t="shared" si="181"/>
        <v>1</v>
      </c>
      <c r="X2884" t="str">
        <f t="shared" si="182"/>
        <v>0-12 Months</v>
      </c>
      <c r="Y2884" s="1" t="str">
        <f t="shared" si="183"/>
        <v>Medium</v>
      </c>
    </row>
    <row r="2885" spans="1:25" x14ac:dyDescent="0.2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 t="shared" si="180"/>
        <v>0</v>
      </c>
      <c r="W2885">
        <f t="shared" si="181"/>
        <v>1</v>
      </c>
      <c r="X2885" t="str">
        <f t="shared" si="182"/>
        <v>49+ Months</v>
      </c>
      <c r="Y2885" s="1" t="str">
        <f t="shared" si="183"/>
        <v>Low</v>
      </c>
    </row>
    <row r="2886" spans="1:25" x14ac:dyDescent="0.2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 t="shared" si="180"/>
        <v>0</v>
      </c>
      <c r="W2886">
        <f t="shared" si="181"/>
        <v>1</v>
      </c>
      <c r="X2886" t="str">
        <f t="shared" si="182"/>
        <v>49+ Months</v>
      </c>
      <c r="Y2886" s="1" t="str">
        <f t="shared" si="183"/>
        <v>High</v>
      </c>
    </row>
    <row r="2887" spans="1:25" x14ac:dyDescent="0.2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 t="shared" si="180"/>
        <v>0</v>
      </c>
      <c r="W2887">
        <f t="shared" si="181"/>
        <v>1</v>
      </c>
      <c r="X2887" t="str">
        <f t="shared" si="182"/>
        <v>49+ Months</v>
      </c>
      <c r="Y2887" s="1" t="str">
        <f t="shared" si="183"/>
        <v>High</v>
      </c>
    </row>
    <row r="2888" spans="1:25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 t="shared" si="180"/>
        <v>0</v>
      </c>
      <c r="W2888">
        <f t="shared" si="181"/>
        <v>1</v>
      </c>
      <c r="X2888" t="str">
        <f t="shared" si="182"/>
        <v>49+ Months</v>
      </c>
      <c r="Y2888" s="1" t="str">
        <f t="shared" si="183"/>
        <v>High</v>
      </c>
    </row>
    <row r="2889" spans="1:25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 t="shared" si="180"/>
        <v>1</v>
      </c>
      <c r="W2889">
        <f t="shared" si="181"/>
        <v>0</v>
      </c>
      <c r="X2889" t="str">
        <f t="shared" si="182"/>
        <v>0-12 Months</v>
      </c>
      <c r="Y2889" s="1" t="str">
        <f t="shared" si="183"/>
        <v>Low</v>
      </c>
    </row>
    <row r="2890" spans="1:25" x14ac:dyDescent="0.2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 t="shared" si="180"/>
        <v>1</v>
      </c>
      <c r="W2890">
        <f t="shared" si="181"/>
        <v>0</v>
      </c>
      <c r="X2890" t="str">
        <f t="shared" si="182"/>
        <v>0-12 Months</v>
      </c>
      <c r="Y2890" s="1" t="str">
        <f t="shared" si="183"/>
        <v>Medium</v>
      </c>
    </row>
    <row r="2891" spans="1:25" x14ac:dyDescent="0.2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 t="shared" si="180"/>
        <v>0</v>
      </c>
      <c r="W2891">
        <f t="shared" si="181"/>
        <v>1</v>
      </c>
      <c r="X2891" t="str">
        <f t="shared" si="182"/>
        <v>49+ Months</v>
      </c>
      <c r="Y2891" s="1" t="str">
        <f t="shared" si="183"/>
        <v>Medium</v>
      </c>
    </row>
    <row r="2892" spans="1:25" x14ac:dyDescent="0.2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 t="shared" si="180"/>
        <v>1</v>
      </c>
      <c r="W2892">
        <f t="shared" si="181"/>
        <v>0</v>
      </c>
      <c r="X2892" t="str">
        <f t="shared" si="182"/>
        <v>25-48 Months</v>
      </c>
      <c r="Y2892" s="1" t="str">
        <f t="shared" si="183"/>
        <v>Medium</v>
      </c>
    </row>
    <row r="2893" spans="1:25" x14ac:dyDescent="0.2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 t="shared" si="180"/>
        <v>1</v>
      </c>
      <c r="W2893">
        <f t="shared" si="181"/>
        <v>0</v>
      </c>
      <c r="X2893" t="str">
        <f t="shared" si="182"/>
        <v>0-12 Months</v>
      </c>
      <c r="Y2893" s="1" t="str">
        <f t="shared" si="183"/>
        <v>Medium</v>
      </c>
    </row>
    <row r="2894" spans="1:25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 t="shared" si="180"/>
        <v>0</v>
      </c>
      <c r="W2894">
        <f t="shared" si="181"/>
        <v>1</v>
      </c>
      <c r="X2894" t="str">
        <f t="shared" si="182"/>
        <v>0-12 Months</v>
      </c>
      <c r="Y2894" s="1" t="str">
        <f t="shared" si="183"/>
        <v>Low</v>
      </c>
    </row>
    <row r="2895" spans="1:25" x14ac:dyDescent="0.2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 t="shared" si="180"/>
        <v>1</v>
      </c>
      <c r="W2895">
        <f t="shared" si="181"/>
        <v>0</v>
      </c>
      <c r="X2895" t="str">
        <f t="shared" si="182"/>
        <v>13-24 Months</v>
      </c>
      <c r="Y2895" s="1" t="str">
        <f t="shared" si="183"/>
        <v>Medium</v>
      </c>
    </row>
    <row r="2896" spans="1:25" x14ac:dyDescent="0.2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 t="shared" si="180"/>
        <v>1</v>
      </c>
      <c r="W2896">
        <f t="shared" si="181"/>
        <v>0</v>
      </c>
      <c r="X2896" t="str">
        <f t="shared" si="182"/>
        <v>25-48 Months</v>
      </c>
      <c r="Y2896" s="1" t="str">
        <f t="shared" si="183"/>
        <v>Medium</v>
      </c>
    </row>
    <row r="2897" spans="1:25" x14ac:dyDescent="0.2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 t="shared" si="180"/>
        <v>0</v>
      </c>
      <c r="W2897">
        <f t="shared" si="181"/>
        <v>1</v>
      </c>
      <c r="X2897" t="str">
        <f t="shared" si="182"/>
        <v>25-48 Months</v>
      </c>
      <c r="Y2897" s="1" t="str">
        <f t="shared" si="183"/>
        <v>Low</v>
      </c>
    </row>
    <row r="2898" spans="1:25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 t="shared" si="180"/>
        <v>0</v>
      </c>
      <c r="W2898">
        <f t="shared" si="181"/>
        <v>1</v>
      </c>
      <c r="X2898" t="str">
        <f t="shared" si="182"/>
        <v>13-24 Months</v>
      </c>
      <c r="Y2898" s="1" t="str">
        <f t="shared" si="183"/>
        <v>Low</v>
      </c>
    </row>
    <row r="2899" spans="1:25" x14ac:dyDescent="0.2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 t="shared" si="180"/>
        <v>0</v>
      </c>
      <c r="W2899">
        <f t="shared" si="181"/>
        <v>1</v>
      </c>
      <c r="X2899" t="str">
        <f t="shared" si="182"/>
        <v>25-48 Months</v>
      </c>
      <c r="Y2899" s="1" t="str">
        <f t="shared" si="183"/>
        <v>Low</v>
      </c>
    </row>
    <row r="2900" spans="1:25" x14ac:dyDescent="0.2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 t="shared" si="180"/>
        <v>0</v>
      </c>
      <c r="W2900">
        <f t="shared" si="181"/>
        <v>1</v>
      </c>
      <c r="X2900" t="str">
        <f t="shared" si="182"/>
        <v>0-12 Months</v>
      </c>
      <c r="Y2900" s="1" t="str">
        <f t="shared" si="183"/>
        <v>Medium</v>
      </c>
    </row>
    <row r="2901" spans="1:25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 t="shared" si="180"/>
        <v>0</v>
      </c>
      <c r="W2901">
        <f t="shared" si="181"/>
        <v>1</v>
      </c>
      <c r="X2901" t="str">
        <f t="shared" si="182"/>
        <v>49+ Months</v>
      </c>
      <c r="Y2901" s="1" t="str">
        <f t="shared" si="183"/>
        <v>Medium</v>
      </c>
    </row>
    <row r="2902" spans="1:25" x14ac:dyDescent="0.2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 t="shared" si="180"/>
        <v>1</v>
      </c>
      <c r="W2902">
        <f t="shared" si="181"/>
        <v>0</v>
      </c>
      <c r="X2902" t="str">
        <f t="shared" si="182"/>
        <v>0-12 Months</v>
      </c>
      <c r="Y2902" s="1" t="str">
        <f t="shared" si="183"/>
        <v>Medium</v>
      </c>
    </row>
    <row r="2903" spans="1:25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 t="shared" si="180"/>
        <v>0</v>
      </c>
      <c r="W2903">
        <f t="shared" si="181"/>
        <v>1</v>
      </c>
      <c r="X2903" t="str">
        <f t="shared" si="182"/>
        <v>49+ Months</v>
      </c>
      <c r="Y2903" s="1" t="str">
        <f t="shared" si="183"/>
        <v>High</v>
      </c>
    </row>
    <row r="2904" spans="1:25" x14ac:dyDescent="0.2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 t="shared" si="180"/>
        <v>0</v>
      </c>
      <c r="W2904">
        <f t="shared" si="181"/>
        <v>1</v>
      </c>
      <c r="X2904" t="str">
        <f t="shared" si="182"/>
        <v>0-12 Months</v>
      </c>
      <c r="Y2904" s="1" t="str">
        <f t="shared" si="183"/>
        <v>Medium</v>
      </c>
    </row>
    <row r="2905" spans="1:25" x14ac:dyDescent="0.2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 t="shared" si="180"/>
        <v>0</v>
      </c>
      <c r="W2905">
        <f t="shared" si="181"/>
        <v>1</v>
      </c>
      <c r="X2905" t="str">
        <f t="shared" si="182"/>
        <v>0-12 Months</v>
      </c>
      <c r="Y2905" s="1" t="str">
        <f t="shared" si="183"/>
        <v>Low</v>
      </c>
    </row>
    <row r="2906" spans="1:25" x14ac:dyDescent="0.2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 t="shared" si="180"/>
        <v>1</v>
      </c>
      <c r="W2906">
        <f t="shared" si="181"/>
        <v>0</v>
      </c>
      <c r="X2906" t="str">
        <f t="shared" si="182"/>
        <v>25-48 Months</v>
      </c>
      <c r="Y2906" s="1" t="str">
        <f t="shared" si="183"/>
        <v>Medium</v>
      </c>
    </row>
    <row r="2907" spans="1:25" x14ac:dyDescent="0.2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 t="shared" si="180"/>
        <v>0</v>
      </c>
      <c r="W2907">
        <f t="shared" si="181"/>
        <v>1</v>
      </c>
      <c r="X2907" t="str">
        <f t="shared" si="182"/>
        <v>13-24 Months</v>
      </c>
      <c r="Y2907" s="1" t="str">
        <f t="shared" si="183"/>
        <v>Medium</v>
      </c>
    </row>
    <row r="2908" spans="1:25" x14ac:dyDescent="0.2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 t="shared" si="180"/>
        <v>0</v>
      </c>
      <c r="W2908">
        <f t="shared" si="181"/>
        <v>1</v>
      </c>
      <c r="X2908" t="str">
        <f t="shared" si="182"/>
        <v>0-12 Months</v>
      </c>
      <c r="Y2908" s="1" t="str">
        <f t="shared" si="183"/>
        <v>Low</v>
      </c>
    </row>
    <row r="2909" spans="1:25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 t="shared" si="180"/>
        <v>1</v>
      </c>
      <c r="W2909">
        <f t="shared" si="181"/>
        <v>0</v>
      </c>
      <c r="X2909" t="str">
        <f t="shared" si="182"/>
        <v>13-24 Months</v>
      </c>
      <c r="Y2909" s="1" t="str">
        <f t="shared" si="183"/>
        <v>High</v>
      </c>
    </row>
    <row r="2910" spans="1:25" x14ac:dyDescent="0.2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 t="shared" si="180"/>
        <v>1</v>
      </c>
      <c r="W2910">
        <f t="shared" si="181"/>
        <v>0</v>
      </c>
      <c r="X2910" t="str">
        <f t="shared" si="182"/>
        <v>13-24 Months</v>
      </c>
      <c r="Y2910" s="1" t="str">
        <f t="shared" si="183"/>
        <v>High</v>
      </c>
    </row>
    <row r="2911" spans="1:25" x14ac:dyDescent="0.2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 t="shared" si="180"/>
        <v>0</v>
      </c>
      <c r="W2911">
        <f t="shared" si="181"/>
        <v>1</v>
      </c>
      <c r="X2911" t="str">
        <f t="shared" si="182"/>
        <v>25-48 Months</v>
      </c>
      <c r="Y2911" s="1" t="str">
        <f t="shared" si="183"/>
        <v>Medium</v>
      </c>
    </row>
    <row r="2912" spans="1:25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 t="shared" si="180"/>
        <v>0</v>
      </c>
      <c r="W2912">
        <f t="shared" si="181"/>
        <v>1</v>
      </c>
      <c r="X2912" t="str">
        <f t="shared" si="182"/>
        <v>25-48 Months</v>
      </c>
      <c r="Y2912" s="1" t="str">
        <f t="shared" si="183"/>
        <v>Low</v>
      </c>
    </row>
    <row r="2913" spans="1:25" x14ac:dyDescent="0.2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 t="shared" si="180"/>
        <v>1</v>
      </c>
      <c r="W2913">
        <f t="shared" si="181"/>
        <v>0</v>
      </c>
      <c r="X2913" t="str">
        <f t="shared" si="182"/>
        <v>0-12 Months</v>
      </c>
      <c r="Y2913" s="1" t="str">
        <f t="shared" si="183"/>
        <v>Medium</v>
      </c>
    </row>
    <row r="2914" spans="1:25" x14ac:dyDescent="0.2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 t="shared" si="180"/>
        <v>0</v>
      </c>
      <c r="W2914">
        <f t="shared" si="181"/>
        <v>1</v>
      </c>
      <c r="X2914" t="str">
        <f t="shared" si="182"/>
        <v>25-48 Months</v>
      </c>
      <c r="Y2914" s="1" t="str">
        <f t="shared" si="183"/>
        <v>High</v>
      </c>
    </row>
    <row r="2915" spans="1:25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 t="shared" si="180"/>
        <v>0</v>
      </c>
      <c r="W2915">
        <f t="shared" si="181"/>
        <v>1</v>
      </c>
      <c r="X2915" t="str">
        <f t="shared" si="182"/>
        <v>49+ Months</v>
      </c>
      <c r="Y2915" s="1" t="str">
        <f t="shared" si="183"/>
        <v>Medium</v>
      </c>
    </row>
    <row r="2916" spans="1:25" x14ac:dyDescent="0.2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 t="shared" si="180"/>
        <v>0</v>
      </c>
      <c r="W2916">
        <f t="shared" si="181"/>
        <v>1</v>
      </c>
      <c r="X2916" t="str">
        <f t="shared" si="182"/>
        <v>25-48 Months</v>
      </c>
      <c r="Y2916" s="1" t="str">
        <f t="shared" si="183"/>
        <v>Medium</v>
      </c>
    </row>
    <row r="2917" spans="1:25" x14ac:dyDescent="0.2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 t="shared" si="180"/>
        <v>0</v>
      </c>
      <c r="W2917">
        <f t="shared" si="181"/>
        <v>1</v>
      </c>
      <c r="X2917" t="str">
        <f t="shared" si="182"/>
        <v>49+ Months</v>
      </c>
      <c r="Y2917" s="1" t="str">
        <f t="shared" si="183"/>
        <v>Medium</v>
      </c>
    </row>
    <row r="2918" spans="1:25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 t="shared" si="180"/>
        <v>0</v>
      </c>
      <c r="W2918">
        <f t="shared" si="181"/>
        <v>1</v>
      </c>
      <c r="X2918" t="str">
        <f t="shared" si="182"/>
        <v>49+ Months</v>
      </c>
      <c r="Y2918" s="1" t="str">
        <f t="shared" si="183"/>
        <v>Low</v>
      </c>
    </row>
    <row r="2919" spans="1:25" x14ac:dyDescent="0.2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 t="shared" si="180"/>
        <v>0</v>
      </c>
      <c r="W2919">
        <f t="shared" si="181"/>
        <v>1</v>
      </c>
      <c r="X2919" t="str">
        <f t="shared" si="182"/>
        <v>49+ Months</v>
      </c>
      <c r="Y2919" s="1" t="str">
        <f t="shared" si="183"/>
        <v>Low</v>
      </c>
    </row>
    <row r="2920" spans="1:25" x14ac:dyDescent="0.2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 t="shared" si="180"/>
        <v>0</v>
      </c>
      <c r="W2920">
        <f t="shared" si="181"/>
        <v>1</v>
      </c>
      <c r="X2920" t="str">
        <f t="shared" si="182"/>
        <v>0-12 Months</v>
      </c>
      <c r="Y2920" s="1" t="str">
        <f t="shared" si="183"/>
        <v>Low</v>
      </c>
    </row>
    <row r="2921" spans="1:25" x14ac:dyDescent="0.2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 t="shared" si="180"/>
        <v>0</v>
      </c>
      <c r="W2921">
        <f t="shared" si="181"/>
        <v>1</v>
      </c>
      <c r="X2921" t="str">
        <f t="shared" si="182"/>
        <v>49+ Months</v>
      </c>
      <c r="Y2921" s="1" t="str">
        <f t="shared" si="183"/>
        <v>Low</v>
      </c>
    </row>
    <row r="2922" spans="1:25" x14ac:dyDescent="0.2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 t="shared" si="180"/>
        <v>0</v>
      </c>
      <c r="W2922">
        <f t="shared" si="181"/>
        <v>1</v>
      </c>
      <c r="X2922" t="str">
        <f t="shared" si="182"/>
        <v>49+ Months</v>
      </c>
      <c r="Y2922" s="1" t="str">
        <f t="shared" si="183"/>
        <v>High</v>
      </c>
    </row>
    <row r="2923" spans="1:25" x14ac:dyDescent="0.2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 t="shared" si="180"/>
        <v>1</v>
      </c>
      <c r="W2923">
        <f t="shared" si="181"/>
        <v>0</v>
      </c>
      <c r="X2923" t="str">
        <f t="shared" si="182"/>
        <v>0-12 Months</v>
      </c>
      <c r="Y2923" s="1" t="str">
        <f t="shared" si="183"/>
        <v>High</v>
      </c>
    </row>
    <row r="2924" spans="1:25" x14ac:dyDescent="0.2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 t="shared" si="180"/>
        <v>1</v>
      </c>
      <c r="W2924">
        <f t="shared" si="181"/>
        <v>0</v>
      </c>
      <c r="X2924" t="str">
        <f t="shared" si="182"/>
        <v>25-48 Months</v>
      </c>
      <c r="Y2924" s="1" t="str">
        <f t="shared" si="183"/>
        <v>High</v>
      </c>
    </row>
    <row r="2925" spans="1:25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 t="shared" si="180"/>
        <v>0</v>
      </c>
      <c r="W2925">
        <f t="shared" si="181"/>
        <v>1</v>
      </c>
      <c r="X2925" t="str">
        <f t="shared" si="182"/>
        <v>49+ Months</v>
      </c>
      <c r="Y2925" s="1" t="str">
        <f t="shared" si="183"/>
        <v>High</v>
      </c>
    </row>
    <row r="2926" spans="1:25" x14ac:dyDescent="0.2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 t="shared" si="180"/>
        <v>1</v>
      </c>
      <c r="W2926">
        <f t="shared" si="181"/>
        <v>0</v>
      </c>
      <c r="X2926" t="str">
        <f t="shared" si="182"/>
        <v>0-12 Months</v>
      </c>
      <c r="Y2926" s="1" t="str">
        <f t="shared" si="183"/>
        <v>Medium</v>
      </c>
    </row>
    <row r="2927" spans="1:25" x14ac:dyDescent="0.2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 t="shared" si="180"/>
        <v>0</v>
      </c>
      <c r="W2927">
        <f t="shared" si="181"/>
        <v>1</v>
      </c>
      <c r="X2927" t="str">
        <f t="shared" si="182"/>
        <v>49+ Months</v>
      </c>
      <c r="Y2927" s="1" t="str">
        <f t="shared" si="183"/>
        <v>High</v>
      </c>
    </row>
    <row r="2928" spans="1:25" x14ac:dyDescent="0.2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 t="shared" si="180"/>
        <v>0</v>
      </c>
      <c r="W2928">
        <f t="shared" si="181"/>
        <v>1</v>
      </c>
      <c r="X2928" t="str">
        <f t="shared" si="182"/>
        <v>49+ Months</v>
      </c>
      <c r="Y2928" s="1" t="str">
        <f t="shared" si="183"/>
        <v>High</v>
      </c>
    </row>
    <row r="2929" spans="1:25" x14ac:dyDescent="0.2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 t="shared" si="180"/>
        <v>0</v>
      </c>
      <c r="W2929">
        <f t="shared" si="181"/>
        <v>1</v>
      </c>
      <c r="X2929" t="str">
        <f t="shared" si="182"/>
        <v>0-12 Months</v>
      </c>
      <c r="Y2929" s="1" t="str">
        <f t="shared" si="183"/>
        <v>Medium</v>
      </c>
    </row>
    <row r="2930" spans="1:25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 t="shared" si="180"/>
        <v>0</v>
      </c>
      <c r="W2930">
        <f t="shared" si="181"/>
        <v>1</v>
      </c>
      <c r="X2930" t="str">
        <f t="shared" si="182"/>
        <v>49+ Months</v>
      </c>
      <c r="Y2930" s="1" t="str">
        <f t="shared" si="183"/>
        <v>High</v>
      </c>
    </row>
    <row r="2931" spans="1:25" x14ac:dyDescent="0.2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 t="shared" si="180"/>
        <v>0</v>
      </c>
      <c r="W2931">
        <f t="shared" si="181"/>
        <v>1</v>
      </c>
      <c r="X2931" t="str">
        <f t="shared" si="182"/>
        <v>25-48 Months</v>
      </c>
      <c r="Y2931" s="1" t="str">
        <f t="shared" si="183"/>
        <v>Low</v>
      </c>
    </row>
    <row r="2932" spans="1:25" x14ac:dyDescent="0.2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 t="shared" si="180"/>
        <v>0</v>
      </c>
      <c r="W2932">
        <f t="shared" si="181"/>
        <v>1</v>
      </c>
      <c r="X2932" t="str">
        <f t="shared" si="182"/>
        <v>25-48 Months</v>
      </c>
      <c r="Y2932" s="1" t="str">
        <f t="shared" si="183"/>
        <v>Low</v>
      </c>
    </row>
    <row r="2933" spans="1:25" x14ac:dyDescent="0.2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 t="shared" si="180"/>
        <v>0</v>
      </c>
      <c r="W2933">
        <f t="shared" si="181"/>
        <v>1</v>
      </c>
      <c r="X2933" t="str">
        <f t="shared" si="182"/>
        <v>25-48 Months</v>
      </c>
      <c r="Y2933" s="1" t="str">
        <f t="shared" si="183"/>
        <v>High</v>
      </c>
    </row>
    <row r="2934" spans="1:25" x14ac:dyDescent="0.2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 t="shared" si="180"/>
        <v>0</v>
      </c>
      <c r="W2934">
        <f t="shared" si="181"/>
        <v>1</v>
      </c>
      <c r="X2934" t="str">
        <f t="shared" si="182"/>
        <v>49+ Months</v>
      </c>
      <c r="Y2934" s="1" t="str">
        <f t="shared" si="183"/>
        <v>High</v>
      </c>
    </row>
    <row r="2935" spans="1:25" x14ac:dyDescent="0.2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 t="shared" si="180"/>
        <v>0</v>
      </c>
      <c r="W2935">
        <f t="shared" si="181"/>
        <v>1</v>
      </c>
      <c r="X2935" t="str">
        <f t="shared" si="182"/>
        <v>49+ Months</v>
      </c>
      <c r="Y2935" s="1" t="str">
        <f t="shared" si="183"/>
        <v>Low</v>
      </c>
    </row>
    <row r="2936" spans="1:25" x14ac:dyDescent="0.2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 t="shared" si="180"/>
        <v>0</v>
      </c>
      <c r="W2936">
        <f t="shared" si="181"/>
        <v>1</v>
      </c>
      <c r="X2936" t="str">
        <f t="shared" si="182"/>
        <v>0-12 Months</v>
      </c>
      <c r="Y2936" s="1" t="str">
        <f t="shared" si="183"/>
        <v>Low</v>
      </c>
    </row>
    <row r="2937" spans="1:25" x14ac:dyDescent="0.2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 t="shared" si="180"/>
        <v>0</v>
      </c>
      <c r="W2937">
        <f t="shared" si="181"/>
        <v>1</v>
      </c>
      <c r="X2937" t="str">
        <f t="shared" si="182"/>
        <v>49+ Months</v>
      </c>
      <c r="Y2937" s="1" t="str">
        <f t="shared" si="183"/>
        <v>High</v>
      </c>
    </row>
    <row r="2938" spans="1:25" x14ac:dyDescent="0.2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 t="shared" si="180"/>
        <v>0</v>
      </c>
      <c r="W2938">
        <f t="shared" si="181"/>
        <v>1</v>
      </c>
      <c r="X2938" t="str">
        <f t="shared" si="182"/>
        <v>25-48 Months</v>
      </c>
      <c r="Y2938" s="1" t="str">
        <f t="shared" si="183"/>
        <v>High</v>
      </c>
    </row>
    <row r="2939" spans="1:25" x14ac:dyDescent="0.2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 t="shared" si="180"/>
        <v>0</v>
      </c>
      <c r="W2939">
        <f t="shared" si="181"/>
        <v>1</v>
      </c>
      <c r="X2939" t="str">
        <f t="shared" si="182"/>
        <v>49+ Months</v>
      </c>
      <c r="Y2939" s="1" t="str">
        <f t="shared" si="183"/>
        <v>High</v>
      </c>
    </row>
    <row r="2940" spans="1:25" x14ac:dyDescent="0.2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 t="shared" si="180"/>
        <v>0</v>
      </c>
      <c r="W2940">
        <f t="shared" si="181"/>
        <v>1</v>
      </c>
      <c r="X2940" t="str">
        <f t="shared" si="182"/>
        <v>49+ Months</v>
      </c>
      <c r="Y2940" s="1" t="str">
        <f t="shared" si="183"/>
        <v>High</v>
      </c>
    </row>
    <row r="2941" spans="1:25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 t="shared" si="180"/>
        <v>1</v>
      </c>
      <c r="W2941">
        <f t="shared" si="181"/>
        <v>0</v>
      </c>
      <c r="X2941" t="str">
        <f t="shared" si="182"/>
        <v>0-12 Months</v>
      </c>
      <c r="Y2941" s="1" t="str">
        <f t="shared" si="183"/>
        <v>High</v>
      </c>
    </row>
    <row r="2942" spans="1:25" x14ac:dyDescent="0.2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 t="shared" si="180"/>
        <v>1</v>
      </c>
      <c r="W2942">
        <f t="shared" si="181"/>
        <v>0</v>
      </c>
      <c r="X2942" t="str">
        <f t="shared" si="182"/>
        <v>49+ Months</v>
      </c>
      <c r="Y2942" s="1" t="str">
        <f t="shared" si="183"/>
        <v>Medium</v>
      </c>
    </row>
    <row r="2943" spans="1:25" x14ac:dyDescent="0.2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 t="shared" si="180"/>
        <v>0</v>
      </c>
      <c r="W2943">
        <f t="shared" si="181"/>
        <v>1</v>
      </c>
      <c r="X2943" t="str">
        <f t="shared" si="182"/>
        <v>49+ Months</v>
      </c>
      <c r="Y2943" s="1" t="str">
        <f t="shared" si="183"/>
        <v>High</v>
      </c>
    </row>
    <row r="2944" spans="1:25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 t="shared" si="180"/>
        <v>0</v>
      </c>
      <c r="W2944">
        <f t="shared" si="181"/>
        <v>1</v>
      </c>
      <c r="X2944" t="str">
        <f t="shared" si="182"/>
        <v>25-48 Months</v>
      </c>
      <c r="Y2944" s="1" t="str">
        <f t="shared" si="183"/>
        <v>Low</v>
      </c>
    </row>
    <row r="2945" spans="1:25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 t="shared" si="180"/>
        <v>0</v>
      </c>
      <c r="W2945">
        <f t="shared" si="181"/>
        <v>1</v>
      </c>
      <c r="X2945" t="str">
        <f t="shared" si="182"/>
        <v>25-48 Months</v>
      </c>
      <c r="Y2945" s="1" t="str">
        <f t="shared" si="183"/>
        <v>Low</v>
      </c>
    </row>
    <row r="2946" spans="1:25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 t="shared" ref="V2946:V3009" si="184">IF(U2946="Yes",1,0)</f>
        <v>0</v>
      </c>
      <c r="W2946">
        <f t="shared" ref="W2946:W3009" si="185">IF(U2946="No",1,0)</f>
        <v>1</v>
      </c>
      <c r="X2946" t="str">
        <f t="shared" ref="X2946:X3009" si="186">IF(F2946&lt;=12,"0-12 Months",IF(F2946&lt;=24,"13-24 Months",IF(F2946&lt;=48,"25-48 Months","49+ Months")))</f>
        <v>0-12 Months</v>
      </c>
      <c r="Y2946" s="1" t="str">
        <f t="shared" ref="Y2946:Y3009" si="187">IF(S2946&lt;50,"Low",IF(S2946&lt;80,"Medium","High"))</f>
        <v>Medium</v>
      </c>
    </row>
    <row r="2947" spans="1:25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 t="shared" si="184"/>
        <v>0</v>
      </c>
      <c r="W2947">
        <f t="shared" si="185"/>
        <v>1</v>
      </c>
      <c r="X2947" t="str">
        <f t="shared" si="186"/>
        <v>0-12 Months</v>
      </c>
      <c r="Y2947" s="1" t="str">
        <f t="shared" si="187"/>
        <v>Medium</v>
      </c>
    </row>
    <row r="2948" spans="1:25" x14ac:dyDescent="0.2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 t="shared" si="184"/>
        <v>0</v>
      </c>
      <c r="W2948">
        <f t="shared" si="185"/>
        <v>1</v>
      </c>
      <c r="X2948" t="str">
        <f t="shared" si="186"/>
        <v>49+ Months</v>
      </c>
      <c r="Y2948" s="1" t="str">
        <f t="shared" si="187"/>
        <v>High</v>
      </c>
    </row>
    <row r="2949" spans="1:25" x14ac:dyDescent="0.2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 t="shared" si="184"/>
        <v>0</v>
      </c>
      <c r="W2949">
        <f t="shared" si="185"/>
        <v>1</v>
      </c>
      <c r="X2949" t="str">
        <f t="shared" si="186"/>
        <v>49+ Months</v>
      </c>
      <c r="Y2949" s="1" t="str">
        <f t="shared" si="187"/>
        <v>High</v>
      </c>
    </row>
    <row r="2950" spans="1:25" x14ac:dyDescent="0.2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 t="shared" si="184"/>
        <v>1</v>
      </c>
      <c r="W2950">
        <f t="shared" si="185"/>
        <v>0</v>
      </c>
      <c r="X2950" t="str">
        <f t="shared" si="186"/>
        <v>25-48 Months</v>
      </c>
      <c r="Y2950" s="1" t="str">
        <f t="shared" si="187"/>
        <v>High</v>
      </c>
    </row>
    <row r="2951" spans="1:25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 t="shared" si="184"/>
        <v>0</v>
      </c>
      <c r="W2951">
        <f t="shared" si="185"/>
        <v>1</v>
      </c>
      <c r="X2951" t="str">
        <f t="shared" si="186"/>
        <v>49+ Months</v>
      </c>
      <c r="Y2951" s="1" t="str">
        <f t="shared" si="187"/>
        <v>Medium</v>
      </c>
    </row>
    <row r="2952" spans="1:25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 t="shared" si="184"/>
        <v>0</v>
      </c>
      <c r="W2952">
        <f t="shared" si="185"/>
        <v>1</v>
      </c>
      <c r="X2952" t="str">
        <f t="shared" si="186"/>
        <v>0-12 Months</v>
      </c>
      <c r="Y2952" s="1" t="str">
        <f t="shared" si="187"/>
        <v>Low</v>
      </c>
    </row>
    <row r="2953" spans="1:25" x14ac:dyDescent="0.2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 t="shared" si="184"/>
        <v>0</v>
      </c>
      <c r="W2953">
        <f t="shared" si="185"/>
        <v>1</v>
      </c>
      <c r="X2953" t="str">
        <f t="shared" si="186"/>
        <v>13-24 Months</v>
      </c>
      <c r="Y2953" s="1" t="str">
        <f t="shared" si="187"/>
        <v>Medium</v>
      </c>
    </row>
    <row r="2954" spans="1:25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 t="shared" si="184"/>
        <v>0</v>
      </c>
      <c r="W2954">
        <f t="shared" si="185"/>
        <v>1</v>
      </c>
      <c r="X2954" t="str">
        <f t="shared" si="186"/>
        <v>25-48 Months</v>
      </c>
      <c r="Y2954" s="1" t="str">
        <f t="shared" si="187"/>
        <v>Low</v>
      </c>
    </row>
    <row r="2955" spans="1:25" x14ac:dyDescent="0.2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 t="shared" si="184"/>
        <v>1</v>
      </c>
      <c r="W2955">
        <f t="shared" si="185"/>
        <v>0</v>
      </c>
      <c r="X2955" t="str">
        <f t="shared" si="186"/>
        <v>13-24 Months</v>
      </c>
      <c r="Y2955" s="1" t="str">
        <f t="shared" si="187"/>
        <v>High</v>
      </c>
    </row>
    <row r="2956" spans="1:25" x14ac:dyDescent="0.2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 t="shared" si="184"/>
        <v>1</v>
      </c>
      <c r="W2956">
        <f t="shared" si="185"/>
        <v>0</v>
      </c>
      <c r="X2956" t="str">
        <f t="shared" si="186"/>
        <v>0-12 Months</v>
      </c>
      <c r="Y2956" s="1" t="str">
        <f t="shared" si="187"/>
        <v>Medium</v>
      </c>
    </row>
    <row r="2957" spans="1:25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 t="shared" si="184"/>
        <v>1</v>
      </c>
      <c r="W2957">
        <f t="shared" si="185"/>
        <v>0</v>
      </c>
      <c r="X2957" t="str">
        <f t="shared" si="186"/>
        <v>0-12 Months</v>
      </c>
      <c r="Y2957" s="1" t="str">
        <f t="shared" si="187"/>
        <v>High</v>
      </c>
    </row>
    <row r="2958" spans="1:25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 t="shared" si="184"/>
        <v>0</v>
      </c>
      <c r="W2958">
        <f t="shared" si="185"/>
        <v>1</v>
      </c>
      <c r="X2958" t="str">
        <f t="shared" si="186"/>
        <v>49+ Months</v>
      </c>
      <c r="Y2958" s="1" t="str">
        <f t="shared" si="187"/>
        <v>High</v>
      </c>
    </row>
    <row r="2959" spans="1:25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 t="shared" si="184"/>
        <v>0</v>
      </c>
      <c r="W2959">
        <f t="shared" si="185"/>
        <v>1</v>
      </c>
      <c r="X2959" t="str">
        <f t="shared" si="186"/>
        <v>0-12 Months</v>
      </c>
      <c r="Y2959" s="1" t="str">
        <f t="shared" si="187"/>
        <v>High</v>
      </c>
    </row>
    <row r="2960" spans="1:25" x14ac:dyDescent="0.2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 t="shared" si="184"/>
        <v>0</v>
      </c>
      <c r="W2960">
        <f t="shared" si="185"/>
        <v>1</v>
      </c>
      <c r="X2960" t="str">
        <f t="shared" si="186"/>
        <v>0-12 Months</v>
      </c>
      <c r="Y2960" s="1" t="str">
        <f t="shared" si="187"/>
        <v>Low</v>
      </c>
    </row>
    <row r="2961" spans="1:25" x14ac:dyDescent="0.2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 t="shared" si="184"/>
        <v>0</v>
      </c>
      <c r="W2961">
        <f t="shared" si="185"/>
        <v>1</v>
      </c>
      <c r="X2961" t="str">
        <f t="shared" si="186"/>
        <v>25-48 Months</v>
      </c>
      <c r="Y2961" s="1" t="str">
        <f t="shared" si="187"/>
        <v>High</v>
      </c>
    </row>
    <row r="2962" spans="1:25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 t="shared" si="184"/>
        <v>1</v>
      </c>
      <c r="W2962">
        <f t="shared" si="185"/>
        <v>0</v>
      </c>
      <c r="X2962" t="str">
        <f t="shared" si="186"/>
        <v>13-24 Months</v>
      </c>
      <c r="Y2962" s="1" t="str">
        <f t="shared" si="187"/>
        <v>High</v>
      </c>
    </row>
    <row r="2963" spans="1:25" x14ac:dyDescent="0.2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 t="shared" si="184"/>
        <v>0</v>
      </c>
      <c r="W2963">
        <f t="shared" si="185"/>
        <v>1</v>
      </c>
      <c r="X2963" t="str">
        <f t="shared" si="186"/>
        <v>0-12 Months</v>
      </c>
      <c r="Y2963" s="1" t="str">
        <f t="shared" si="187"/>
        <v>Medium</v>
      </c>
    </row>
    <row r="2964" spans="1:25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 t="shared" si="184"/>
        <v>1</v>
      </c>
      <c r="W2964">
        <f t="shared" si="185"/>
        <v>0</v>
      </c>
      <c r="X2964" t="str">
        <f t="shared" si="186"/>
        <v>0-12 Months</v>
      </c>
      <c r="Y2964" s="1" t="str">
        <f t="shared" si="187"/>
        <v>Low</v>
      </c>
    </row>
    <row r="2965" spans="1:25" x14ac:dyDescent="0.2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 t="shared" si="184"/>
        <v>0</v>
      </c>
      <c r="W2965">
        <f t="shared" si="185"/>
        <v>1</v>
      </c>
      <c r="X2965" t="str">
        <f t="shared" si="186"/>
        <v>25-48 Months</v>
      </c>
      <c r="Y2965" s="1" t="str">
        <f t="shared" si="187"/>
        <v>Low</v>
      </c>
    </row>
    <row r="2966" spans="1:25" x14ac:dyDescent="0.2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 t="shared" si="184"/>
        <v>0</v>
      </c>
      <c r="W2966">
        <f t="shared" si="185"/>
        <v>1</v>
      </c>
      <c r="X2966" t="str">
        <f t="shared" si="186"/>
        <v>13-24 Months</v>
      </c>
      <c r="Y2966" s="1" t="str">
        <f t="shared" si="187"/>
        <v>Medium</v>
      </c>
    </row>
    <row r="2967" spans="1:25" x14ac:dyDescent="0.2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 t="shared" si="184"/>
        <v>1</v>
      </c>
      <c r="W2967">
        <f t="shared" si="185"/>
        <v>0</v>
      </c>
      <c r="X2967" t="str">
        <f t="shared" si="186"/>
        <v>49+ Months</v>
      </c>
      <c r="Y2967" s="1" t="str">
        <f t="shared" si="187"/>
        <v>High</v>
      </c>
    </row>
    <row r="2968" spans="1:25" x14ac:dyDescent="0.2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 t="shared" si="184"/>
        <v>0</v>
      </c>
      <c r="W2968">
        <f t="shared" si="185"/>
        <v>1</v>
      </c>
      <c r="X2968" t="str">
        <f t="shared" si="186"/>
        <v>13-24 Months</v>
      </c>
      <c r="Y2968" s="1" t="str">
        <f t="shared" si="187"/>
        <v>Low</v>
      </c>
    </row>
    <row r="2969" spans="1:25" x14ac:dyDescent="0.2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 t="shared" si="184"/>
        <v>0</v>
      </c>
      <c r="W2969">
        <f t="shared" si="185"/>
        <v>1</v>
      </c>
      <c r="X2969" t="str">
        <f t="shared" si="186"/>
        <v>49+ Months</v>
      </c>
      <c r="Y2969" s="1" t="str">
        <f t="shared" si="187"/>
        <v>High</v>
      </c>
    </row>
    <row r="2970" spans="1:25" x14ac:dyDescent="0.2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 t="shared" si="184"/>
        <v>0</v>
      </c>
      <c r="W2970">
        <f t="shared" si="185"/>
        <v>1</v>
      </c>
      <c r="X2970" t="str">
        <f t="shared" si="186"/>
        <v>0-12 Months</v>
      </c>
      <c r="Y2970" s="1" t="str">
        <f t="shared" si="187"/>
        <v>High</v>
      </c>
    </row>
    <row r="2971" spans="1:25" x14ac:dyDescent="0.2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 t="shared" si="184"/>
        <v>0</v>
      </c>
      <c r="W2971">
        <f t="shared" si="185"/>
        <v>1</v>
      </c>
      <c r="X2971" t="str">
        <f t="shared" si="186"/>
        <v>49+ Months</v>
      </c>
      <c r="Y2971" s="1" t="str">
        <f t="shared" si="187"/>
        <v>High</v>
      </c>
    </row>
    <row r="2972" spans="1:25" x14ac:dyDescent="0.2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 t="shared" si="184"/>
        <v>1</v>
      </c>
      <c r="W2972">
        <f t="shared" si="185"/>
        <v>0</v>
      </c>
      <c r="X2972" t="str">
        <f t="shared" si="186"/>
        <v>0-12 Months</v>
      </c>
      <c r="Y2972" s="1" t="str">
        <f t="shared" si="187"/>
        <v>Medium</v>
      </c>
    </row>
    <row r="2973" spans="1:25" x14ac:dyDescent="0.2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 t="shared" si="184"/>
        <v>0</v>
      </c>
      <c r="W2973">
        <f t="shared" si="185"/>
        <v>1</v>
      </c>
      <c r="X2973" t="str">
        <f t="shared" si="186"/>
        <v>49+ Months</v>
      </c>
      <c r="Y2973" s="1" t="str">
        <f t="shared" si="187"/>
        <v>High</v>
      </c>
    </row>
    <row r="2974" spans="1:25" x14ac:dyDescent="0.2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 t="shared" si="184"/>
        <v>0</v>
      </c>
      <c r="W2974">
        <f t="shared" si="185"/>
        <v>1</v>
      </c>
      <c r="X2974" t="str">
        <f t="shared" si="186"/>
        <v>49+ Months</v>
      </c>
      <c r="Y2974" s="1" t="str">
        <f t="shared" si="187"/>
        <v>Medium</v>
      </c>
    </row>
    <row r="2975" spans="1:25" x14ac:dyDescent="0.2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 t="shared" si="184"/>
        <v>1</v>
      </c>
      <c r="W2975">
        <f t="shared" si="185"/>
        <v>0</v>
      </c>
      <c r="X2975" t="str">
        <f t="shared" si="186"/>
        <v>49+ Months</v>
      </c>
      <c r="Y2975" s="1" t="str">
        <f t="shared" si="187"/>
        <v>High</v>
      </c>
    </row>
    <row r="2976" spans="1:25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 t="shared" si="184"/>
        <v>1</v>
      </c>
      <c r="W2976">
        <f t="shared" si="185"/>
        <v>0</v>
      </c>
      <c r="X2976" t="str">
        <f t="shared" si="186"/>
        <v>25-48 Months</v>
      </c>
      <c r="Y2976" s="1" t="str">
        <f t="shared" si="187"/>
        <v>High</v>
      </c>
    </row>
    <row r="2977" spans="1:25" x14ac:dyDescent="0.2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 t="shared" si="184"/>
        <v>0</v>
      </c>
      <c r="W2977">
        <f t="shared" si="185"/>
        <v>1</v>
      </c>
      <c r="X2977" t="str">
        <f t="shared" si="186"/>
        <v>0-12 Months</v>
      </c>
      <c r="Y2977" s="1" t="str">
        <f t="shared" si="187"/>
        <v>Medium</v>
      </c>
    </row>
    <row r="2978" spans="1:25" x14ac:dyDescent="0.2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 t="shared" si="184"/>
        <v>0</v>
      </c>
      <c r="W2978">
        <f t="shared" si="185"/>
        <v>1</v>
      </c>
      <c r="X2978" t="str">
        <f t="shared" si="186"/>
        <v>13-24 Months</v>
      </c>
      <c r="Y2978" s="1" t="str">
        <f t="shared" si="187"/>
        <v>Low</v>
      </c>
    </row>
    <row r="2979" spans="1:25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 t="shared" si="184"/>
        <v>0</v>
      </c>
      <c r="W2979">
        <f t="shared" si="185"/>
        <v>1</v>
      </c>
      <c r="X2979" t="str">
        <f t="shared" si="186"/>
        <v>0-12 Months</v>
      </c>
      <c r="Y2979" s="1" t="str">
        <f t="shared" si="187"/>
        <v>Low</v>
      </c>
    </row>
    <row r="2980" spans="1:25" x14ac:dyDescent="0.2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 t="shared" si="184"/>
        <v>0</v>
      </c>
      <c r="W2980">
        <f t="shared" si="185"/>
        <v>1</v>
      </c>
      <c r="X2980" t="str">
        <f t="shared" si="186"/>
        <v>13-24 Months</v>
      </c>
      <c r="Y2980" s="1" t="str">
        <f t="shared" si="187"/>
        <v>High</v>
      </c>
    </row>
    <row r="2981" spans="1:25" x14ac:dyDescent="0.2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 t="shared" si="184"/>
        <v>0</v>
      </c>
      <c r="W2981">
        <f t="shared" si="185"/>
        <v>1</v>
      </c>
      <c r="X2981" t="str">
        <f t="shared" si="186"/>
        <v>49+ Months</v>
      </c>
      <c r="Y2981" s="1" t="str">
        <f t="shared" si="187"/>
        <v>Medium</v>
      </c>
    </row>
    <row r="2982" spans="1:25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 t="shared" si="184"/>
        <v>0</v>
      </c>
      <c r="W2982">
        <f t="shared" si="185"/>
        <v>1</v>
      </c>
      <c r="X2982" t="str">
        <f t="shared" si="186"/>
        <v>49+ Months</v>
      </c>
      <c r="Y2982" s="1" t="str">
        <f t="shared" si="187"/>
        <v>Low</v>
      </c>
    </row>
    <row r="2983" spans="1:25" x14ac:dyDescent="0.2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 t="shared" si="184"/>
        <v>0</v>
      </c>
      <c r="W2983">
        <f t="shared" si="185"/>
        <v>1</v>
      </c>
      <c r="X2983" t="str">
        <f t="shared" si="186"/>
        <v>49+ Months</v>
      </c>
      <c r="Y2983" s="1" t="str">
        <f t="shared" si="187"/>
        <v>Low</v>
      </c>
    </row>
    <row r="2984" spans="1:25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 t="shared" si="184"/>
        <v>0</v>
      </c>
      <c r="W2984">
        <f t="shared" si="185"/>
        <v>1</v>
      </c>
      <c r="X2984" t="str">
        <f t="shared" si="186"/>
        <v>49+ Months</v>
      </c>
      <c r="Y2984" s="1" t="str">
        <f t="shared" si="187"/>
        <v>Low</v>
      </c>
    </row>
    <row r="2985" spans="1:25" x14ac:dyDescent="0.2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 t="shared" si="184"/>
        <v>0</v>
      </c>
      <c r="W2985">
        <f t="shared" si="185"/>
        <v>1</v>
      </c>
      <c r="X2985" t="str">
        <f t="shared" si="186"/>
        <v>49+ Months</v>
      </c>
      <c r="Y2985" s="1" t="str">
        <f t="shared" si="187"/>
        <v>High</v>
      </c>
    </row>
    <row r="2986" spans="1:25" x14ac:dyDescent="0.2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 t="shared" si="184"/>
        <v>0</v>
      </c>
      <c r="W2986">
        <f t="shared" si="185"/>
        <v>1</v>
      </c>
      <c r="X2986" t="str">
        <f t="shared" si="186"/>
        <v>25-48 Months</v>
      </c>
      <c r="Y2986" s="1" t="str">
        <f t="shared" si="187"/>
        <v>Low</v>
      </c>
    </row>
    <row r="2987" spans="1:25" x14ac:dyDescent="0.2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 t="shared" si="184"/>
        <v>0</v>
      </c>
      <c r="W2987">
        <f t="shared" si="185"/>
        <v>1</v>
      </c>
      <c r="X2987" t="str">
        <f t="shared" si="186"/>
        <v>25-48 Months</v>
      </c>
      <c r="Y2987" s="1" t="str">
        <f t="shared" si="187"/>
        <v>High</v>
      </c>
    </row>
    <row r="2988" spans="1:25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 t="shared" si="184"/>
        <v>0</v>
      </c>
      <c r="W2988">
        <f t="shared" si="185"/>
        <v>1</v>
      </c>
      <c r="X2988" t="str">
        <f t="shared" si="186"/>
        <v>49+ Months</v>
      </c>
      <c r="Y2988" s="1" t="str">
        <f t="shared" si="187"/>
        <v>Medium</v>
      </c>
    </row>
    <row r="2989" spans="1:25" x14ac:dyDescent="0.2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 t="shared" si="184"/>
        <v>0</v>
      </c>
      <c r="W2989">
        <f t="shared" si="185"/>
        <v>1</v>
      </c>
      <c r="X2989" t="str">
        <f t="shared" si="186"/>
        <v>25-48 Months</v>
      </c>
      <c r="Y2989" s="1" t="str">
        <f t="shared" si="187"/>
        <v>Low</v>
      </c>
    </row>
    <row r="2990" spans="1:25" x14ac:dyDescent="0.2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 t="shared" si="184"/>
        <v>0</v>
      </c>
      <c r="W2990">
        <f t="shared" si="185"/>
        <v>1</v>
      </c>
      <c r="X2990" t="str">
        <f t="shared" si="186"/>
        <v>49+ Months</v>
      </c>
      <c r="Y2990" s="1" t="str">
        <f t="shared" si="187"/>
        <v>High</v>
      </c>
    </row>
    <row r="2991" spans="1:25" x14ac:dyDescent="0.2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 t="shared" si="184"/>
        <v>0</v>
      </c>
      <c r="W2991">
        <f t="shared" si="185"/>
        <v>1</v>
      </c>
      <c r="X2991" t="str">
        <f t="shared" si="186"/>
        <v>0-12 Months</v>
      </c>
      <c r="Y2991" s="1" t="str">
        <f t="shared" si="187"/>
        <v>Low</v>
      </c>
    </row>
    <row r="2992" spans="1:25" x14ac:dyDescent="0.2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 t="shared" si="184"/>
        <v>1</v>
      </c>
      <c r="W2992">
        <f t="shared" si="185"/>
        <v>0</v>
      </c>
      <c r="X2992" t="str">
        <f t="shared" si="186"/>
        <v>0-12 Months</v>
      </c>
      <c r="Y2992" s="1" t="str">
        <f t="shared" si="187"/>
        <v>Low</v>
      </c>
    </row>
    <row r="2993" spans="1:25" x14ac:dyDescent="0.2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 t="shared" si="184"/>
        <v>0</v>
      </c>
      <c r="W2993">
        <f t="shared" si="185"/>
        <v>1</v>
      </c>
      <c r="X2993" t="str">
        <f t="shared" si="186"/>
        <v>25-48 Months</v>
      </c>
      <c r="Y2993" s="1" t="str">
        <f t="shared" si="187"/>
        <v>High</v>
      </c>
    </row>
    <row r="2994" spans="1:25" x14ac:dyDescent="0.2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 t="shared" si="184"/>
        <v>0</v>
      </c>
      <c r="W2994">
        <f t="shared" si="185"/>
        <v>1</v>
      </c>
      <c r="X2994" t="str">
        <f t="shared" si="186"/>
        <v>0-12 Months</v>
      </c>
      <c r="Y2994" s="1" t="str">
        <f t="shared" si="187"/>
        <v>Low</v>
      </c>
    </row>
    <row r="2995" spans="1:25" x14ac:dyDescent="0.2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 t="shared" si="184"/>
        <v>0</v>
      </c>
      <c r="W2995">
        <f t="shared" si="185"/>
        <v>1</v>
      </c>
      <c r="X2995" t="str">
        <f t="shared" si="186"/>
        <v>0-12 Months</v>
      </c>
      <c r="Y2995" s="1" t="str">
        <f t="shared" si="187"/>
        <v>Low</v>
      </c>
    </row>
    <row r="2996" spans="1:25" x14ac:dyDescent="0.2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 t="shared" si="184"/>
        <v>0</v>
      </c>
      <c r="W2996">
        <f t="shared" si="185"/>
        <v>1</v>
      </c>
      <c r="X2996" t="str">
        <f t="shared" si="186"/>
        <v>49+ Months</v>
      </c>
      <c r="Y2996" s="1" t="str">
        <f t="shared" si="187"/>
        <v>Low</v>
      </c>
    </row>
    <row r="2997" spans="1:25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 t="shared" si="184"/>
        <v>0</v>
      </c>
      <c r="W2997">
        <f t="shared" si="185"/>
        <v>1</v>
      </c>
      <c r="X2997" t="str">
        <f t="shared" si="186"/>
        <v>0-12 Months</v>
      </c>
      <c r="Y2997" s="1" t="str">
        <f t="shared" si="187"/>
        <v>Low</v>
      </c>
    </row>
    <row r="2998" spans="1:25" x14ac:dyDescent="0.2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 t="shared" si="184"/>
        <v>0</v>
      </c>
      <c r="W2998">
        <f t="shared" si="185"/>
        <v>1</v>
      </c>
      <c r="X2998" t="str">
        <f t="shared" si="186"/>
        <v>13-24 Months</v>
      </c>
      <c r="Y2998" s="1" t="str">
        <f t="shared" si="187"/>
        <v>Medium</v>
      </c>
    </row>
    <row r="2999" spans="1:25" x14ac:dyDescent="0.2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 t="shared" si="184"/>
        <v>1</v>
      </c>
      <c r="W2999">
        <f t="shared" si="185"/>
        <v>0</v>
      </c>
      <c r="X2999" t="str">
        <f t="shared" si="186"/>
        <v>49+ Months</v>
      </c>
      <c r="Y2999" s="1" t="str">
        <f t="shared" si="187"/>
        <v>High</v>
      </c>
    </row>
    <row r="3000" spans="1:25" x14ac:dyDescent="0.2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 t="shared" si="184"/>
        <v>0</v>
      </c>
      <c r="W3000">
        <f t="shared" si="185"/>
        <v>1</v>
      </c>
      <c r="X3000" t="str">
        <f t="shared" si="186"/>
        <v>0-12 Months</v>
      </c>
      <c r="Y3000" s="1" t="str">
        <f t="shared" si="187"/>
        <v>Medium</v>
      </c>
    </row>
    <row r="3001" spans="1:25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 t="shared" si="184"/>
        <v>0</v>
      </c>
      <c r="W3001">
        <f t="shared" si="185"/>
        <v>1</v>
      </c>
      <c r="X3001" t="str">
        <f t="shared" si="186"/>
        <v>13-24 Months</v>
      </c>
      <c r="Y3001" s="1" t="str">
        <f t="shared" si="187"/>
        <v>Low</v>
      </c>
    </row>
    <row r="3002" spans="1:25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 t="shared" si="184"/>
        <v>1</v>
      </c>
      <c r="W3002">
        <f t="shared" si="185"/>
        <v>0</v>
      </c>
      <c r="X3002" t="str">
        <f t="shared" si="186"/>
        <v>0-12 Months</v>
      </c>
      <c r="Y3002" s="1" t="str">
        <f t="shared" si="187"/>
        <v>High</v>
      </c>
    </row>
    <row r="3003" spans="1:25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 t="shared" si="184"/>
        <v>0</v>
      </c>
      <c r="W3003">
        <f t="shared" si="185"/>
        <v>1</v>
      </c>
      <c r="X3003" t="str">
        <f t="shared" si="186"/>
        <v>0-12 Months</v>
      </c>
      <c r="Y3003" s="1" t="str">
        <f t="shared" si="187"/>
        <v>Low</v>
      </c>
    </row>
    <row r="3004" spans="1:25" x14ac:dyDescent="0.2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 t="shared" si="184"/>
        <v>0</v>
      </c>
      <c r="W3004">
        <f t="shared" si="185"/>
        <v>1</v>
      </c>
      <c r="X3004" t="str">
        <f t="shared" si="186"/>
        <v>25-48 Months</v>
      </c>
      <c r="Y3004" s="1" t="str">
        <f t="shared" si="187"/>
        <v>High</v>
      </c>
    </row>
    <row r="3005" spans="1:25" x14ac:dyDescent="0.2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 t="shared" si="184"/>
        <v>1</v>
      </c>
      <c r="W3005">
        <f t="shared" si="185"/>
        <v>0</v>
      </c>
      <c r="X3005" t="str">
        <f t="shared" si="186"/>
        <v>25-48 Months</v>
      </c>
      <c r="Y3005" s="1" t="str">
        <f t="shared" si="187"/>
        <v>Medium</v>
      </c>
    </row>
    <row r="3006" spans="1:25" x14ac:dyDescent="0.2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 t="shared" si="184"/>
        <v>1</v>
      </c>
      <c r="W3006">
        <f t="shared" si="185"/>
        <v>0</v>
      </c>
      <c r="X3006" t="str">
        <f t="shared" si="186"/>
        <v>0-12 Months</v>
      </c>
      <c r="Y3006" s="1" t="str">
        <f t="shared" si="187"/>
        <v>High</v>
      </c>
    </row>
    <row r="3007" spans="1:25" x14ac:dyDescent="0.2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 t="shared" si="184"/>
        <v>0</v>
      </c>
      <c r="W3007">
        <f t="shared" si="185"/>
        <v>1</v>
      </c>
      <c r="X3007" t="str">
        <f t="shared" si="186"/>
        <v>13-24 Months</v>
      </c>
      <c r="Y3007" s="1" t="str">
        <f t="shared" si="187"/>
        <v>Low</v>
      </c>
    </row>
    <row r="3008" spans="1:25" x14ac:dyDescent="0.2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 t="shared" si="184"/>
        <v>1</v>
      </c>
      <c r="W3008">
        <f t="shared" si="185"/>
        <v>0</v>
      </c>
      <c r="X3008" t="str">
        <f t="shared" si="186"/>
        <v>13-24 Months</v>
      </c>
      <c r="Y3008" s="1" t="str">
        <f t="shared" si="187"/>
        <v>Medium</v>
      </c>
    </row>
    <row r="3009" spans="1:25" x14ac:dyDescent="0.2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 t="shared" si="184"/>
        <v>1</v>
      </c>
      <c r="W3009">
        <f t="shared" si="185"/>
        <v>0</v>
      </c>
      <c r="X3009" t="str">
        <f t="shared" si="186"/>
        <v>25-48 Months</v>
      </c>
      <c r="Y3009" s="1" t="str">
        <f t="shared" si="187"/>
        <v>Medium</v>
      </c>
    </row>
    <row r="3010" spans="1:25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 t="shared" ref="V3010:V3073" si="188">IF(U3010="Yes",1,0)</f>
        <v>0</v>
      </c>
      <c r="W3010">
        <f t="shared" ref="W3010:W3073" si="189">IF(U3010="No",1,0)</f>
        <v>1</v>
      </c>
      <c r="X3010" t="str">
        <f t="shared" ref="X3010:X3073" si="190">IF(F3010&lt;=12,"0-12 Months",IF(F3010&lt;=24,"13-24 Months",IF(F3010&lt;=48,"25-48 Months","49+ Months")))</f>
        <v>0-12 Months</v>
      </c>
      <c r="Y3010" s="1" t="str">
        <f t="shared" ref="Y3010:Y3073" si="191">IF(S3010&lt;50,"Low",IF(S3010&lt;80,"Medium","High"))</f>
        <v>Low</v>
      </c>
    </row>
    <row r="3011" spans="1:25" x14ac:dyDescent="0.2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 t="shared" si="188"/>
        <v>0</v>
      </c>
      <c r="W3011">
        <f t="shared" si="189"/>
        <v>1</v>
      </c>
      <c r="X3011" t="str">
        <f t="shared" si="190"/>
        <v>0-12 Months</v>
      </c>
      <c r="Y3011" s="1" t="str">
        <f t="shared" si="191"/>
        <v>Low</v>
      </c>
    </row>
    <row r="3012" spans="1:25" x14ac:dyDescent="0.2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 t="shared" si="188"/>
        <v>0</v>
      </c>
      <c r="W3012">
        <f t="shared" si="189"/>
        <v>1</v>
      </c>
      <c r="X3012" t="str">
        <f t="shared" si="190"/>
        <v>25-48 Months</v>
      </c>
      <c r="Y3012" s="1" t="str">
        <f t="shared" si="191"/>
        <v>High</v>
      </c>
    </row>
    <row r="3013" spans="1:25" x14ac:dyDescent="0.2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 t="shared" si="188"/>
        <v>0</v>
      </c>
      <c r="W3013">
        <f t="shared" si="189"/>
        <v>1</v>
      </c>
      <c r="X3013" t="str">
        <f t="shared" si="190"/>
        <v>0-12 Months</v>
      </c>
      <c r="Y3013" s="1" t="str">
        <f t="shared" si="191"/>
        <v>Low</v>
      </c>
    </row>
    <row r="3014" spans="1:25" x14ac:dyDescent="0.2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 t="shared" si="188"/>
        <v>0</v>
      </c>
      <c r="W3014">
        <f t="shared" si="189"/>
        <v>1</v>
      </c>
      <c r="X3014" t="str">
        <f t="shared" si="190"/>
        <v>49+ Months</v>
      </c>
      <c r="Y3014" s="1" t="str">
        <f t="shared" si="191"/>
        <v>Medium</v>
      </c>
    </row>
    <row r="3015" spans="1:25" x14ac:dyDescent="0.2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 t="shared" si="188"/>
        <v>0</v>
      </c>
      <c r="W3015">
        <f t="shared" si="189"/>
        <v>1</v>
      </c>
      <c r="X3015" t="str">
        <f t="shared" si="190"/>
        <v>25-48 Months</v>
      </c>
      <c r="Y3015" s="1" t="str">
        <f t="shared" si="191"/>
        <v>Medium</v>
      </c>
    </row>
    <row r="3016" spans="1:25" x14ac:dyDescent="0.2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 t="shared" si="188"/>
        <v>0</v>
      </c>
      <c r="W3016">
        <f t="shared" si="189"/>
        <v>1</v>
      </c>
      <c r="X3016" t="str">
        <f t="shared" si="190"/>
        <v>25-48 Months</v>
      </c>
      <c r="Y3016" s="1" t="str">
        <f t="shared" si="191"/>
        <v>High</v>
      </c>
    </row>
    <row r="3017" spans="1:25" x14ac:dyDescent="0.2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 t="shared" si="188"/>
        <v>0</v>
      </c>
      <c r="W3017">
        <f t="shared" si="189"/>
        <v>1</v>
      </c>
      <c r="X3017" t="str">
        <f t="shared" si="190"/>
        <v>49+ Months</v>
      </c>
      <c r="Y3017" s="1" t="str">
        <f t="shared" si="191"/>
        <v>High</v>
      </c>
    </row>
    <row r="3018" spans="1:25" x14ac:dyDescent="0.2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 t="shared" si="188"/>
        <v>1</v>
      </c>
      <c r="W3018">
        <f t="shared" si="189"/>
        <v>0</v>
      </c>
      <c r="X3018" t="str">
        <f t="shared" si="190"/>
        <v>0-12 Months</v>
      </c>
      <c r="Y3018" s="1" t="str">
        <f t="shared" si="191"/>
        <v>Medium</v>
      </c>
    </row>
    <row r="3019" spans="1:25" x14ac:dyDescent="0.2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 t="shared" si="188"/>
        <v>0</v>
      </c>
      <c r="W3019">
        <f t="shared" si="189"/>
        <v>1</v>
      </c>
      <c r="X3019" t="str">
        <f t="shared" si="190"/>
        <v>13-24 Months</v>
      </c>
      <c r="Y3019" s="1" t="str">
        <f t="shared" si="191"/>
        <v>Medium</v>
      </c>
    </row>
    <row r="3020" spans="1:25" x14ac:dyDescent="0.2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 t="shared" si="188"/>
        <v>0</v>
      </c>
      <c r="W3020">
        <f t="shared" si="189"/>
        <v>1</v>
      </c>
      <c r="X3020" t="str">
        <f t="shared" si="190"/>
        <v>49+ Months</v>
      </c>
      <c r="Y3020" s="1" t="str">
        <f t="shared" si="191"/>
        <v>Low</v>
      </c>
    </row>
    <row r="3021" spans="1:25" x14ac:dyDescent="0.2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 t="shared" si="188"/>
        <v>1</v>
      </c>
      <c r="W3021">
        <f t="shared" si="189"/>
        <v>0</v>
      </c>
      <c r="X3021" t="str">
        <f t="shared" si="190"/>
        <v>13-24 Months</v>
      </c>
      <c r="Y3021" s="1" t="str">
        <f t="shared" si="191"/>
        <v>Medium</v>
      </c>
    </row>
    <row r="3022" spans="1:25" x14ac:dyDescent="0.2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 t="shared" si="188"/>
        <v>0</v>
      </c>
      <c r="W3022">
        <f t="shared" si="189"/>
        <v>1</v>
      </c>
      <c r="X3022" t="str">
        <f t="shared" si="190"/>
        <v>25-48 Months</v>
      </c>
      <c r="Y3022" s="1" t="str">
        <f t="shared" si="191"/>
        <v>Low</v>
      </c>
    </row>
    <row r="3023" spans="1:25" x14ac:dyDescent="0.2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 t="shared" si="188"/>
        <v>0</v>
      </c>
      <c r="W3023">
        <f t="shared" si="189"/>
        <v>1</v>
      </c>
      <c r="X3023" t="str">
        <f t="shared" si="190"/>
        <v>0-12 Months</v>
      </c>
      <c r="Y3023" s="1" t="str">
        <f t="shared" si="191"/>
        <v>Low</v>
      </c>
    </row>
    <row r="3024" spans="1:25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 t="shared" si="188"/>
        <v>0</v>
      </c>
      <c r="W3024">
        <f t="shared" si="189"/>
        <v>1</v>
      </c>
      <c r="X3024" t="str">
        <f t="shared" si="190"/>
        <v>0-12 Months</v>
      </c>
      <c r="Y3024" s="1" t="str">
        <f t="shared" si="191"/>
        <v>Low</v>
      </c>
    </row>
    <row r="3025" spans="1:25" x14ac:dyDescent="0.2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 t="shared" si="188"/>
        <v>0</v>
      </c>
      <c r="W3025">
        <f t="shared" si="189"/>
        <v>1</v>
      </c>
      <c r="X3025" t="str">
        <f t="shared" si="190"/>
        <v>49+ Months</v>
      </c>
      <c r="Y3025" s="1" t="str">
        <f t="shared" si="191"/>
        <v>High</v>
      </c>
    </row>
    <row r="3026" spans="1:25" x14ac:dyDescent="0.2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 t="shared" si="188"/>
        <v>0</v>
      </c>
      <c r="W3026">
        <f t="shared" si="189"/>
        <v>1</v>
      </c>
      <c r="X3026" t="str">
        <f t="shared" si="190"/>
        <v>0-12 Months</v>
      </c>
      <c r="Y3026" s="1" t="str">
        <f t="shared" si="191"/>
        <v>Low</v>
      </c>
    </row>
    <row r="3027" spans="1:25" x14ac:dyDescent="0.2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 t="shared" si="188"/>
        <v>0</v>
      </c>
      <c r="W3027">
        <f t="shared" si="189"/>
        <v>1</v>
      </c>
      <c r="X3027" t="str">
        <f t="shared" si="190"/>
        <v>49+ Months</v>
      </c>
      <c r="Y3027" s="1" t="str">
        <f t="shared" si="191"/>
        <v>Low</v>
      </c>
    </row>
    <row r="3028" spans="1:25" x14ac:dyDescent="0.2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 t="shared" si="188"/>
        <v>1</v>
      </c>
      <c r="W3028">
        <f t="shared" si="189"/>
        <v>0</v>
      </c>
      <c r="X3028" t="str">
        <f t="shared" si="190"/>
        <v>13-24 Months</v>
      </c>
      <c r="Y3028" s="1" t="str">
        <f t="shared" si="191"/>
        <v>High</v>
      </c>
    </row>
    <row r="3029" spans="1:25" x14ac:dyDescent="0.2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 t="shared" si="188"/>
        <v>0</v>
      </c>
      <c r="W3029">
        <f t="shared" si="189"/>
        <v>1</v>
      </c>
      <c r="X3029" t="str">
        <f t="shared" si="190"/>
        <v>0-12 Months</v>
      </c>
      <c r="Y3029" s="1" t="str">
        <f t="shared" si="191"/>
        <v>Low</v>
      </c>
    </row>
    <row r="3030" spans="1:25" x14ac:dyDescent="0.2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 t="shared" si="188"/>
        <v>1</v>
      </c>
      <c r="W3030">
        <f t="shared" si="189"/>
        <v>0</v>
      </c>
      <c r="X3030" t="str">
        <f t="shared" si="190"/>
        <v>0-12 Months</v>
      </c>
      <c r="Y3030" s="1" t="str">
        <f t="shared" si="191"/>
        <v>Low</v>
      </c>
    </row>
    <row r="3031" spans="1:25" x14ac:dyDescent="0.2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 t="shared" si="188"/>
        <v>1</v>
      </c>
      <c r="W3031">
        <f t="shared" si="189"/>
        <v>0</v>
      </c>
      <c r="X3031" t="str">
        <f t="shared" si="190"/>
        <v>13-24 Months</v>
      </c>
      <c r="Y3031" s="1" t="str">
        <f t="shared" si="191"/>
        <v>Low</v>
      </c>
    </row>
    <row r="3032" spans="1:25" x14ac:dyDescent="0.2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 t="shared" si="188"/>
        <v>1</v>
      </c>
      <c r="W3032">
        <f t="shared" si="189"/>
        <v>0</v>
      </c>
      <c r="X3032" t="str">
        <f t="shared" si="190"/>
        <v>0-12 Months</v>
      </c>
      <c r="Y3032" s="1" t="str">
        <f t="shared" si="191"/>
        <v>Medium</v>
      </c>
    </row>
    <row r="3033" spans="1:25" x14ac:dyDescent="0.2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 t="shared" si="188"/>
        <v>1</v>
      </c>
      <c r="W3033">
        <f t="shared" si="189"/>
        <v>0</v>
      </c>
      <c r="X3033" t="str">
        <f t="shared" si="190"/>
        <v>49+ Months</v>
      </c>
      <c r="Y3033" s="1" t="str">
        <f t="shared" si="191"/>
        <v>Medium</v>
      </c>
    </row>
    <row r="3034" spans="1:25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 t="shared" si="188"/>
        <v>0</v>
      </c>
      <c r="W3034">
        <f t="shared" si="189"/>
        <v>1</v>
      </c>
      <c r="X3034" t="str">
        <f t="shared" si="190"/>
        <v>13-24 Months</v>
      </c>
      <c r="Y3034" s="1" t="str">
        <f t="shared" si="191"/>
        <v>Low</v>
      </c>
    </row>
    <row r="3035" spans="1:25" x14ac:dyDescent="0.2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 t="shared" si="188"/>
        <v>0</v>
      </c>
      <c r="W3035">
        <f t="shared" si="189"/>
        <v>1</v>
      </c>
      <c r="X3035" t="str">
        <f t="shared" si="190"/>
        <v>49+ Months</v>
      </c>
      <c r="Y3035" s="1" t="str">
        <f t="shared" si="191"/>
        <v>High</v>
      </c>
    </row>
    <row r="3036" spans="1:25" x14ac:dyDescent="0.2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 t="shared" si="188"/>
        <v>1</v>
      </c>
      <c r="W3036">
        <f t="shared" si="189"/>
        <v>0</v>
      </c>
      <c r="X3036" t="str">
        <f t="shared" si="190"/>
        <v>0-12 Months</v>
      </c>
      <c r="Y3036" s="1" t="str">
        <f t="shared" si="191"/>
        <v>High</v>
      </c>
    </row>
    <row r="3037" spans="1:25" x14ac:dyDescent="0.2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 t="shared" si="188"/>
        <v>0</v>
      </c>
      <c r="W3037">
        <f t="shared" si="189"/>
        <v>1</v>
      </c>
      <c r="X3037" t="str">
        <f t="shared" si="190"/>
        <v>25-48 Months</v>
      </c>
      <c r="Y3037" s="1" t="str">
        <f t="shared" si="191"/>
        <v>Medium</v>
      </c>
    </row>
    <row r="3038" spans="1:25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 t="shared" si="188"/>
        <v>0</v>
      </c>
      <c r="W3038">
        <f t="shared" si="189"/>
        <v>1</v>
      </c>
      <c r="X3038" t="str">
        <f t="shared" si="190"/>
        <v>49+ Months</v>
      </c>
      <c r="Y3038" s="1" t="str">
        <f t="shared" si="191"/>
        <v>Low</v>
      </c>
    </row>
    <row r="3039" spans="1:25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 t="shared" si="188"/>
        <v>0</v>
      </c>
      <c r="W3039">
        <f t="shared" si="189"/>
        <v>1</v>
      </c>
      <c r="X3039" t="str">
        <f t="shared" si="190"/>
        <v>25-48 Months</v>
      </c>
      <c r="Y3039" s="1" t="str">
        <f t="shared" si="191"/>
        <v>Low</v>
      </c>
    </row>
    <row r="3040" spans="1:25" x14ac:dyDescent="0.2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 t="shared" si="188"/>
        <v>0</v>
      </c>
      <c r="W3040">
        <f t="shared" si="189"/>
        <v>1</v>
      </c>
      <c r="X3040" t="str">
        <f t="shared" si="190"/>
        <v>49+ Months</v>
      </c>
      <c r="Y3040" s="1" t="str">
        <f t="shared" si="191"/>
        <v>High</v>
      </c>
    </row>
    <row r="3041" spans="1:25" x14ac:dyDescent="0.2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 t="shared" si="188"/>
        <v>0</v>
      </c>
      <c r="W3041">
        <f t="shared" si="189"/>
        <v>1</v>
      </c>
      <c r="X3041" t="str">
        <f t="shared" si="190"/>
        <v>49+ Months</v>
      </c>
      <c r="Y3041" s="1" t="str">
        <f t="shared" si="191"/>
        <v>Medium</v>
      </c>
    </row>
    <row r="3042" spans="1:25" x14ac:dyDescent="0.2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 t="shared" si="188"/>
        <v>1</v>
      </c>
      <c r="W3042">
        <f t="shared" si="189"/>
        <v>0</v>
      </c>
      <c r="X3042" t="str">
        <f t="shared" si="190"/>
        <v>49+ Months</v>
      </c>
      <c r="Y3042" s="1" t="str">
        <f t="shared" si="191"/>
        <v>High</v>
      </c>
    </row>
    <row r="3043" spans="1:25" x14ac:dyDescent="0.2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 t="shared" si="188"/>
        <v>0</v>
      </c>
      <c r="W3043">
        <f t="shared" si="189"/>
        <v>1</v>
      </c>
      <c r="X3043" t="str">
        <f t="shared" si="190"/>
        <v>0-12 Months</v>
      </c>
      <c r="Y3043" s="1" t="str">
        <f t="shared" si="191"/>
        <v>Low</v>
      </c>
    </row>
    <row r="3044" spans="1:25" x14ac:dyDescent="0.2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 t="shared" si="188"/>
        <v>1</v>
      </c>
      <c r="W3044">
        <f t="shared" si="189"/>
        <v>0</v>
      </c>
      <c r="X3044" t="str">
        <f t="shared" si="190"/>
        <v>25-48 Months</v>
      </c>
      <c r="Y3044" s="1" t="str">
        <f t="shared" si="191"/>
        <v>Low</v>
      </c>
    </row>
    <row r="3045" spans="1:25" x14ac:dyDescent="0.2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 t="shared" si="188"/>
        <v>1</v>
      </c>
      <c r="W3045">
        <f t="shared" si="189"/>
        <v>0</v>
      </c>
      <c r="X3045" t="str">
        <f t="shared" si="190"/>
        <v>0-12 Months</v>
      </c>
      <c r="Y3045" s="1" t="str">
        <f t="shared" si="191"/>
        <v>Low</v>
      </c>
    </row>
    <row r="3046" spans="1:25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 t="shared" si="188"/>
        <v>1</v>
      </c>
      <c r="W3046">
        <f t="shared" si="189"/>
        <v>0</v>
      </c>
      <c r="X3046" t="str">
        <f t="shared" si="190"/>
        <v>0-12 Months</v>
      </c>
      <c r="Y3046" s="1" t="str">
        <f t="shared" si="191"/>
        <v>Low</v>
      </c>
    </row>
    <row r="3047" spans="1:25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 t="shared" si="188"/>
        <v>0</v>
      </c>
      <c r="W3047">
        <f t="shared" si="189"/>
        <v>1</v>
      </c>
      <c r="X3047" t="str">
        <f t="shared" si="190"/>
        <v>25-48 Months</v>
      </c>
      <c r="Y3047" s="1" t="str">
        <f t="shared" si="191"/>
        <v>Medium</v>
      </c>
    </row>
    <row r="3048" spans="1:25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 t="shared" si="188"/>
        <v>0</v>
      </c>
      <c r="W3048">
        <f t="shared" si="189"/>
        <v>1</v>
      </c>
      <c r="X3048" t="str">
        <f t="shared" si="190"/>
        <v>49+ Months</v>
      </c>
      <c r="Y3048" s="1" t="str">
        <f t="shared" si="191"/>
        <v>High</v>
      </c>
    </row>
    <row r="3049" spans="1:25" x14ac:dyDescent="0.2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 t="shared" si="188"/>
        <v>1</v>
      </c>
      <c r="W3049">
        <f t="shared" si="189"/>
        <v>0</v>
      </c>
      <c r="X3049" t="str">
        <f t="shared" si="190"/>
        <v>25-48 Months</v>
      </c>
      <c r="Y3049" s="1" t="str">
        <f t="shared" si="191"/>
        <v>High</v>
      </c>
    </row>
    <row r="3050" spans="1:25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 t="shared" si="188"/>
        <v>0</v>
      </c>
      <c r="W3050">
        <f t="shared" si="189"/>
        <v>1</v>
      </c>
      <c r="X3050" t="str">
        <f t="shared" si="190"/>
        <v>0-12 Months</v>
      </c>
      <c r="Y3050" s="1" t="str">
        <f t="shared" si="191"/>
        <v>Low</v>
      </c>
    </row>
    <row r="3051" spans="1:25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 t="shared" si="188"/>
        <v>1</v>
      </c>
      <c r="W3051">
        <f t="shared" si="189"/>
        <v>0</v>
      </c>
      <c r="X3051" t="str">
        <f t="shared" si="190"/>
        <v>0-12 Months</v>
      </c>
      <c r="Y3051" s="1" t="str">
        <f t="shared" si="191"/>
        <v>Low</v>
      </c>
    </row>
    <row r="3052" spans="1:25" x14ac:dyDescent="0.2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 t="shared" si="188"/>
        <v>1</v>
      </c>
      <c r="W3052">
        <f t="shared" si="189"/>
        <v>0</v>
      </c>
      <c r="X3052" t="str">
        <f t="shared" si="190"/>
        <v>0-12 Months</v>
      </c>
      <c r="Y3052" s="1" t="str">
        <f t="shared" si="191"/>
        <v>High</v>
      </c>
    </row>
    <row r="3053" spans="1:25" x14ac:dyDescent="0.2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 t="shared" si="188"/>
        <v>0</v>
      </c>
      <c r="W3053">
        <f t="shared" si="189"/>
        <v>1</v>
      </c>
      <c r="X3053" t="str">
        <f t="shared" si="190"/>
        <v>49+ Months</v>
      </c>
      <c r="Y3053" s="1" t="str">
        <f t="shared" si="191"/>
        <v>High</v>
      </c>
    </row>
    <row r="3054" spans="1:25" x14ac:dyDescent="0.2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 t="shared" si="188"/>
        <v>0</v>
      </c>
      <c r="W3054">
        <f t="shared" si="189"/>
        <v>1</v>
      </c>
      <c r="X3054" t="str">
        <f t="shared" si="190"/>
        <v>25-48 Months</v>
      </c>
      <c r="Y3054" s="1" t="str">
        <f t="shared" si="191"/>
        <v>Medium</v>
      </c>
    </row>
    <row r="3055" spans="1:25" x14ac:dyDescent="0.2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 t="shared" si="188"/>
        <v>0</v>
      </c>
      <c r="W3055">
        <f t="shared" si="189"/>
        <v>1</v>
      </c>
      <c r="X3055" t="str">
        <f t="shared" si="190"/>
        <v>49+ Months</v>
      </c>
      <c r="Y3055" s="1" t="str">
        <f t="shared" si="191"/>
        <v>High</v>
      </c>
    </row>
    <row r="3056" spans="1:25" x14ac:dyDescent="0.2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 t="shared" si="188"/>
        <v>0</v>
      </c>
      <c r="W3056">
        <f t="shared" si="189"/>
        <v>1</v>
      </c>
      <c r="X3056" t="str">
        <f t="shared" si="190"/>
        <v>49+ Months</v>
      </c>
      <c r="Y3056" s="1" t="str">
        <f t="shared" si="191"/>
        <v>High</v>
      </c>
    </row>
    <row r="3057" spans="1:25" x14ac:dyDescent="0.2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 t="shared" si="188"/>
        <v>1</v>
      </c>
      <c r="W3057">
        <f t="shared" si="189"/>
        <v>0</v>
      </c>
      <c r="X3057" t="str">
        <f t="shared" si="190"/>
        <v>49+ Months</v>
      </c>
      <c r="Y3057" s="1" t="str">
        <f t="shared" si="191"/>
        <v>Medium</v>
      </c>
    </row>
    <row r="3058" spans="1:25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 t="shared" si="188"/>
        <v>0</v>
      </c>
      <c r="W3058">
        <f t="shared" si="189"/>
        <v>1</v>
      </c>
      <c r="X3058" t="str">
        <f t="shared" si="190"/>
        <v>49+ Months</v>
      </c>
      <c r="Y3058" s="1" t="str">
        <f t="shared" si="191"/>
        <v>Medium</v>
      </c>
    </row>
    <row r="3059" spans="1:25" x14ac:dyDescent="0.2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 t="shared" si="188"/>
        <v>0</v>
      </c>
      <c r="W3059">
        <f t="shared" si="189"/>
        <v>1</v>
      </c>
      <c r="X3059" t="str">
        <f t="shared" si="190"/>
        <v>25-48 Months</v>
      </c>
      <c r="Y3059" s="1" t="str">
        <f t="shared" si="191"/>
        <v>Low</v>
      </c>
    </row>
    <row r="3060" spans="1:25" x14ac:dyDescent="0.2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 t="shared" si="188"/>
        <v>1</v>
      </c>
      <c r="W3060">
        <f t="shared" si="189"/>
        <v>0</v>
      </c>
      <c r="X3060" t="str">
        <f t="shared" si="190"/>
        <v>13-24 Months</v>
      </c>
      <c r="Y3060" s="1" t="str">
        <f t="shared" si="191"/>
        <v>Medium</v>
      </c>
    </row>
    <row r="3061" spans="1:25" x14ac:dyDescent="0.2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 t="shared" si="188"/>
        <v>0</v>
      </c>
      <c r="W3061">
        <f t="shared" si="189"/>
        <v>1</v>
      </c>
      <c r="X3061" t="str">
        <f t="shared" si="190"/>
        <v>49+ Months</v>
      </c>
      <c r="Y3061" s="1" t="str">
        <f t="shared" si="191"/>
        <v>Low</v>
      </c>
    </row>
    <row r="3062" spans="1:25" x14ac:dyDescent="0.2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 t="shared" si="188"/>
        <v>0</v>
      </c>
      <c r="W3062">
        <f t="shared" si="189"/>
        <v>1</v>
      </c>
      <c r="X3062" t="str">
        <f t="shared" si="190"/>
        <v>25-48 Months</v>
      </c>
      <c r="Y3062" s="1" t="str">
        <f t="shared" si="191"/>
        <v>Low</v>
      </c>
    </row>
    <row r="3063" spans="1:25" x14ac:dyDescent="0.2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 t="shared" si="188"/>
        <v>1</v>
      </c>
      <c r="W3063">
        <f t="shared" si="189"/>
        <v>0</v>
      </c>
      <c r="X3063" t="str">
        <f t="shared" si="190"/>
        <v>13-24 Months</v>
      </c>
      <c r="Y3063" s="1" t="str">
        <f t="shared" si="191"/>
        <v>High</v>
      </c>
    </row>
    <row r="3064" spans="1:25" x14ac:dyDescent="0.2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 t="shared" si="188"/>
        <v>0</v>
      </c>
      <c r="W3064">
        <f t="shared" si="189"/>
        <v>1</v>
      </c>
      <c r="X3064" t="str">
        <f t="shared" si="190"/>
        <v>13-24 Months</v>
      </c>
      <c r="Y3064" s="1" t="str">
        <f t="shared" si="191"/>
        <v>Low</v>
      </c>
    </row>
    <row r="3065" spans="1:25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 t="shared" si="188"/>
        <v>0</v>
      </c>
      <c r="W3065">
        <f t="shared" si="189"/>
        <v>1</v>
      </c>
      <c r="X3065" t="str">
        <f t="shared" si="190"/>
        <v>25-48 Months</v>
      </c>
      <c r="Y3065" s="1" t="str">
        <f t="shared" si="191"/>
        <v>High</v>
      </c>
    </row>
    <row r="3066" spans="1:25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 t="shared" si="188"/>
        <v>0</v>
      </c>
      <c r="W3066">
        <f t="shared" si="189"/>
        <v>1</v>
      </c>
      <c r="X3066" t="str">
        <f t="shared" si="190"/>
        <v>13-24 Months</v>
      </c>
      <c r="Y3066" s="1" t="str">
        <f t="shared" si="191"/>
        <v>Medium</v>
      </c>
    </row>
    <row r="3067" spans="1:25" x14ac:dyDescent="0.2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 t="shared" si="188"/>
        <v>0</v>
      </c>
      <c r="W3067">
        <f t="shared" si="189"/>
        <v>1</v>
      </c>
      <c r="X3067" t="str">
        <f t="shared" si="190"/>
        <v>0-12 Months</v>
      </c>
      <c r="Y3067" s="1" t="str">
        <f t="shared" si="191"/>
        <v>Low</v>
      </c>
    </row>
    <row r="3068" spans="1:25" x14ac:dyDescent="0.2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 t="shared" si="188"/>
        <v>0</v>
      </c>
      <c r="W3068">
        <f t="shared" si="189"/>
        <v>1</v>
      </c>
      <c r="X3068" t="str">
        <f t="shared" si="190"/>
        <v>0-12 Months</v>
      </c>
      <c r="Y3068" s="1" t="str">
        <f t="shared" si="191"/>
        <v>Medium</v>
      </c>
    </row>
    <row r="3069" spans="1:25" x14ac:dyDescent="0.2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 t="shared" si="188"/>
        <v>1</v>
      </c>
      <c r="W3069">
        <f t="shared" si="189"/>
        <v>0</v>
      </c>
      <c r="X3069" t="str">
        <f t="shared" si="190"/>
        <v>0-12 Months</v>
      </c>
      <c r="Y3069" s="1" t="str">
        <f t="shared" si="191"/>
        <v>High</v>
      </c>
    </row>
    <row r="3070" spans="1:25" x14ac:dyDescent="0.2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 t="shared" si="188"/>
        <v>0</v>
      </c>
      <c r="W3070">
        <f t="shared" si="189"/>
        <v>1</v>
      </c>
      <c r="X3070" t="str">
        <f t="shared" si="190"/>
        <v>49+ Months</v>
      </c>
      <c r="Y3070" s="1" t="str">
        <f t="shared" si="191"/>
        <v>High</v>
      </c>
    </row>
    <row r="3071" spans="1:25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 t="shared" si="188"/>
        <v>0</v>
      </c>
      <c r="W3071">
        <f t="shared" si="189"/>
        <v>1</v>
      </c>
      <c r="X3071" t="str">
        <f t="shared" si="190"/>
        <v>0-12 Months</v>
      </c>
      <c r="Y3071" s="1" t="str">
        <f t="shared" si="191"/>
        <v>Low</v>
      </c>
    </row>
    <row r="3072" spans="1:25" x14ac:dyDescent="0.2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 t="shared" si="188"/>
        <v>0</v>
      </c>
      <c r="W3072">
        <f t="shared" si="189"/>
        <v>1</v>
      </c>
      <c r="X3072" t="str">
        <f t="shared" si="190"/>
        <v>0-12 Months</v>
      </c>
      <c r="Y3072" s="1" t="str">
        <f t="shared" si="191"/>
        <v>Medium</v>
      </c>
    </row>
    <row r="3073" spans="1:25" x14ac:dyDescent="0.2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 t="shared" si="188"/>
        <v>0</v>
      </c>
      <c r="W3073">
        <f t="shared" si="189"/>
        <v>1</v>
      </c>
      <c r="X3073" t="str">
        <f t="shared" si="190"/>
        <v>25-48 Months</v>
      </c>
      <c r="Y3073" s="1" t="str">
        <f t="shared" si="191"/>
        <v>High</v>
      </c>
    </row>
    <row r="3074" spans="1:25" x14ac:dyDescent="0.2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 t="shared" ref="V3074:V3137" si="192">IF(U3074="Yes",1,0)</f>
        <v>0</v>
      </c>
      <c r="W3074">
        <f t="shared" ref="W3074:W3137" si="193">IF(U3074="No",1,0)</f>
        <v>1</v>
      </c>
      <c r="X3074" t="str">
        <f t="shared" ref="X3074:X3137" si="194">IF(F3074&lt;=12,"0-12 Months",IF(F3074&lt;=24,"13-24 Months",IF(F3074&lt;=48,"25-48 Months","49+ Months")))</f>
        <v>49+ Months</v>
      </c>
      <c r="Y3074" s="1" t="str">
        <f t="shared" ref="Y3074:Y3137" si="195">IF(S3074&lt;50,"Low",IF(S3074&lt;80,"Medium","High"))</f>
        <v>Medium</v>
      </c>
    </row>
    <row r="3075" spans="1:25" x14ac:dyDescent="0.2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 t="shared" si="192"/>
        <v>0</v>
      </c>
      <c r="W3075">
        <f t="shared" si="193"/>
        <v>1</v>
      </c>
      <c r="X3075" t="str">
        <f t="shared" si="194"/>
        <v>49+ Months</v>
      </c>
      <c r="Y3075" s="1" t="str">
        <f t="shared" si="195"/>
        <v>Medium</v>
      </c>
    </row>
    <row r="3076" spans="1:25" x14ac:dyDescent="0.2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 t="shared" si="192"/>
        <v>0</v>
      </c>
      <c r="W3076">
        <f t="shared" si="193"/>
        <v>1</v>
      </c>
      <c r="X3076" t="str">
        <f t="shared" si="194"/>
        <v>25-48 Months</v>
      </c>
      <c r="Y3076" s="1" t="str">
        <f t="shared" si="195"/>
        <v>Medium</v>
      </c>
    </row>
    <row r="3077" spans="1:25" x14ac:dyDescent="0.2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 t="shared" si="192"/>
        <v>0</v>
      </c>
      <c r="W3077">
        <f t="shared" si="193"/>
        <v>1</v>
      </c>
      <c r="X3077" t="str">
        <f t="shared" si="194"/>
        <v>49+ Months</v>
      </c>
      <c r="Y3077" s="1" t="str">
        <f t="shared" si="195"/>
        <v>High</v>
      </c>
    </row>
    <row r="3078" spans="1:25" x14ac:dyDescent="0.2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 t="shared" si="192"/>
        <v>1</v>
      </c>
      <c r="W3078">
        <f t="shared" si="193"/>
        <v>0</v>
      </c>
      <c r="X3078" t="str">
        <f t="shared" si="194"/>
        <v>0-12 Months</v>
      </c>
      <c r="Y3078" s="1" t="str">
        <f t="shared" si="195"/>
        <v>Medium</v>
      </c>
    </row>
    <row r="3079" spans="1:25" x14ac:dyDescent="0.2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 t="shared" si="192"/>
        <v>0</v>
      </c>
      <c r="W3079">
        <f t="shared" si="193"/>
        <v>1</v>
      </c>
      <c r="X3079" t="str">
        <f t="shared" si="194"/>
        <v>25-48 Months</v>
      </c>
      <c r="Y3079" s="1" t="str">
        <f t="shared" si="195"/>
        <v>Medium</v>
      </c>
    </row>
    <row r="3080" spans="1:25" x14ac:dyDescent="0.2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 t="shared" si="192"/>
        <v>1</v>
      </c>
      <c r="W3080">
        <f t="shared" si="193"/>
        <v>0</v>
      </c>
      <c r="X3080" t="str">
        <f t="shared" si="194"/>
        <v>0-12 Months</v>
      </c>
      <c r="Y3080" s="1" t="str">
        <f t="shared" si="195"/>
        <v>High</v>
      </c>
    </row>
    <row r="3081" spans="1:25" x14ac:dyDescent="0.2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 t="shared" si="192"/>
        <v>1</v>
      </c>
      <c r="W3081">
        <f t="shared" si="193"/>
        <v>0</v>
      </c>
      <c r="X3081" t="str">
        <f t="shared" si="194"/>
        <v>0-12 Months</v>
      </c>
      <c r="Y3081" s="1" t="str">
        <f t="shared" si="195"/>
        <v>Medium</v>
      </c>
    </row>
    <row r="3082" spans="1:25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 t="shared" si="192"/>
        <v>0</v>
      </c>
      <c r="W3082">
        <f t="shared" si="193"/>
        <v>1</v>
      </c>
      <c r="X3082" t="str">
        <f t="shared" si="194"/>
        <v>0-12 Months</v>
      </c>
      <c r="Y3082" s="1" t="str">
        <f t="shared" si="195"/>
        <v>Low</v>
      </c>
    </row>
    <row r="3083" spans="1:25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 t="shared" si="192"/>
        <v>1</v>
      </c>
      <c r="W3083">
        <f t="shared" si="193"/>
        <v>0</v>
      </c>
      <c r="X3083" t="str">
        <f t="shared" si="194"/>
        <v>0-12 Months</v>
      </c>
      <c r="Y3083" s="1" t="str">
        <f t="shared" si="195"/>
        <v>Medium</v>
      </c>
    </row>
    <row r="3084" spans="1:25" x14ac:dyDescent="0.2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 t="shared" si="192"/>
        <v>0</v>
      </c>
      <c r="W3084">
        <f t="shared" si="193"/>
        <v>1</v>
      </c>
      <c r="X3084" t="str">
        <f t="shared" si="194"/>
        <v>49+ Months</v>
      </c>
      <c r="Y3084" s="1" t="str">
        <f t="shared" si="195"/>
        <v>Medium</v>
      </c>
    </row>
    <row r="3085" spans="1:25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 t="shared" si="192"/>
        <v>0</v>
      </c>
      <c r="W3085">
        <f t="shared" si="193"/>
        <v>1</v>
      </c>
      <c r="X3085" t="str">
        <f t="shared" si="194"/>
        <v>49+ Months</v>
      </c>
      <c r="Y3085" s="1" t="str">
        <f t="shared" si="195"/>
        <v>Low</v>
      </c>
    </row>
    <row r="3086" spans="1:25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 t="shared" si="192"/>
        <v>0</v>
      </c>
      <c r="W3086">
        <f t="shared" si="193"/>
        <v>1</v>
      </c>
      <c r="X3086" t="str">
        <f t="shared" si="194"/>
        <v>0-12 Months</v>
      </c>
      <c r="Y3086" s="1" t="str">
        <f t="shared" si="195"/>
        <v>Low</v>
      </c>
    </row>
    <row r="3087" spans="1:25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 t="shared" si="192"/>
        <v>1</v>
      </c>
      <c r="W3087">
        <f t="shared" si="193"/>
        <v>0</v>
      </c>
      <c r="X3087" t="str">
        <f t="shared" si="194"/>
        <v>0-12 Months</v>
      </c>
      <c r="Y3087" s="1" t="str">
        <f t="shared" si="195"/>
        <v>High</v>
      </c>
    </row>
    <row r="3088" spans="1:25" x14ac:dyDescent="0.2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 t="shared" si="192"/>
        <v>0</v>
      </c>
      <c r="W3088">
        <f t="shared" si="193"/>
        <v>1</v>
      </c>
      <c r="X3088" t="str">
        <f t="shared" si="194"/>
        <v>13-24 Months</v>
      </c>
      <c r="Y3088" s="1" t="str">
        <f t="shared" si="195"/>
        <v>High</v>
      </c>
    </row>
    <row r="3089" spans="1:25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 t="shared" si="192"/>
        <v>1</v>
      </c>
      <c r="W3089">
        <f t="shared" si="193"/>
        <v>0</v>
      </c>
      <c r="X3089" t="str">
        <f t="shared" si="194"/>
        <v>0-12 Months</v>
      </c>
      <c r="Y3089" s="1" t="str">
        <f t="shared" si="195"/>
        <v>High</v>
      </c>
    </row>
    <row r="3090" spans="1:25" x14ac:dyDescent="0.2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 t="shared" si="192"/>
        <v>0</v>
      </c>
      <c r="W3090">
        <f t="shared" si="193"/>
        <v>1</v>
      </c>
      <c r="X3090" t="str">
        <f t="shared" si="194"/>
        <v>25-48 Months</v>
      </c>
      <c r="Y3090" s="1" t="str">
        <f t="shared" si="195"/>
        <v>High</v>
      </c>
    </row>
    <row r="3091" spans="1:25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 t="shared" si="192"/>
        <v>0</v>
      </c>
      <c r="W3091">
        <f t="shared" si="193"/>
        <v>1</v>
      </c>
      <c r="X3091" t="str">
        <f t="shared" si="194"/>
        <v>49+ Months</v>
      </c>
      <c r="Y3091" s="1" t="str">
        <f t="shared" si="195"/>
        <v>High</v>
      </c>
    </row>
    <row r="3092" spans="1:25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 t="shared" si="192"/>
        <v>1</v>
      </c>
      <c r="W3092">
        <f t="shared" si="193"/>
        <v>0</v>
      </c>
      <c r="X3092" t="str">
        <f t="shared" si="194"/>
        <v>0-12 Months</v>
      </c>
      <c r="Y3092" s="1" t="str">
        <f t="shared" si="195"/>
        <v>Medium</v>
      </c>
    </row>
    <row r="3093" spans="1:25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 t="shared" si="192"/>
        <v>0</v>
      </c>
      <c r="W3093">
        <f t="shared" si="193"/>
        <v>1</v>
      </c>
      <c r="X3093" t="str">
        <f t="shared" si="194"/>
        <v>0-12 Months</v>
      </c>
      <c r="Y3093" s="1" t="str">
        <f t="shared" si="195"/>
        <v>Low</v>
      </c>
    </row>
    <row r="3094" spans="1:25" x14ac:dyDescent="0.2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 t="shared" si="192"/>
        <v>1</v>
      </c>
      <c r="W3094">
        <f t="shared" si="193"/>
        <v>0</v>
      </c>
      <c r="X3094" t="str">
        <f t="shared" si="194"/>
        <v>0-12 Months</v>
      </c>
      <c r="Y3094" s="1" t="str">
        <f t="shared" si="195"/>
        <v>Low</v>
      </c>
    </row>
    <row r="3095" spans="1:25" x14ac:dyDescent="0.2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 t="shared" si="192"/>
        <v>0</v>
      </c>
      <c r="W3095">
        <f t="shared" si="193"/>
        <v>1</v>
      </c>
      <c r="X3095" t="str">
        <f t="shared" si="194"/>
        <v>25-48 Months</v>
      </c>
      <c r="Y3095" s="1" t="str">
        <f t="shared" si="195"/>
        <v>Medium</v>
      </c>
    </row>
    <row r="3096" spans="1:25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 t="shared" si="192"/>
        <v>0</v>
      </c>
      <c r="W3096">
        <f t="shared" si="193"/>
        <v>1</v>
      </c>
      <c r="X3096" t="str">
        <f t="shared" si="194"/>
        <v>25-48 Months</v>
      </c>
      <c r="Y3096" s="1" t="str">
        <f t="shared" si="195"/>
        <v>Medium</v>
      </c>
    </row>
    <row r="3097" spans="1:25" x14ac:dyDescent="0.2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 t="shared" si="192"/>
        <v>0</v>
      </c>
      <c r="W3097">
        <f t="shared" si="193"/>
        <v>1</v>
      </c>
      <c r="X3097" t="str">
        <f t="shared" si="194"/>
        <v>0-12 Months</v>
      </c>
      <c r="Y3097" s="1" t="str">
        <f t="shared" si="195"/>
        <v>High</v>
      </c>
    </row>
    <row r="3098" spans="1:25" x14ac:dyDescent="0.2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 t="shared" si="192"/>
        <v>0</v>
      </c>
      <c r="W3098">
        <f t="shared" si="193"/>
        <v>1</v>
      </c>
      <c r="X3098" t="str">
        <f t="shared" si="194"/>
        <v>49+ Months</v>
      </c>
      <c r="Y3098" s="1" t="str">
        <f t="shared" si="195"/>
        <v>Medium</v>
      </c>
    </row>
    <row r="3099" spans="1:25" x14ac:dyDescent="0.2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 t="shared" si="192"/>
        <v>0</v>
      </c>
      <c r="W3099">
        <f t="shared" si="193"/>
        <v>1</v>
      </c>
      <c r="X3099" t="str">
        <f t="shared" si="194"/>
        <v>0-12 Months</v>
      </c>
      <c r="Y3099" s="1" t="str">
        <f t="shared" si="195"/>
        <v>Low</v>
      </c>
    </row>
    <row r="3100" spans="1:25" x14ac:dyDescent="0.2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 t="shared" si="192"/>
        <v>1</v>
      </c>
      <c r="W3100">
        <f t="shared" si="193"/>
        <v>0</v>
      </c>
      <c r="X3100" t="str">
        <f t="shared" si="194"/>
        <v>25-48 Months</v>
      </c>
      <c r="Y3100" s="1" t="str">
        <f t="shared" si="195"/>
        <v>Medium</v>
      </c>
    </row>
    <row r="3101" spans="1:25" x14ac:dyDescent="0.2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 t="shared" si="192"/>
        <v>0</v>
      </c>
      <c r="W3101">
        <f t="shared" si="193"/>
        <v>1</v>
      </c>
      <c r="X3101" t="str">
        <f t="shared" si="194"/>
        <v>13-24 Months</v>
      </c>
      <c r="Y3101" s="1" t="str">
        <f t="shared" si="195"/>
        <v>Low</v>
      </c>
    </row>
    <row r="3102" spans="1:25" x14ac:dyDescent="0.2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 t="shared" si="192"/>
        <v>0</v>
      </c>
      <c r="W3102">
        <f t="shared" si="193"/>
        <v>1</v>
      </c>
      <c r="X3102" t="str">
        <f t="shared" si="194"/>
        <v>49+ Months</v>
      </c>
      <c r="Y3102" s="1" t="str">
        <f t="shared" si="195"/>
        <v>High</v>
      </c>
    </row>
    <row r="3103" spans="1:25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 t="shared" si="192"/>
        <v>0</v>
      </c>
      <c r="W3103">
        <f t="shared" si="193"/>
        <v>1</v>
      </c>
      <c r="X3103" t="str">
        <f t="shared" si="194"/>
        <v>49+ Months</v>
      </c>
      <c r="Y3103" s="1" t="str">
        <f t="shared" si="195"/>
        <v>Medium</v>
      </c>
    </row>
    <row r="3104" spans="1:25" x14ac:dyDescent="0.2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 t="shared" si="192"/>
        <v>1</v>
      </c>
      <c r="W3104">
        <f t="shared" si="193"/>
        <v>0</v>
      </c>
      <c r="X3104" t="str">
        <f t="shared" si="194"/>
        <v>0-12 Months</v>
      </c>
      <c r="Y3104" s="1" t="str">
        <f t="shared" si="195"/>
        <v>Medium</v>
      </c>
    </row>
    <row r="3105" spans="1:25" x14ac:dyDescent="0.2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 t="shared" si="192"/>
        <v>1</v>
      </c>
      <c r="W3105">
        <f t="shared" si="193"/>
        <v>0</v>
      </c>
      <c r="X3105" t="str">
        <f t="shared" si="194"/>
        <v>0-12 Months</v>
      </c>
      <c r="Y3105" s="1" t="str">
        <f t="shared" si="195"/>
        <v>Low</v>
      </c>
    </row>
    <row r="3106" spans="1:25" x14ac:dyDescent="0.2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 t="shared" si="192"/>
        <v>0</v>
      </c>
      <c r="W3106">
        <f t="shared" si="193"/>
        <v>1</v>
      </c>
      <c r="X3106" t="str">
        <f t="shared" si="194"/>
        <v>0-12 Months</v>
      </c>
      <c r="Y3106" s="1" t="str">
        <f t="shared" si="195"/>
        <v>Medium</v>
      </c>
    </row>
    <row r="3107" spans="1:25" x14ac:dyDescent="0.2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 t="shared" si="192"/>
        <v>0</v>
      </c>
      <c r="W3107">
        <f t="shared" si="193"/>
        <v>1</v>
      </c>
      <c r="X3107" t="str">
        <f t="shared" si="194"/>
        <v>25-48 Months</v>
      </c>
      <c r="Y3107" s="1" t="str">
        <f t="shared" si="195"/>
        <v>Low</v>
      </c>
    </row>
    <row r="3108" spans="1:25" x14ac:dyDescent="0.2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 t="shared" si="192"/>
        <v>0</v>
      </c>
      <c r="W3108">
        <f t="shared" si="193"/>
        <v>1</v>
      </c>
      <c r="X3108" t="str">
        <f t="shared" si="194"/>
        <v>49+ Months</v>
      </c>
      <c r="Y3108" s="1" t="str">
        <f t="shared" si="195"/>
        <v>Low</v>
      </c>
    </row>
    <row r="3109" spans="1:25" x14ac:dyDescent="0.2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 t="shared" si="192"/>
        <v>0</v>
      </c>
      <c r="W3109">
        <f t="shared" si="193"/>
        <v>1</v>
      </c>
      <c r="X3109" t="str">
        <f t="shared" si="194"/>
        <v>49+ Months</v>
      </c>
      <c r="Y3109" s="1" t="str">
        <f t="shared" si="195"/>
        <v>High</v>
      </c>
    </row>
    <row r="3110" spans="1:25" x14ac:dyDescent="0.2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 t="shared" si="192"/>
        <v>0</v>
      </c>
      <c r="W3110">
        <f t="shared" si="193"/>
        <v>1</v>
      </c>
      <c r="X3110" t="str">
        <f t="shared" si="194"/>
        <v>25-48 Months</v>
      </c>
      <c r="Y3110" s="1" t="str">
        <f t="shared" si="195"/>
        <v>High</v>
      </c>
    </row>
    <row r="3111" spans="1:25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 t="shared" si="192"/>
        <v>0</v>
      </c>
      <c r="W3111">
        <f t="shared" si="193"/>
        <v>1</v>
      </c>
      <c r="X3111" t="str">
        <f t="shared" si="194"/>
        <v>49+ Months</v>
      </c>
      <c r="Y3111" s="1" t="str">
        <f t="shared" si="195"/>
        <v>Low</v>
      </c>
    </row>
    <row r="3112" spans="1:25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 t="shared" si="192"/>
        <v>0</v>
      </c>
      <c r="W3112">
        <f t="shared" si="193"/>
        <v>1</v>
      </c>
      <c r="X3112" t="str">
        <f t="shared" si="194"/>
        <v>0-12 Months</v>
      </c>
      <c r="Y3112" s="1" t="str">
        <f t="shared" si="195"/>
        <v>Low</v>
      </c>
    </row>
    <row r="3113" spans="1:25" x14ac:dyDescent="0.2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 t="shared" si="192"/>
        <v>1</v>
      </c>
      <c r="W3113">
        <f t="shared" si="193"/>
        <v>0</v>
      </c>
      <c r="X3113" t="str">
        <f t="shared" si="194"/>
        <v>49+ Months</v>
      </c>
      <c r="Y3113" s="1" t="str">
        <f t="shared" si="195"/>
        <v>High</v>
      </c>
    </row>
    <row r="3114" spans="1:25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 t="shared" si="192"/>
        <v>0</v>
      </c>
      <c r="W3114">
        <f t="shared" si="193"/>
        <v>1</v>
      </c>
      <c r="X3114" t="str">
        <f t="shared" si="194"/>
        <v>49+ Months</v>
      </c>
      <c r="Y3114" s="1" t="str">
        <f t="shared" si="195"/>
        <v>High</v>
      </c>
    </row>
    <row r="3115" spans="1:25" x14ac:dyDescent="0.2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 t="shared" si="192"/>
        <v>0</v>
      </c>
      <c r="W3115">
        <f t="shared" si="193"/>
        <v>1</v>
      </c>
      <c r="X3115" t="str">
        <f t="shared" si="194"/>
        <v>25-48 Months</v>
      </c>
      <c r="Y3115" s="1" t="str">
        <f t="shared" si="195"/>
        <v>High</v>
      </c>
    </row>
    <row r="3116" spans="1:25" x14ac:dyDescent="0.2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 t="shared" si="192"/>
        <v>0</v>
      </c>
      <c r="W3116">
        <f t="shared" si="193"/>
        <v>1</v>
      </c>
      <c r="X3116" t="str">
        <f t="shared" si="194"/>
        <v>0-12 Months</v>
      </c>
      <c r="Y3116" s="1" t="str">
        <f t="shared" si="195"/>
        <v>Medium</v>
      </c>
    </row>
    <row r="3117" spans="1:25" x14ac:dyDescent="0.2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 t="shared" si="192"/>
        <v>1</v>
      </c>
      <c r="W3117">
        <f t="shared" si="193"/>
        <v>0</v>
      </c>
      <c r="X3117" t="str">
        <f t="shared" si="194"/>
        <v>13-24 Months</v>
      </c>
      <c r="Y3117" s="1" t="str">
        <f t="shared" si="195"/>
        <v>High</v>
      </c>
    </row>
    <row r="3118" spans="1:25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 t="shared" si="192"/>
        <v>0</v>
      </c>
      <c r="W3118">
        <f t="shared" si="193"/>
        <v>1</v>
      </c>
      <c r="X3118" t="str">
        <f t="shared" si="194"/>
        <v>25-48 Months</v>
      </c>
      <c r="Y3118" s="1" t="str">
        <f t="shared" si="195"/>
        <v>High</v>
      </c>
    </row>
    <row r="3119" spans="1:25" x14ac:dyDescent="0.2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 t="shared" si="192"/>
        <v>0</v>
      </c>
      <c r="W3119">
        <f t="shared" si="193"/>
        <v>1</v>
      </c>
      <c r="X3119" t="str">
        <f t="shared" si="194"/>
        <v>49+ Months</v>
      </c>
      <c r="Y3119" s="1" t="str">
        <f t="shared" si="195"/>
        <v>High</v>
      </c>
    </row>
    <row r="3120" spans="1:25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 t="shared" si="192"/>
        <v>0</v>
      </c>
      <c r="W3120">
        <f t="shared" si="193"/>
        <v>1</v>
      </c>
      <c r="X3120" t="str">
        <f t="shared" si="194"/>
        <v>25-48 Months</v>
      </c>
      <c r="Y3120" s="1" t="str">
        <f t="shared" si="195"/>
        <v>Low</v>
      </c>
    </row>
    <row r="3121" spans="1:25" x14ac:dyDescent="0.2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 t="shared" si="192"/>
        <v>1</v>
      </c>
      <c r="W3121">
        <f t="shared" si="193"/>
        <v>0</v>
      </c>
      <c r="X3121" t="str">
        <f t="shared" si="194"/>
        <v>25-48 Months</v>
      </c>
      <c r="Y3121" s="1" t="str">
        <f t="shared" si="195"/>
        <v>High</v>
      </c>
    </row>
    <row r="3122" spans="1:25" x14ac:dyDescent="0.2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 t="shared" si="192"/>
        <v>0</v>
      </c>
      <c r="W3122">
        <f t="shared" si="193"/>
        <v>1</v>
      </c>
      <c r="X3122" t="str">
        <f t="shared" si="194"/>
        <v>49+ Months</v>
      </c>
      <c r="Y3122" s="1" t="str">
        <f t="shared" si="195"/>
        <v>Low</v>
      </c>
    </row>
    <row r="3123" spans="1:25" x14ac:dyDescent="0.2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 t="shared" si="192"/>
        <v>1</v>
      </c>
      <c r="W3123">
        <f t="shared" si="193"/>
        <v>0</v>
      </c>
      <c r="X3123" t="str">
        <f t="shared" si="194"/>
        <v>13-24 Months</v>
      </c>
      <c r="Y3123" s="1" t="str">
        <f t="shared" si="195"/>
        <v>Medium</v>
      </c>
    </row>
    <row r="3124" spans="1:25" x14ac:dyDescent="0.2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 t="shared" si="192"/>
        <v>0</v>
      </c>
      <c r="W3124">
        <f t="shared" si="193"/>
        <v>1</v>
      </c>
      <c r="X3124" t="str">
        <f t="shared" si="194"/>
        <v>49+ Months</v>
      </c>
      <c r="Y3124" s="1" t="str">
        <f t="shared" si="195"/>
        <v>Low</v>
      </c>
    </row>
    <row r="3125" spans="1:25" x14ac:dyDescent="0.2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 t="shared" si="192"/>
        <v>0</v>
      </c>
      <c r="W3125">
        <f t="shared" si="193"/>
        <v>1</v>
      </c>
      <c r="X3125" t="str">
        <f t="shared" si="194"/>
        <v>13-24 Months</v>
      </c>
      <c r="Y3125" s="1" t="str">
        <f t="shared" si="195"/>
        <v>Medium</v>
      </c>
    </row>
    <row r="3126" spans="1:25" x14ac:dyDescent="0.2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 t="shared" si="192"/>
        <v>0</v>
      </c>
      <c r="W3126">
        <f t="shared" si="193"/>
        <v>1</v>
      </c>
      <c r="X3126" t="str">
        <f t="shared" si="194"/>
        <v>49+ Months</v>
      </c>
      <c r="Y3126" s="1" t="str">
        <f t="shared" si="195"/>
        <v>High</v>
      </c>
    </row>
    <row r="3127" spans="1:25" x14ac:dyDescent="0.2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 t="shared" si="192"/>
        <v>0</v>
      </c>
      <c r="W3127">
        <f t="shared" si="193"/>
        <v>1</v>
      </c>
      <c r="X3127" t="str">
        <f t="shared" si="194"/>
        <v>0-12 Months</v>
      </c>
      <c r="Y3127" s="1" t="str">
        <f t="shared" si="195"/>
        <v>Low</v>
      </c>
    </row>
    <row r="3128" spans="1:25" x14ac:dyDescent="0.2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 t="shared" si="192"/>
        <v>0</v>
      </c>
      <c r="W3128">
        <f t="shared" si="193"/>
        <v>1</v>
      </c>
      <c r="X3128" t="str">
        <f t="shared" si="194"/>
        <v>25-48 Months</v>
      </c>
      <c r="Y3128" s="1" t="str">
        <f t="shared" si="195"/>
        <v>Low</v>
      </c>
    </row>
    <row r="3129" spans="1:25" x14ac:dyDescent="0.2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 t="shared" si="192"/>
        <v>1</v>
      </c>
      <c r="W3129">
        <f t="shared" si="193"/>
        <v>0</v>
      </c>
      <c r="X3129" t="str">
        <f t="shared" si="194"/>
        <v>25-48 Months</v>
      </c>
      <c r="Y3129" s="1" t="str">
        <f t="shared" si="195"/>
        <v>Low</v>
      </c>
    </row>
    <row r="3130" spans="1:25" x14ac:dyDescent="0.2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 t="shared" si="192"/>
        <v>0</v>
      </c>
      <c r="W3130">
        <f t="shared" si="193"/>
        <v>1</v>
      </c>
      <c r="X3130" t="str">
        <f t="shared" si="194"/>
        <v>0-12 Months</v>
      </c>
      <c r="Y3130" s="1" t="str">
        <f t="shared" si="195"/>
        <v>Low</v>
      </c>
    </row>
    <row r="3131" spans="1:25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 t="shared" si="192"/>
        <v>0</v>
      </c>
      <c r="W3131">
        <f t="shared" si="193"/>
        <v>1</v>
      </c>
      <c r="X3131" t="str">
        <f t="shared" si="194"/>
        <v>49+ Months</v>
      </c>
      <c r="Y3131" s="1" t="str">
        <f t="shared" si="195"/>
        <v>High</v>
      </c>
    </row>
    <row r="3132" spans="1:25" x14ac:dyDescent="0.2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 t="shared" si="192"/>
        <v>0</v>
      </c>
      <c r="W3132">
        <f t="shared" si="193"/>
        <v>1</v>
      </c>
      <c r="X3132" t="str">
        <f t="shared" si="194"/>
        <v>13-24 Months</v>
      </c>
      <c r="Y3132" s="1" t="str">
        <f t="shared" si="195"/>
        <v>Medium</v>
      </c>
    </row>
    <row r="3133" spans="1:25" x14ac:dyDescent="0.2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 t="shared" si="192"/>
        <v>0</v>
      </c>
      <c r="W3133">
        <f t="shared" si="193"/>
        <v>1</v>
      </c>
      <c r="X3133" t="str">
        <f t="shared" si="194"/>
        <v>49+ Months</v>
      </c>
      <c r="Y3133" s="1" t="str">
        <f t="shared" si="195"/>
        <v>Medium</v>
      </c>
    </row>
    <row r="3134" spans="1:25" x14ac:dyDescent="0.2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 t="shared" si="192"/>
        <v>0</v>
      </c>
      <c r="W3134">
        <f t="shared" si="193"/>
        <v>1</v>
      </c>
      <c r="X3134" t="str">
        <f t="shared" si="194"/>
        <v>0-12 Months</v>
      </c>
      <c r="Y3134" s="1" t="str">
        <f t="shared" si="195"/>
        <v>Medium</v>
      </c>
    </row>
    <row r="3135" spans="1:25" x14ac:dyDescent="0.2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 t="shared" si="192"/>
        <v>0</v>
      </c>
      <c r="W3135">
        <f t="shared" si="193"/>
        <v>1</v>
      </c>
      <c r="X3135" t="str">
        <f t="shared" si="194"/>
        <v>49+ Months</v>
      </c>
      <c r="Y3135" s="1" t="str">
        <f t="shared" si="195"/>
        <v>Medium</v>
      </c>
    </row>
    <row r="3136" spans="1:25" x14ac:dyDescent="0.2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 t="shared" si="192"/>
        <v>0</v>
      </c>
      <c r="W3136">
        <f t="shared" si="193"/>
        <v>1</v>
      </c>
      <c r="X3136" t="str">
        <f t="shared" si="194"/>
        <v>25-48 Months</v>
      </c>
      <c r="Y3136" s="1" t="str">
        <f t="shared" si="195"/>
        <v>Low</v>
      </c>
    </row>
    <row r="3137" spans="1:25" x14ac:dyDescent="0.2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 t="shared" si="192"/>
        <v>1</v>
      </c>
      <c r="W3137">
        <f t="shared" si="193"/>
        <v>0</v>
      </c>
      <c r="X3137" t="str">
        <f t="shared" si="194"/>
        <v>25-48 Months</v>
      </c>
      <c r="Y3137" s="1" t="str">
        <f t="shared" si="195"/>
        <v>High</v>
      </c>
    </row>
    <row r="3138" spans="1:25" x14ac:dyDescent="0.2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 t="shared" ref="V3138:V3201" si="196">IF(U3138="Yes",1,0)</f>
        <v>1</v>
      </c>
      <c r="W3138">
        <f t="shared" ref="W3138:W3201" si="197">IF(U3138="No",1,0)</f>
        <v>0</v>
      </c>
      <c r="X3138" t="str">
        <f t="shared" ref="X3138:X3201" si="198">IF(F3138&lt;=12,"0-12 Months",IF(F3138&lt;=24,"13-24 Months",IF(F3138&lt;=48,"25-48 Months","49+ Months")))</f>
        <v>13-24 Months</v>
      </c>
      <c r="Y3138" s="1" t="str">
        <f t="shared" ref="Y3138:Y3201" si="199">IF(S3138&lt;50,"Low",IF(S3138&lt;80,"Medium","High"))</f>
        <v>Medium</v>
      </c>
    </row>
    <row r="3139" spans="1:25" x14ac:dyDescent="0.2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 t="shared" si="196"/>
        <v>0</v>
      </c>
      <c r="W3139">
        <f t="shared" si="197"/>
        <v>1</v>
      </c>
      <c r="X3139" t="str">
        <f t="shared" si="198"/>
        <v>25-48 Months</v>
      </c>
      <c r="Y3139" s="1" t="str">
        <f t="shared" si="199"/>
        <v>High</v>
      </c>
    </row>
    <row r="3140" spans="1:25" x14ac:dyDescent="0.2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 t="shared" si="196"/>
        <v>1</v>
      </c>
      <c r="W3140">
        <f t="shared" si="197"/>
        <v>0</v>
      </c>
      <c r="X3140" t="str">
        <f t="shared" si="198"/>
        <v>0-12 Months</v>
      </c>
      <c r="Y3140" s="1" t="str">
        <f t="shared" si="199"/>
        <v>Low</v>
      </c>
    </row>
    <row r="3141" spans="1:25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 t="shared" si="196"/>
        <v>1</v>
      </c>
      <c r="W3141">
        <f t="shared" si="197"/>
        <v>0</v>
      </c>
      <c r="X3141" t="str">
        <f t="shared" si="198"/>
        <v>0-12 Months</v>
      </c>
      <c r="Y3141" s="1" t="str">
        <f t="shared" si="199"/>
        <v>Low</v>
      </c>
    </row>
    <row r="3142" spans="1:25" x14ac:dyDescent="0.2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 t="shared" si="196"/>
        <v>0</v>
      </c>
      <c r="W3142">
        <f t="shared" si="197"/>
        <v>1</v>
      </c>
      <c r="X3142" t="str">
        <f t="shared" si="198"/>
        <v>13-24 Months</v>
      </c>
      <c r="Y3142" s="1" t="str">
        <f t="shared" si="199"/>
        <v>Medium</v>
      </c>
    </row>
    <row r="3143" spans="1:25" x14ac:dyDescent="0.2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 t="shared" si="196"/>
        <v>1</v>
      </c>
      <c r="W3143">
        <f t="shared" si="197"/>
        <v>0</v>
      </c>
      <c r="X3143" t="str">
        <f t="shared" si="198"/>
        <v>0-12 Months</v>
      </c>
      <c r="Y3143" s="1" t="str">
        <f t="shared" si="199"/>
        <v>High</v>
      </c>
    </row>
    <row r="3144" spans="1:25" x14ac:dyDescent="0.2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 t="shared" si="196"/>
        <v>1</v>
      </c>
      <c r="W3144">
        <f t="shared" si="197"/>
        <v>0</v>
      </c>
      <c r="X3144" t="str">
        <f t="shared" si="198"/>
        <v>0-12 Months</v>
      </c>
      <c r="Y3144" s="1" t="str">
        <f t="shared" si="199"/>
        <v>Low</v>
      </c>
    </row>
    <row r="3145" spans="1:25" x14ac:dyDescent="0.2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 t="shared" si="196"/>
        <v>0</v>
      </c>
      <c r="W3145">
        <f t="shared" si="197"/>
        <v>1</v>
      </c>
      <c r="X3145" t="str">
        <f t="shared" si="198"/>
        <v>13-24 Months</v>
      </c>
      <c r="Y3145" s="1" t="str">
        <f t="shared" si="199"/>
        <v>Medium</v>
      </c>
    </row>
    <row r="3146" spans="1:25" x14ac:dyDescent="0.2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 t="shared" si="196"/>
        <v>0</v>
      </c>
      <c r="W3146">
        <f t="shared" si="197"/>
        <v>1</v>
      </c>
      <c r="X3146" t="str">
        <f t="shared" si="198"/>
        <v>0-12 Months</v>
      </c>
      <c r="Y3146" s="1" t="str">
        <f t="shared" si="199"/>
        <v>Low</v>
      </c>
    </row>
    <row r="3147" spans="1:25" x14ac:dyDescent="0.2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 t="shared" si="196"/>
        <v>1</v>
      </c>
      <c r="W3147">
        <f t="shared" si="197"/>
        <v>0</v>
      </c>
      <c r="X3147" t="str">
        <f t="shared" si="198"/>
        <v>0-12 Months</v>
      </c>
      <c r="Y3147" s="1" t="str">
        <f t="shared" si="199"/>
        <v>Medium</v>
      </c>
    </row>
    <row r="3148" spans="1:25" x14ac:dyDescent="0.2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 t="shared" si="196"/>
        <v>1</v>
      </c>
      <c r="W3148">
        <f t="shared" si="197"/>
        <v>0</v>
      </c>
      <c r="X3148" t="str">
        <f t="shared" si="198"/>
        <v>0-12 Months</v>
      </c>
      <c r="Y3148" s="1" t="str">
        <f t="shared" si="199"/>
        <v>High</v>
      </c>
    </row>
    <row r="3149" spans="1:25" x14ac:dyDescent="0.2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 t="shared" si="196"/>
        <v>0</v>
      </c>
      <c r="W3149">
        <f t="shared" si="197"/>
        <v>1</v>
      </c>
      <c r="X3149" t="str">
        <f t="shared" si="198"/>
        <v>13-24 Months</v>
      </c>
      <c r="Y3149" s="1" t="str">
        <f t="shared" si="199"/>
        <v>High</v>
      </c>
    </row>
    <row r="3150" spans="1:25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 t="shared" si="196"/>
        <v>0</v>
      </c>
      <c r="W3150">
        <f t="shared" si="197"/>
        <v>1</v>
      </c>
      <c r="X3150" t="str">
        <f t="shared" si="198"/>
        <v>25-48 Months</v>
      </c>
      <c r="Y3150" s="1" t="str">
        <f t="shared" si="199"/>
        <v>Medium</v>
      </c>
    </row>
    <row r="3151" spans="1:25" x14ac:dyDescent="0.2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 t="shared" si="196"/>
        <v>0</v>
      </c>
      <c r="W3151">
        <f t="shared" si="197"/>
        <v>1</v>
      </c>
      <c r="X3151" t="str">
        <f t="shared" si="198"/>
        <v>0-12 Months</v>
      </c>
      <c r="Y3151" s="1" t="str">
        <f t="shared" si="199"/>
        <v>Medium</v>
      </c>
    </row>
    <row r="3152" spans="1:25" x14ac:dyDescent="0.2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 t="shared" si="196"/>
        <v>0</v>
      </c>
      <c r="W3152">
        <f t="shared" si="197"/>
        <v>1</v>
      </c>
      <c r="X3152" t="str">
        <f t="shared" si="198"/>
        <v>13-24 Months</v>
      </c>
      <c r="Y3152" s="1" t="str">
        <f t="shared" si="199"/>
        <v>Low</v>
      </c>
    </row>
    <row r="3153" spans="1:25" x14ac:dyDescent="0.2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 t="shared" si="196"/>
        <v>0</v>
      </c>
      <c r="W3153">
        <f t="shared" si="197"/>
        <v>1</v>
      </c>
      <c r="X3153" t="str">
        <f t="shared" si="198"/>
        <v>13-24 Months</v>
      </c>
      <c r="Y3153" s="1" t="str">
        <f t="shared" si="199"/>
        <v>Medium</v>
      </c>
    </row>
    <row r="3154" spans="1:25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 t="shared" si="196"/>
        <v>0</v>
      </c>
      <c r="W3154">
        <f t="shared" si="197"/>
        <v>1</v>
      </c>
      <c r="X3154" t="str">
        <f t="shared" si="198"/>
        <v>25-48 Months</v>
      </c>
      <c r="Y3154" s="1" t="str">
        <f t="shared" si="199"/>
        <v>High</v>
      </c>
    </row>
    <row r="3155" spans="1:25" x14ac:dyDescent="0.2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 t="shared" si="196"/>
        <v>0</v>
      </c>
      <c r="W3155">
        <f t="shared" si="197"/>
        <v>1</v>
      </c>
      <c r="X3155" t="str">
        <f t="shared" si="198"/>
        <v>13-24 Months</v>
      </c>
      <c r="Y3155" s="1" t="str">
        <f t="shared" si="199"/>
        <v>Medium</v>
      </c>
    </row>
    <row r="3156" spans="1:25" x14ac:dyDescent="0.2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 t="shared" si="196"/>
        <v>0</v>
      </c>
      <c r="W3156">
        <f t="shared" si="197"/>
        <v>1</v>
      </c>
      <c r="X3156" t="str">
        <f t="shared" si="198"/>
        <v>0-12 Months</v>
      </c>
      <c r="Y3156" s="1" t="str">
        <f t="shared" si="199"/>
        <v>Medium</v>
      </c>
    </row>
    <row r="3157" spans="1:25" x14ac:dyDescent="0.2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 t="shared" si="196"/>
        <v>0</v>
      </c>
      <c r="W3157">
        <f t="shared" si="197"/>
        <v>1</v>
      </c>
      <c r="X3157" t="str">
        <f t="shared" si="198"/>
        <v>25-48 Months</v>
      </c>
      <c r="Y3157" s="1" t="str">
        <f t="shared" si="199"/>
        <v>Low</v>
      </c>
    </row>
    <row r="3158" spans="1:25" x14ac:dyDescent="0.2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 t="shared" si="196"/>
        <v>0</v>
      </c>
      <c r="W3158">
        <f t="shared" si="197"/>
        <v>1</v>
      </c>
      <c r="X3158" t="str">
        <f t="shared" si="198"/>
        <v>25-48 Months</v>
      </c>
      <c r="Y3158" s="1" t="str">
        <f t="shared" si="199"/>
        <v>Low</v>
      </c>
    </row>
    <row r="3159" spans="1:25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 t="shared" si="196"/>
        <v>1</v>
      </c>
      <c r="W3159">
        <f t="shared" si="197"/>
        <v>0</v>
      </c>
      <c r="X3159" t="str">
        <f t="shared" si="198"/>
        <v>0-12 Months</v>
      </c>
      <c r="Y3159" s="1" t="str">
        <f t="shared" si="199"/>
        <v>Low</v>
      </c>
    </row>
    <row r="3160" spans="1:25" x14ac:dyDescent="0.2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 t="shared" si="196"/>
        <v>1</v>
      </c>
      <c r="W3160">
        <f t="shared" si="197"/>
        <v>0</v>
      </c>
      <c r="X3160" t="str">
        <f t="shared" si="198"/>
        <v>13-24 Months</v>
      </c>
      <c r="Y3160" s="1" t="str">
        <f t="shared" si="199"/>
        <v>Low</v>
      </c>
    </row>
    <row r="3161" spans="1:25" x14ac:dyDescent="0.2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 t="shared" si="196"/>
        <v>0</v>
      </c>
      <c r="W3161">
        <f t="shared" si="197"/>
        <v>1</v>
      </c>
      <c r="X3161" t="str">
        <f t="shared" si="198"/>
        <v>0-12 Months</v>
      </c>
      <c r="Y3161" s="1" t="str">
        <f t="shared" si="199"/>
        <v>High</v>
      </c>
    </row>
    <row r="3162" spans="1:25" x14ac:dyDescent="0.2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 t="shared" si="196"/>
        <v>0</v>
      </c>
      <c r="W3162">
        <f t="shared" si="197"/>
        <v>1</v>
      </c>
      <c r="X3162" t="str">
        <f t="shared" si="198"/>
        <v>49+ Months</v>
      </c>
      <c r="Y3162" s="1" t="str">
        <f t="shared" si="199"/>
        <v>Low</v>
      </c>
    </row>
    <row r="3163" spans="1:25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 t="shared" si="196"/>
        <v>0</v>
      </c>
      <c r="W3163">
        <f t="shared" si="197"/>
        <v>1</v>
      </c>
      <c r="X3163" t="str">
        <f t="shared" si="198"/>
        <v>13-24 Months</v>
      </c>
      <c r="Y3163" s="1" t="str">
        <f t="shared" si="199"/>
        <v>Low</v>
      </c>
    </row>
    <row r="3164" spans="1:25" x14ac:dyDescent="0.2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 t="shared" si="196"/>
        <v>0</v>
      </c>
      <c r="W3164">
        <f t="shared" si="197"/>
        <v>1</v>
      </c>
      <c r="X3164" t="str">
        <f t="shared" si="198"/>
        <v>13-24 Months</v>
      </c>
      <c r="Y3164" s="1" t="str">
        <f t="shared" si="199"/>
        <v>Medium</v>
      </c>
    </row>
    <row r="3165" spans="1:25" x14ac:dyDescent="0.2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 t="shared" si="196"/>
        <v>0</v>
      </c>
      <c r="W3165">
        <f t="shared" si="197"/>
        <v>1</v>
      </c>
      <c r="X3165" t="str">
        <f t="shared" si="198"/>
        <v>25-48 Months</v>
      </c>
      <c r="Y3165" s="1" t="str">
        <f t="shared" si="199"/>
        <v>High</v>
      </c>
    </row>
    <row r="3166" spans="1:25" x14ac:dyDescent="0.2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 t="shared" si="196"/>
        <v>0</v>
      </c>
      <c r="W3166">
        <f t="shared" si="197"/>
        <v>1</v>
      </c>
      <c r="X3166" t="str">
        <f t="shared" si="198"/>
        <v>25-48 Months</v>
      </c>
      <c r="Y3166" s="1" t="str">
        <f t="shared" si="199"/>
        <v>High</v>
      </c>
    </row>
    <row r="3167" spans="1:25" x14ac:dyDescent="0.2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 t="shared" si="196"/>
        <v>0</v>
      </c>
      <c r="W3167">
        <f t="shared" si="197"/>
        <v>1</v>
      </c>
      <c r="X3167" t="str">
        <f t="shared" si="198"/>
        <v>13-24 Months</v>
      </c>
      <c r="Y3167" s="1" t="str">
        <f t="shared" si="199"/>
        <v>Low</v>
      </c>
    </row>
    <row r="3168" spans="1:25" x14ac:dyDescent="0.2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 t="shared" si="196"/>
        <v>0</v>
      </c>
      <c r="W3168">
        <f t="shared" si="197"/>
        <v>1</v>
      </c>
      <c r="X3168" t="str">
        <f t="shared" si="198"/>
        <v>13-24 Months</v>
      </c>
      <c r="Y3168" s="1" t="str">
        <f t="shared" si="199"/>
        <v>Low</v>
      </c>
    </row>
    <row r="3169" spans="1:25" x14ac:dyDescent="0.2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 t="shared" si="196"/>
        <v>0</v>
      </c>
      <c r="W3169">
        <f t="shared" si="197"/>
        <v>1</v>
      </c>
      <c r="X3169" t="str">
        <f t="shared" si="198"/>
        <v>49+ Months</v>
      </c>
      <c r="Y3169" s="1" t="str">
        <f t="shared" si="199"/>
        <v>Medium</v>
      </c>
    </row>
    <row r="3170" spans="1:25" x14ac:dyDescent="0.2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 t="shared" si="196"/>
        <v>0</v>
      </c>
      <c r="W3170">
        <f t="shared" si="197"/>
        <v>1</v>
      </c>
      <c r="X3170" t="str">
        <f t="shared" si="198"/>
        <v>49+ Months</v>
      </c>
      <c r="Y3170" s="1" t="str">
        <f t="shared" si="199"/>
        <v>Low</v>
      </c>
    </row>
    <row r="3171" spans="1:25" x14ac:dyDescent="0.2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 t="shared" si="196"/>
        <v>0</v>
      </c>
      <c r="W3171">
        <f t="shared" si="197"/>
        <v>1</v>
      </c>
      <c r="X3171" t="str">
        <f t="shared" si="198"/>
        <v>49+ Months</v>
      </c>
      <c r="Y3171" s="1" t="str">
        <f t="shared" si="199"/>
        <v>Medium</v>
      </c>
    </row>
    <row r="3172" spans="1:25" x14ac:dyDescent="0.2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 t="shared" si="196"/>
        <v>0</v>
      </c>
      <c r="W3172">
        <f t="shared" si="197"/>
        <v>1</v>
      </c>
      <c r="X3172" t="str">
        <f t="shared" si="198"/>
        <v>25-48 Months</v>
      </c>
      <c r="Y3172" s="1" t="str">
        <f t="shared" si="199"/>
        <v>High</v>
      </c>
    </row>
    <row r="3173" spans="1:25" x14ac:dyDescent="0.2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 t="shared" si="196"/>
        <v>0</v>
      </c>
      <c r="W3173">
        <f t="shared" si="197"/>
        <v>1</v>
      </c>
      <c r="X3173" t="str">
        <f t="shared" si="198"/>
        <v>13-24 Months</v>
      </c>
      <c r="Y3173" s="1" t="str">
        <f t="shared" si="199"/>
        <v>Low</v>
      </c>
    </row>
    <row r="3174" spans="1:25" x14ac:dyDescent="0.2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 t="shared" si="196"/>
        <v>1</v>
      </c>
      <c r="W3174">
        <f t="shared" si="197"/>
        <v>0</v>
      </c>
      <c r="X3174" t="str">
        <f t="shared" si="198"/>
        <v>25-48 Months</v>
      </c>
      <c r="Y3174" s="1" t="str">
        <f t="shared" si="199"/>
        <v>High</v>
      </c>
    </row>
    <row r="3175" spans="1:25" x14ac:dyDescent="0.2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 t="shared" si="196"/>
        <v>0</v>
      </c>
      <c r="W3175">
        <f t="shared" si="197"/>
        <v>1</v>
      </c>
      <c r="X3175" t="str">
        <f t="shared" si="198"/>
        <v>13-24 Months</v>
      </c>
      <c r="Y3175" s="1" t="str">
        <f t="shared" si="199"/>
        <v>Low</v>
      </c>
    </row>
    <row r="3176" spans="1:25" x14ac:dyDescent="0.2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 t="shared" si="196"/>
        <v>0</v>
      </c>
      <c r="W3176">
        <f t="shared" si="197"/>
        <v>1</v>
      </c>
      <c r="X3176" t="str">
        <f t="shared" si="198"/>
        <v>49+ Months</v>
      </c>
      <c r="Y3176" s="1" t="str">
        <f t="shared" si="199"/>
        <v>Low</v>
      </c>
    </row>
    <row r="3177" spans="1:25" x14ac:dyDescent="0.2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 t="shared" si="196"/>
        <v>1</v>
      </c>
      <c r="W3177">
        <f t="shared" si="197"/>
        <v>0</v>
      </c>
      <c r="X3177" t="str">
        <f t="shared" si="198"/>
        <v>13-24 Months</v>
      </c>
      <c r="Y3177" s="1" t="str">
        <f t="shared" si="199"/>
        <v>High</v>
      </c>
    </row>
    <row r="3178" spans="1:25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 t="shared" si="196"/>
        <v>0</v>
      </c>
      <c r="W3178">
        <f t="shared" si="197"/>
        <v>1</v>
      </c>
      <c r="X3178" t="str">
        <f t="shared" si="198"/>
        <v>49+ Months</v>
      </c>
      <c r="Y3178" s="1" t="str">
        <f t="shared" si="199"/>
        <v>Low</v>
      </c>
    </row>
    <row r="3179" spans="1:25" x14ac:dyDescent="0.2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 t="shared" si="196"/>
        <v>0</v>
      </c>
      <c r="W3179">
        <f t="shared" si="197"/>
        <v>1</v>
      </c>
      <c r="X3179" t="str">
        <f t="shared" si="198"/>
        <v>49+ Months</v>
      </c>
      <c r="Y3179" s="1" t="str">
        <f t="shared" si="199"/>
        <v>Low</v>
      </c>
    </row>
    <row r="3180" spans="1:25" x14ac:dyDescent="0.2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 t="shared" si="196"/>
        <v>1</v>
      </c>
      <c r="W3180">
        <f t="shared" si="197"/>
        <v>0</v>
      </c>
      <c r="X3180" t="str">
        <f t="shared" si="198"/>
        <v>49+ Months</v>
      </c>
      <c r="Y3180" s="1" t="str">
        <f t="shared" si="199"/>
        <v>High</v>
      </c>
    </row>
    <row r="3181" spans="1:25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 t="shared" si="196"/>
        <v>0</v>
      </c>
      <c r="W3181">
        <f t="shared" si="197"/>
        <v>1</v>
      </c>
      <c r="X3181" t="str">
        <f t="shared" si="198"/>
        <v>25-48 Months</v>
      </c>
      <c r="Y3181" s="1" t="str">
        <f t="shared" si="199"/>
        <v>Low</v>
      </c>
    </row>
    <row r="3182" spans="1:25" x14ac:dyDescent="0.2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 t="shared" si="196"/>
        <v>0</v>
      </c>
      <c r="W3182">
        <f t="shared" si="197"/>
        <v>1</v>
      </c>
      <c r="X3182" t="str">
        <f t="shared" si="198"/>
        <v>0-12 Months</v>
      </c>
      <c r="Y3182" s="1" t="str">
        <f t="shared" si="199"/>
        <v>Low</v>
      </c>
    </row>
    <row r="3183" spans="1:25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 t="shared" si="196"/>
        <v>0</v>
      </c>
      <c r="W3183">
        <f t="shared" si="197"/>
        <v>1</v>
      </c>
      <c r="X3183" t="str">
        <f t="shared" si="198"/>
        <v>49+ Months</v>
      </c>
      <c r="Y3183" s="1" t="str">
        <f t="shared" si="199"/>
        <v>High</v>
      </c>
    </row>
    <row r="3184" spans="1:25" x14ac:dyDescent="0.2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 t="shared" si="196"/>
        <v>0</v>
      </c>
      <c r="W3184">
        <f t="shared" si="197"/>
        <v>1</v>
      </c>
      <c r="X3184" t="str">
        <f t="shared" si="198"/>
        <v>25-48 Months</v>
      </c>
      <c r="Y3184" s="1" t="str">
        <f t="shared" si="199"/>
        <v>High</v>
      </c>
    </row>
    <row r="3185" spans="1:25" x14ac:dyDescent="0.2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 t="shared" si="196"/>
        <v>1</v>
      </c>
      <c r="W3185">
        <f t="shared" si="197"/>
        <v>0</v>
      </c>
      <c r="X3185" t="str">
        <f t="shared" si="198"/>
        <v>0-12 Months</v>
      </c>
      <c r="Y3185" s="1" t="str">
        <f t="shared" si="199"/>
        <v>Low</v>
      </c>
    </row>
    <row r="3186" spans="1:25" x14ac:dyDescent="0.2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 t="shared" si="196"/>
        <v>0</v>
      </c>
      <c r="W3186">
        <f t="shared" si="197"/>
        <v>1</v>
      </c>
      <c r="X3186" t="str">
        <f t="shared" si="198"/>
        <v>49+ Months</v>
      </c>
      <c r="Y3186" s="1" t="str">
        <f t="shared" si="199"/>
        <v>High</v>
      </c>
    </row>
    <row r="3187" spans="1:25" x14ac:dyDescent="0.2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 t="shared" si="196"/>
        <v>1</v>
      </c>
      <c r="W3187">
        <f t="shared" si="197"/>
        <v>0</v>
      </c>
      <c r="X3187" t="str">
        <f t="shared" si="198"/>
        <v>0-12 Months</v>
      </c>
      <c r="Y3187" s="1" t="str">
        <f t="shared" si="199"/>
        <v>Low</v>
      </c>
    </row>
    <row r="3188" spans="1:25" x14ac:dyDescent="0.2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 t="shared" si="196"/>
        <v>0</v>
      </c>
      <c r="W3188">
        <f t="shared" si="197"/>
        <v>1</v>
      </c>
      <c r="X3188" t="str">
        <f t="shared" si="198"/>
        <v>49+ Months</v>
      </c>
      <c r="Y3188" s="1" t="str">
        <f t="shared" si="199"/>
        <v>Low</v>
      </c>
    </row>
    <row r="3189" spans="1:25" x14ac:dyDescent="0.2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 t="shared" si="196"/>
        <v>0</v>
      </c>
      <c r="W3189">
        <f t="shared" si="197"/>
        <v>1</v>
      </c>
      <c r="X3189" t="str">
        <f t="shared" si="198"/>
        <v>25-48 Months</v>
      </c>
      <c r="Y3189" s="1" t="str">
        <f t="shared" si="199"/>
        <v>High</v>
      </c>
    </row>
    <row r="3190" spans="1:25" x14ac:dyDescent="0.2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 t="shared" si="196"/>
        <v>1</v>
      </c>
      <c r="W3190">
        <f t="shared" si="197"/>
        <v>0</v>
      </c>
      <c r="X3190" t="str">
        <f t="shared" si="198"/>
        <v>0-12 Months</v>
      </c>
      <c r="Y3190" s="1" t="str">
        <f t="shared" si="199"/>
        <v>Low</v>
      </c>
    </row>
    <row r="3191" spans="1:25" x14ac:dyDescent="0.2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 t="shared" si="196"/>
        <v>0</v>
      </c>
      <c r="W3191">
        <f t="shared" si="197"/>
        <v>1</v>
      </c>
      <c r="X3191" t="str">
        <f t="shared" si="198"/>
        <v>13-24 Months</v>
      </c>
      <c r="Y3191" s="1" t="str">
        <f t="shared" si="199"/>
        <v>Low</v>
      </c>
    </row>
    <row r="3192" spans="1:25" x14ac:dyDescent="0.2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 t="shared" si="196"/>
        <v>0</v>
      </c>
      <c r="W3192">
        <f t="shared" si="197"/>
        <v>1</v>
      </c>
      <c r="X3192" t="str">
        <f t="shared" si="198"/>
        <v>49+ Months</v>
      </c>
      <c r="Y3192" s="1" t="str">
        <f t="shared" si="199"/>
        <v>Medium</v>
      </c>
    </row>
    <row r="3193" spans="1:25" x14ac:dyDescent="0.2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 t="shared" si="196"/>
        <v>0</v>
      </c>
      <c r="W3193">
        <f t="shared" si="197"/>
        <v>1</v>
      </c>
      <c r="X3193" t="str">
        <f t="shared" si="198"/>
        <v>0-12 Months</v>
      </c>
      <c r="Y3193" s="1" t="str">
        <f t="shared" si="199"/>
        <v>Low</v>
      </c>
    </row>
    <row r="3194" spans="1:25" x14ac:dyDescent="0.2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 t="shared" si="196"/>
        <v>0</v>
      </c>
      <c r="W3194">
        <f t="shared" si="197"/>
        <v>1</v>
      </c>
      <c r="X3194" t="str">
        <f t="shared" si="198"/>
        <v>49+ Months</v>
      </c>
      <c r="Y3194" s="1" t="str">
        <f t="shared" si="199"/>
        <v>Low</v>
      </c>
    </row>
    <row r="3195" spans="1:25" x14ac:dyDescent="0.2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 t="shared" si="196"/>
        <v>0</v>
      </c>
      <c r="W3195">
        <f t="shared" si="197"/>
        <v>1</v>
      </c>
      <c r="X3195" t="str">
        <f t="shared" si="198"/>
        <v>0-12 Months</v>
      </c>
      <c r="Y3195" s="1" t="str">
        <f t="shared" si="199"/>
        <v>Low</v>
      </c>
    </row>
    <row r="3196" spans="1:25" x14ac:dyDescent="0.2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 t="shared" si="196"/>
        <v>1</v>
      </c>
      <c r="W3196">
        <f t="shared" si="197"/>
        <v>0</v>
      </c>
      <c r="X3196" t="str">
        <f t="shared" si="198"/>
        <v>25-48 Months</v>
      </c>
      <c r="Y3196" s="1" t="str">
        <f t="shared" si="199"/>
        <v>Medium</v>
      </c>
    </row>
    <row r="3197" spans="1:25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 t="shared" si="196"/>
        <v>0</v>
      </c>
      <c r="W3197">
        <f t="shared" si="197"/>
        <v>1</v>
      </c>
      <c r="X3197" t="str">
        <f t="shared" si="198"/>
        <v>0-12 Months</v>
      </c>
      <c r="Y3197" s="1" t="str">
        <f t="shared" si="199"/>
        <v>High</v>
      </c>
    </row>
    <row r="3198" spans="1:25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 t="shared" si="196"/>
        <v>0</v>
      </c>
      <c r="W3198">
        <f t="shared" si="197"/>
        <v>1</v>
      </c>
      <c r="X3198" t="str">
        <f t="shared" si="198"/>
        <v>0-12 Months</v>
      </c>
      <c r="Y3198" s="1" t="str">
        <f t="shared" si="199"/>
        <v>Low</v>
      </c>
    </row>
    <row r="3199" spans="1:25" x14ac:dyDescent="0.2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 t="shared" si="196"/>
        <v>1</v>
      </c>
      <c r="W3199">
        <f t="shared" si="197"/>
        <v>0</v>
      </c>
      <c r="X3199" t="str">
        <f t="shared" si="198"/>
        <v>13-24 Months</v>
      </c>
      <c r="Y3199" s="1" t="str">
        <f t="shared" si="199"/>
        <v>Medium</v>
      </c>
    </row>
    <row r="3200" spans="1:25" x14ac:dyDescent="0.2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 t="shared" si="196"/>
        <v>0</v>
      </c>
      <c r="W3200">
        <f t="shared" si="197"/>
        <v>1</v>
      </c>
      <c r="X3200" t="str">
        <f t="shared" si="198"/>
        <v>25-48 Months</v>
      </c>
      <c r="Y3200" s="1" t="str">
        <f t="shared" si="199"/>
        <v>High</v>
      </c>
    </row>
    <row r="3201" spans="1:25" x14ac:dyDescent="0.2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 t="shared" si="196"/>
        <v>0</v>
      </c>
      <c r="W3201">
        <f t="shared" si="197"/>
        <v>1</v>
      </c>
      <c r="X3201" t="str">
        <f t="shared" si="198"/>
        <v>49+ Months</v>
      </c>
      <c r="Y3201" s="1" t="str">
        <f t="shared" si="199"/>
        <v>Low</v>
      </c>
    </row>
    <row r="3202" spans="1:25" x14ac:dyDescent="0.2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 t="shared" ref="V3202:V3265" si="200">IF(U3202="Yes",1,0)</f>
        <v>1</v>
      </c>
      <c r="W3202">
        <f t="shared" ref="W3202:W3265" si="201">IF(U3202="No",1,0)</f>
        <v>0</v>
      </c>
      <c r="X3202" t="str">
        <f t="shared" ref="X3202:X3265" si="202">IF(F3202&lt;=12,"0-12 Months",IF(F3202&lt;=24,"13-24 Months",IF(F3202&lt;=48,"25-48 Months","49+ Months")))</f>
        <v>49+ Months</v>
      </c>
      <c r="Y3202" s="1" t="str">
        <f t="shared" ref="Y3202:Y3265" si="203">IF(S3202&lt;50,"Low",IF(S3202&lt;80,"Medium","High"))</f>
        <v>High</v>
      </c>
    </row>
    <row r="3203" spans="1:25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 t="shared" si="200"/>
        <v>0</v>
      </c>
      <c r="W3203">
        <f t="shared" si="201"/>
        <v>1</v>
      </c>
      <c r="X3203" t="str">
        <f t="shared" si="202"/>
        <v>49+ Months</v>
      </c>
      <c r="Y3203" s="1" t="str">
        <f t="shared" si="203"/>
        <v>Medium</v>
      </c>
    </row>
    <row r="3204" spans="1:25" x14ac:dyDescent="0.2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 t="shared" si="200"/>
        <v>0</v>
      </c>
      <c r="W3204">
        <f t="shared" si="201"/>
        <v>1</v>
      </c>
      <c r="X3204" t="str">
        <f t="shared" si="202"/>
        <v>0-12 Months</v>
      </c>
      <c r="Y3204" s="1" t="str">
        <f t="shared" si="203"/>
        <v>Medium</v>
      </c>
    </row>
    <row r="3205" spans="1:25" x14ac:dyDescent="0.2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 t="shared" si="200"/>
        <v>0</v>
      </c>
      <c r="W3205">
        <f t="shared" si="201"/>
        <v>1</v>
      </c>
      <c r="X3205" t="str">
        <f t="shared" si="202"/>
        <v>49+ Months</v>
      </c>
      <c r="Y3205" s="1" t="str">
        <f t="shared" si="203"/>
        <v>High</v>
      </c>
    </row>
    <row r="3206" spans="1:25" x14ac:dyDescent="0.2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 t="shared" si="200"/>
        <v>0</v>
      </c>
      <c r="W3206">
        <f t="shared" si="201"/>
        <v>1</v>
      </c>
      <c r="X3206" t="str">
        <f t="shared" si="202"/>
        <v>25-48 Months</v>
      </c>
      <c r="Y3206" s="1" t="str">
        <f t="shared" si="203"/>
        <v>Low</v>
      </c>
    </row>
    <row r="3207" spans="1:25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 t="shared" si="200"/>
        <v>0</v>
      </c>
      <c r="W3207">
        <f t="shared" si="201"/>
        <v>1</v>
      </c>
      <c r="X3207" t="str">
        <f t="shared" si="202"/>
        <v>49+ Months</v>
      </c>
      <c r="Y3207" s="1" t="str">
        <f t="shared" si="203"/>
        <v>High</v>
      </c>
    </row>
    <row r="3208" spans="1:25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 t="shared" si="200"/>
        <v>0</v>
      </c>
      <c r="W3208">
        <f t="shared" si="201"/>
        <v>1</v>
      </c>
      <c r="X3208" t="str">
        <f t="shared" si="202"/>
        <v>0-12 Months</v>
      </c>
      <c r="Y3208" s="1" t="str">
        <f t="shared" si="203"/>
        <v>Low</v>
      </c>
    </row>
    <row r="3209" spans="1:25" x14ac:dyDescent="0.2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 t="shared" si="200"/>
        <v>0</v>
      </c>
      <c r="W3209">
        <f t="shared" si="201"/>
        <v>1</v>
      </c>
      <c r="X3209" t="str">
        <f t="shared" si="202"/>
        <v>0-12 Months</v>
      </c>
      <c r="Y3209" s="1" t="str">
        <f t="shared" si="203"/>
        <v>Low</v>
      </c>
    </row>
    <row r="3210" spans="1:25" x14ac:dyDescent="0.2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 t="shared" si="200"/>
        <v>0</v>
      </c>
      <c r="W3210">
        <f t="shared" si="201"/>
        <v>1</v>
      </c>
      <c r="X3210" t="str">
        <f t="shared" si="202"/>
        <v>25-48 Months</v>
      </c>
      <c r="Y3210" s="1" t="str">
        <f t="shared" si="203"/>
        <v>Medium</v>
      </c>
    </row>
    <row r="3211" spans="1:25" x14ac:dyDescent="0.2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 t="shared" si="200"/>
        <v>1</v>
      </c>
      <c r="W3211">
        <f t="shared" si="201"/>
        <v>0</v>
      </c>
      <c r="X3211" t="str">
        <f t="shared" si="202"/>
        <v>0-12 Months</v>
      </c>
      <c r="Y3211" s="1" t="str">
        <f t="shared" si="203"/>
        <v>High</v>
      </c>
    </row>
    <row r="3212" spans="1:25" x14ac:dyDescent="0.2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 t="shared" si="200"/>
        <v>0</v>
      </c>
      <c r="W3212">
        <f t="shared" si="201"/>
        <v>1</v>
      </c>
      <c r="X3212" t="str">
        <f t="shared" si="202"/>
        <v>49+ Months</v>
      </c>
      <c r="Y3212" s="1" t="str">
        <f t="shared" si="203"/>
        <v>Medium</v>
      </c>
    </row>
    <row r="3213" spans="1:25" x14ac:dyDescent="0.2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 t="shared" si="200"/>
        <v>0</v>
      </c>
      <c r="W3213">
        <f t="shared" si="201"/>
        <v>1</v>
      </c>
      <c r="X3213" t="str">
        <f t="shared" si="202"/>
        <v>13-24 Months</v>
      </c>
      <c r="Y3213" s="1" t="str">
        <f t="shared" si="203"/>
        <v>Low</v>
      </c>
    </row>
    <row r="3214" spans="1:25" x14ac:dyDescent="0.2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 t="shared" si="200"/>
        <v>0</v>
      </c>
      <c r="W3214">
        <f t="shared" si="201"/>
        <v>1</v>
      </c>
      <c r="X3214" t="str">
        <f t="shared" si="202"/>
        <v>25-48 Months</v>
      </c>
      <c r="Y3214" s="1" t="str">
        <f t="shared" si="203"/>
        <v>High</v>
      </c>
    </row>
    <row r="3215" spans="1:25" x14ac:dyDescent="0.2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 t="shared" si="200"/>
        <v>0</v>
      </c>
      <c r="W3215">
        <f t="shared" si="201"/>
        <v>1</v>
      </c>
      <c r="X3215" t="str">
        <f t="shared" si="202"/>
        <v>25-48 Months</v>
      </c>
      <c r="Y3215" s="1" t="str">
        <f t="shared" si="203"/>
        <v>Low</v>
      </c>
    </row>
    <row r="3216" spans="1:25" x14ac:dyDescent="0.2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 t="shared" si="200"/>
        <v>0</v>
      </c>
      <c r="W3216">
        <f t="shared" si="201"/>
        <v>1</v>
      </c>
      <c r="X3216" t="str">
        <f t="shared" si="202"/>
        <v>49+ Months</v>
      </c>
      <c r="Y3216" s="1" t="str">
        <f t="shared" si="203"/>
        <v>Medium</v>
      </c>
    </row>
    <row r="3217" spans="1:25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 t="shared" si="200"/>
        <v>0</v>
      </c>
      <c r="W3217">
        <f t="shared" si="201"/>
        <v>1</v>
      </c>
      <c r="X3217" t="str">
        <f t="shared" si="202"/>
        <v>25-48 Months</v>
      </c>
      <c r="Y3217" s="1" t="str">
        <f t="shared" si="203"/>
        <v>High</v>
      </c>
    </row>
    <row r="3218" spans="1:25" x14ac:dyDescent="0.2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 t="shared" si="200"/>
        <v>1</v>
      </c>
      <c r="W3218">
        <f t="shared" si="201"/>
        <v>0</v>
      </c>
      <c r="X3218" t="str">
        <f t="shared" si="202"/>
        <v>0-12 Months</v>
      </c>
      <c r="Y3218" s="1" t="str">
        <f t="shared" si="203"/>
        <v>Medium</v>
      </c>
    </row>
    <row r="3219" spans="1:25" x14ac:dyDescent="0.2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 t="shared" si="200"/>
        <v>0</v>
      </c>
      <c r="W3219">
        <f t="shared" si="201"/>
        <v>1</v>
      </c>
      <c r="X3219" t="str">
        <f t="shared" si="202"/>
        <v>0-12 Months</v>
      </c>
      <c r="Y3219" s="1" t="str">
        <f t="shared" si="203"/>
        <v>Low</v>
      </c>
    </row>
    <row r="3220" spans="1:25" x14ac:dyDescent="0.2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 t="shared" si="200"/>
        <v>0</v>
      </c>
      <c r="W3220">
        <f t="shared" si="201"/>
        <v>1</v>
      </c>
      <c r="X3220" t="str">
        <f t="shared" si="202"/>
        <v>49+ Months</v>
      </c>
      <c r="Y3220" s="1" t="str">
        <f t="shared" si="203"/>
        <v>Medium</v>
      </c>
    </row>
    <row r="3221" spans="1:25" x14ac:dyDescent="0.2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 t="shared" si="200"/>
        <v>0</v>
      </c>
      <c r="W3221">
        <f t="shared" si="201"/>
        <v>1</v>
      </c>
      <c r="X3221" t="str">
        <f t="shared" si="202"/>
        <v>13-24 Months</v>
      </c>
      <c r="Y3221" s="1" t="str">
        <f t="shared" si="203"/>
        <v>Low</v>
      </c>
    </row>
    <row r="3222" spans="1:25" x14ac:dyDescent="0.2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 t="shared" si="200"/>
        <v>0</v>
      </c>
      <c r="W3222">
        <f t="shared" si="201"/>
        <v>1</v>
      </c>
      <c r="X3222" t="str">
        <f t="shared" si="202"/>
        <v>49+ Months</v>
      </c>
      <c r="Y3222" s="1" t="str">
        <f t="shared" si="203"/>
        <v>Medium</v>
      </c>
    </row>
    <row r="3223" spans="1:25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 t="shared" si="200"/>
        <v>0</v>
      </c>
      <c r="W3223">
        <f t="shared" si="201"/>
        <v>1</v>
      </c>
      <c r="X3223" t="str">
        <f t="shared" si="202"/>
        <v>0-12 Months</v>
      </c>
      <c r="Y3223" s="1" t="str">
        <f t="shared" si="203"/>
        <v>Low</v>
      </c>
    </row>
    <row r="3224" spans="1:25" x14ac:dyDescent="0.2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 t="shared" si="200"/>
        <v>0</v>
      </c>
      <c r="W3224">
        <f t="shared" si="201"/>
        <v>1</v>
      </c>
      <c r="X3224" t="str">
        <f t="shared" si="202"/>
        <v>0-12 Months</v>
      </c>
      <c r="Y3224" s="1" t="str">
        <f t="shared" si="203"/>
        <v>Low</v>
      </c>
    </row>
    <row r="3225" spans="1:25" x14ac:dyDescent="0.2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 t="shared" si="200"/>
        <v>0</v>
      </c>
      <c r="W3225">
        <f t="shared" si="201"/>
        <v>1</v>
      </c>
      <c r="X3225" t="str">
        <f t="shared" si="202"/>
        <v>0-12 Months</v>
      </c>
      <c r="Y3225" s="1" t="str">
        <f t="shared" si="203"/>
        <v>Low</v>
      </c>
    </row>
    <row r="3226" spans="1:25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 t="shared" si="200"/>
        <v>1</v>
      </c>
      <c r="W3226">
        <f t="shared" si="201"/>
        <v>0</v>
      </c>
      <c r="X3226" t="str">
        <f t="shared" si="202"/>
        <v>0-12 Months</v>
      </c>
      <c r="Y3226" s="1" t="str">
        <f t="shared" si="203"/>
        <v>Medium</v>
      </c>
    </row>
    <row r="3227" spans="1:25" x14ac:dyDescent="0.2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 t="shared" si="200"/>
        <v>0</v>
      </c>
      <c r="W3227">
        <f t="shared" si="201"/>
        <v>1</v>
      </c>
      <c r="X3227" t="str">
        <f t="shared" si="202"/>
        <v>13-24 Months</v>
      </c>
      <c r="Y3227" s="1" t="str">
        <f t="shared" si="203"/>
        <v>Medium</v>
      </c>
    </row>
    <row r="3228" spans="1:25" x14ac:dyDescent="0.2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 t="shared" si="200"/>
        <v>0</v>
      </c>
      <c r="W3228">
        <f t="shared" si="201"/>
        <v>1</v>
      </c>
      <c r="X3228" t="str">
        <f t="shared" si="202"/>
        <v>0-12 Months</v>
      </c>
      <c r="Y3228" s="1" t="str">
        <f t="shared" si="203"/>
        <v>Low</v>
      </c>
    </row>
    <row r="3229" spans="1:25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 t="shared" si="200"/>
        <v>0</v>
      </c>
      <c r="W3229">
        <f t="shared" si="201"/>
        <v>1</v>
      </c>
      <c r="X3229" t="str">
        <f t="shared" si="202"/>
        <v>0-12 Months</v>
      </c>
      <c r="Y3229" s="1" t="str">
        <f t="shared" si="203"/>
        <v>Medium</v>
      </c>
    </row>
    <row r="3230" spans="1:25" x14ac:dyDescent="0.2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 t="shared" si="200"/>
        <v>0</v>
      </c>
      <c r="W3230">
        <f t="shared" si="201"/>
        <v>1</v>
      </c>
      <c r="X3230" t="str">
        <f t="shared" si="202"/>
        <v>49+ Months</v>
      </c>
      <c r="Y3230" s="1" t="str">
        <f t="shared" si="203"/>
        <v>High</v>
      </c>
    </row>
    <row r="3231" spans="1:25" x14ac:dyDescent="0.2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 t="shared" si="200"/>
        <v>1</v>
      </c>
      <c r="W3231">
        <f t="shared" si="201"/>
        <v>0</v>
      </c>
      <c r="X3231" t="str">
        <f t="shared" si="202"/>
        <v>0-12 Months</v>
      </c>
      <c r="Y3231" s="1" t="str">
        <f t="shared" si="203"/>
        <v>High</v>
      </c>
    </row>
    <row r="3232" spans="1:25" x14ac:dyDescent="0.2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 t="shared" si="200"/>
        <v>0</v>
      </c>
      <c r="W3232">
        <f t="shared" si="201"/>
        <v>1</v>
      </c>
      <c r="X3232" t="str">
        <f t="shared" si="202"/>
        <v>49+ Months</v>
      </c>
      <c r="Y3232" s="1" t="str">
        <f t="shared" si="203"/>
        <v>Low</v>
      </c>
    </row>
    <row r="3233" spans="1:25" x14ac:dyDescent="0.2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 t="shared" si="200"/>
        <v>0</v>
      </c>
      <c r="W3233">
        <f t="shared" si="201"/>
        <v>1</v>
      </c>
      <c r="X3233" t="str">
        <f t="shared" si="202"/>
        <v>13-24 Months</v>
      </c>
      <c r="Y3233" s="1" t="str">
        <f t="shared" si="203"/>
        <v>High</v>
      </c>
    </row>
    <row r="3234" spans="1:25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 t="shared" si="200"/>
        <v>0</v>
      </c>
      <c r="W3234">
        <f t="shared" si="201"/>
        <v>1</v>
      </c>
      <c r="X3234" t="str">
        <f t="shared" si="202"/>
        <v>25-48 Months</v>
      </c>
      <c r="Y3234" s="1" t="str">
        <f t="shared" si="203"/>
        <v>Medium</v>
      </c>
    </row>
    <row r="3235" spans="1:25" x14ac:dyDescent="0.2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 t="shared" si="200"/>
        <v>0</v>
      </c>
      <c r="W3235">
        <f t="shared" si="201"/>
        <v>1</v>
      </c>
      <c r="X3235" t="str">
        <f t="shared" si="202"/>
        <v>0-12 Months</v>
      </c>
      <c r="Y3235" s="1" t="str">
        <f t="shared" si="203"/>
        <v>Low</v>
      </c>
    </row>
    <row r="3236" spans="1:25" x14ac:dyDescent="0.2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 t="shared" si="200"/>
        <v>0</v>
      </c>
      <c r="W3236">
        <f t="shared" si="201"/>
        <v>1</v>
      </c>
      <c r="X3236" t="str">
        <f t="shared" si="202"/>
        <v>13-24 Months</v>
      </c>
      <c r="Y3236" s="1" t="str">
        <f t="shared" si="203"/>
        <v>Low</v>
      </c>
    </row>
    <row r="3237" spans="1:25" x14ac:dyDescent="0.2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 t="shared" si="200"/>
        <v>0</v>
      </c>
      <c r="W3237">
        <f t="shared" si="201"/>
        <v>1</v>
      </c>
      <c r="X3237" t="str">
        <f t="shared" si="202"/>
        <v>49+ Months</v>
      </c>
      <c r="Y3237" s="1" t="str">
        <f t="shared" si="203"/>
        <v>Low</v>
      </c>
    </row>
    <row r="3238" spans="1:25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 t="shared" si="200"/>
        <v>0</v>
      </c>
      <c r="W3238">
        <f t="shared" si="201"/>
        <v>1</v>
      </c>
      <c r="X3238" t="str">
        <f t="shared" si="202"/>
        <v>13-24 Months</v>
      </c>
      <c r="Y3238" s="1" t="str">
        <f t="shared" si="203"/>
        <v>Medium</v>
      </c>
    </row>
    <row r="3239" spans="1:25" x14ac:dyDescent="0.2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 t="shared" si="200"/>
        <v>0</v>
      </c>
      <c r="W3239">
        <f t="shared" si="201"/>
        <v>1</v>
      </c>
      <c r="X3239" t="str">
        <f t="shared" si="202"/>
        <v>49+ Months</v>
      </c>
      <c r="Y3239" s="1" t="str">
        <f t="shared" si="203"/>
        <v>Low</v>
      </c>
    </row>
    <row r="3240" spans="1:25" x14ac:dyDescent="0.2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 t="shared" si="200"/>
        <v>0</v>
      </c>
      <c r="W3240">
        <f t="shared" si="201"/>
        <v>1</v>
      </c>
      <c r="X3240" t="str">
        <f t="shared" si="202"/>
        <v>25-48 Months</v>
      </c>
      <c r="Y3240" s="1" t="str">
        <f t="shared" si="203"/>
        <v>Low</v>
      </c>
    </row>
    <row r="3241" spans="1:25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 t="shared" si="200"/>
        <v>0</v>
      </c>
      <c r="W3241">
        <f t="shared" si="201"/>
        <v>1</v>
      </c>
      <c r="X3241" t="str">
        <f t="shared" si="202"/>
        <v>13-24 Months</v>
      </c>
      <c r="Y3241" s="1" t="str">
        <f t="shared" si="203"/>
        <v>Low</v>
      </c>
    </row>
    <row r="3242" spans="1:25" x14ac:dyDescent="0.2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 t="shared" si="200"/>
        <v>1</v>
      </c>
      <c r="W3242">
        <f t="shared" si="201"/>
        <v>0</v>
      </c>
      <c r="X3242" t="str">
        <f t="shared" si="202"/>
        <v>49+ Months</v>
      </c>
      <c r="Y3242" s="1" t="str">
        <f t="shared" si="203"/>
        <v>High</v>
      </c>
    </row>
    <row r="3243" spans="1:25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 t="shared" si="200"/>
        <v>1</v>
      </c>
      <c r="W3243">
        <f t="shared" si="201"/>
        <v>0</v>
      </c>
      <c r="X3243" t="str">
        <f t="shared" si="202"/>
        <v>0-12 Months</v>
      </c>
      <c r="Y3243" s="1" t="str">
        <f t="shared" si="203"/>
        <v>Low</v>
      </c>
    </row>
    <row r="3244" spans="1:25" x14ac:dyDescent="0.2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 t="shared" si="200"/>
        <v>0</v>
      </c>
      <c r="W3244">
        <f t="shared" si="201"/>
        <v>1</v>
      </c>
      <c r="X3244" t="str">
        <f t="shared" si="202"/>
        <v>0-12 Months</v>
      </c>
      <c r="Y3244" s="1" t="str">
        <f t="shared" si="203"/>
        <v>Low</v>
      </c>
    </row>
    <row r="3245" spans="1:25" x14ac:dyDescent="0.2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 t="shared" si="200"/>
        <v>0</v>
      </c>
      <c r="W3245">
        <f t="shared" si="201"/>
        <v>1</v>
      </c>
      <c r="X3245" t="str">
        <f t="shared" si="202"/>
        <v>13-24 Months</v>
      </c>
      <c r="Y3245" s="1" t="str">
        <f t="shared" si="203"/>
        <v>Low</v>
      </c>
    </row>
    <row r="3246" spans="1:25" x14ac:dyDescent="0.2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 t="shared" si="200"/>
        <v>0</v>
      </c>
      <c r="W3246">
        <f t="shared" si="201"/>
        <v>1</v>
      </c>
      <c r="X3246" t="str">
        <f t="shared" si="202"/>
        <v>0-12 Months</v>
      </c>
      <c r="Y3246" s="1" t="str">
        <f t="shared" si="203"/>
        <v>Medium</v>
      </c>
    </row>
    <row r="3247" spans="1:25" x14ac:dyDescent="0.2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 t="shared" si="200"/>
        <v>1</v>
      </c>
      <c r="W3247">
        <f t="shared" si="201"/>
        <v>0</v>
      </c>
      <c r="X3247" t="str">
        <f t="shared" si="202"/>
        <v>13-24 Months</v>
      </c>
      <c r="Y3247" s="1" t="str">
        <f t="shared" si="203"/>
        <v>High</v>
      </c>
    </row>
    <row r="3248" spans="1:25" x14ac:dyDescent="0.2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 t="shared" si="200"/>
        <v>1</v>
      </c>
      <c r="W3248">
        <f t="shared" si="201"/>
        <v>0</v>
      </c>
      <c r="X3248" t="str">
        <f t="shared" si="202"/>
        <v>0-12 Months</v>
      </c>
      <c r="Y3248" s="1" t="str">
        <f t="shared" si="203"/>
        <v>Medium</v>
      </c>
    </row>
    <row r="3249" spans="1:25" x14ac:dyDescent="0.2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 t="shared" si="200"/>
        <v>0</v>
      </c>
      <c r="W3249">
        <f t="shared" si="201"/>
        <v>1</v>
      </c>
      <c r="X3249" t="str">
        <f t="shared" si="202"/>
        <v>49+ Months</v>
      </c>
      <c r="Y3249" s="1" t="str">
        <f t="shared" si="203"/>
        <v>High</v>
      </c>
    </row>
    <row r="3250" spans="1:25" x14ac:dyDescent="0.2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 t="shared" si="200"/>
        <v>1</v>
      </c>
      <c r="W3250">
        <f t="shared" si="201"/>
        <v>0</v>
      </c>
      <c r="X3250" t="str">
        <f t="shared" si="202"/>
        <v>0-12 Months</v>
      </c>
      <c r="Y3250" s="1" t="str">
        <f t="shared" si="203"/>
        <v>High</v>
      </c>
    </row>
    <row r="3251" spans="1:25" x14ac:dyDescent="0.2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 t="shared" si="200"/>
        <v>0</v>
      </c>
      <c r="W3251">
        <f t="shared" si="201"/>
        <v>1</v>
      </c>
      <c r="X3251" t="str">
        <f t="shared" si="202"/>
        <v>0-12 Months</v>
      </c>
      <c r="Y3251" s="1" t="str">
        <f t="shared" si="203"/>
        <v>Medium</v>
      </c>
    </row>
    <row r="3252" spans="1:25" x14ac:dyDescent="0.2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 t="shared" si="200"/>
        <v>0</v>
      </c>
      <c r="W3252">
        <f t="shared" si="201"/>
        <v>1</v>
      </c>
      <c r="X3252" t="str">
        <f t="shared" si="202"/>
        <v>0-12 Months</v>
      </c>
      <c r="Y3252" s="1" t="str">
        <f t="shared" si="203"/>
        <v>Low</v>
      </c>
    </row>
    <row r="3253" spans="1:25" x14ac:dyDescent="0.2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 t="shared" si="200"/>
        <v>1</v>
      </c>
      <c r="W3253">
        <f t="shared" si="201"/>
        <v>0</v>
      </c>
      <c r="X3253" t="str">
        <f t="shared" si="202"/>
        <v>25-48 Months</v>
      </c>
      <c r="Y3253" s="1" t="str">
        <f t="shared" si="203"/>
        <v>High</v>
      </c>
    </row>
    <row r="3254" spans="1:25" x14ac:dyDescent="0.2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 t="shared" si="200"/>
        <v>0</v>
      </c>
      <c r="W3254">
        <f t="shared" si="201"/>
        <v>1</v>
      </c>
      <c r="X3254" t="str">
        <f t="shared" si="202"/>
        <v>13-24 Months</v>
      </c>
      <c r="Y3254" s="1" t="str">
        <f t="shared" si="203"/>
        <v>Medium</v>
      </c>
    </row>
    <row r="3255" spans="1:25" x14ac:dyDescent="0.2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 t="shared" si="200"/>
        <v>0</v>
      </c>
      <c r="W3255">
        <f t="shared" si="201"/>
        <v>1</v>
      </c>
      <c r="X3255" t="str">
        <f t="shared" si="202"/>
        <v>25-48 Months</v>
      </c>
      <c r="Y3255" s="1" t="str">
        <f t="shared" si="203"/>
        <v>High</v>
      </c>
    </row>
    <row r="3256" spans="1:25" x14ac:dyDescent="0.2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 t="shared" si="200"/>
        <v>0</v>
      </c>
      <c r="W3256">
        <f t="shared" si="201"/>
        <v>1</v>
      </c>
      <c r="X3256" t="str">
        <f t="shared" si="202"/>
        <v>13-24 Months</v>
      </c>
      <c r="Y3256" s="1" t="str">
        <f t="shared" si="203"/>
        <v>High</v>
      </c>
    </row>
    <row r="3257" spans="1:25" x14ac:dyDescent="0.2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 t="shared" si="200"/>
        <v>0</v>
      </c>
      <c r="W3257">
        <f t="shared" si="201"/>
        <v>1</v>
      </c>
      <c r="X3257" t="str">
        <f t="shared" si="202"/>
        <v>49+ Months</v>
      </c>
      <c r="Y3257" s="1" t="str">
        <f t="shared" si="203"/>
        <v>High</v>
      </c>
    </row>
    <row r="3258" spans="1:25" x14ac:dyDescent="0.2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 t="shared" si="200"/>
        <v>0</v>
      </c>
      <c r="W3258">
        <f t="shared" si="201"/>
        <v>1</v>
      </c>
      <c r="X3258" t="str">
        <f t="shared" si="202"/>
        <v>49+ Months</v>
      </c>
      <c r="Y3258" s="1" t="str">
        <f t="shared" si="203"/>
        <v>High</v>
      </c>
    </row>
    <row r="3259" spans="1:25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 t="shared" si="200"/>
        <v>0</v>
      </c>
      <c r="W3259">
        <f t="shared" si="201"/>
        <v>1</v>
      </c>
      <c r="X3259" t="str">
        <f t="shared" si="202"/>
        <v>13-24 Months</v>
      </c>
      <c r="Y3259" s="1" t="str">
        <f t="shared" si="203"/>
        <v>High</v>
      </c>
    </row>
    <row r="3260" spans="1:25" x14ac:dyDescent="0.2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 t="shared" si="200"/>
        <v>0</v>
      </c>
      <c r="W3260">
        <f t="shared" si="201"/>
        <v>1</v>
      </c>
      <c r="X3260" t="str">
        <f t="shared" si="202"/>
        <v>0-12 Months</v>
      </c>
      <c r="Y3260" s="1" t="str">
        <f t="shared" si="203"/>
        <v>Low</v>
      </c>
    </row>
    <row r="3261" spans="1:25" x14ac:dyDescent="0.2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 t="shared" si="200"/>
        <v>0</v>
      </c>
      <c r="W3261">
        <f t="shared" si="201"/>
        <v>1</v>
      </c>
      <c r="X3261" t="str">
        <f t="shared" si="202"/>
        <v>0-12 Months</v>
      </c>
      <c r="Y3261" s="1" t="str">
        <f t="shared" si="203"/>
        <v>Medium</v>
      </c>
    </row>
    <row r="3262" spans="1:25" x14ac:dyDescent="0.2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 t="shared" si="200"/>
        <v>1</v>
      </c>
      <c r="W3262">
        <f t="shared" si="201"/>
        <v>0</v>
      </c>
      <c r="X3262" t="str">
        <f t="shared" si="202"/>
        <v>25-48 Months</v>
      </c>
      <c r="Y3262" s="1" t="str">
        <f t="shared" si="203"/>
        <v>Medium</v>
      </c>
    </row>
    <row r="3263" spans="1:25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 t="shared" si="200"/>
        <v>0</v>
      </c>
      <c r="W3263">
        <f t="shared" si="201"/>
        <v>1</v>
      </c>
      <c r="X3263" t="str">
        <f t="shared" si="202"/>
        <v>49+ Months</v>
      </c>
      <c r="Y3263" s="1" t="str">
        <f t="shared" si="203"/>
        <v>High</v>
      </c>
    </row>
    <row r="3264" spans="1:25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 t="shared" si="200"/>
        <v>1</v>
      </c>
      <c r="W3264">
        <f t="shared" si="201"/>
        <v>0</v>
      </c>
      <c r="X3264" t="str">
        <f t="shared" si="202"/>
        <v>25-48 Months</v>
      </c>
      <c r="Y3264" s="1" t="str">
        <f t="shared" si="203"/>
        <v>High</v>
      </c>
    </row>
    <row r="3265" spans="1:25" x14ac:dyDescent="0.2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 t="shared" si="200"/>
        <v>0</v>
      </c>
      <c r="W3265">
        <f t="shared" si="201"/>
        <v>1</v>
      </c>
      <c r="X3265" t="str">
        <f t="shared" si="202"/>
        <v>49+ Months</v>
      </c>
      <c r="Y3265" s="1" t="str">
        <f t="shared" si="203"/>
        <v>High</v>
      </c>
    </row>
    <row r="3266" spans="1:25" x14ac:dyDescent="0.2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 t="shared" ref="V3266:V3329" si="204">IF(U3266="Yes",1,0)</f>
        <v>0</v>
      </c>
      <c r="W3266">
        <f t="shared" ref="W3266:W3329" si="205">IF(U3266="No",1,0)</f>
        <v>1</v>
      </c>
      <c r="X3266" t="str">
        <f t="shared" ref="X3266:X3329" si="206">IF(F3266&lt;=12,"0-12 Months",IF(F3266&lt;=24,"13-24 Months",IF(F3266&lt;=48,"25-48 Months","49+ Months")))</f>
        <v>0-12 Months</v>
      </c>
      <c r="Y3266" s="1" t="str">
        <f t="shared" ref="Y3266:Y3329" si="207">IF(S3266&lt;50,"Low",IF(S3266&lt;80,"Medium","High"))</f>
        <v>High</v>
      </c>
    </row>
    <row r="3267" spans="1:25" x14ac:dyDescent="0.2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 t="shared" si="204"/>
        <v>1</v>
      </c>
      <c r="W3267">
        <f t="shared" si="205"/>
        <v>0</v>
      </c>
      <c r="X3267" t="str">
        <f t="shared" si="206"/>
        <v>25-48 Months</v>
      </c>
      <c r="Y3267" s="1" t="str">
        <f t="shared" si="207"/>
        <v>Medium</v>
      </c>
    </row>
    <row r="3268" spans="1:25" x14ac:dyDescent="0.2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 t="shared" si="204"/>
        <v>0</v>
      </c>
      <c r="W3268">
        <f t="shared" si="205"/>
        <v>1</v>
      </c>
      <c r="X3268" t="str">
        <f t="shared" si="206"/>
        <v>49+ Months</v>
      </c>
      <c r="Y3268" s="1" t="str">
        <f t="shared" si="207"/>
        <v>Low</v>
      </c>
    </row>
    <row r="3269" spans="1:25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 t="shared" si="204"/>
        <v>0</v>
      </c>
      <c r="W3269">
        <f t="shared" si="205"/>
        <v>1</v>
      </c>
      <c r="X3269" t="str">
        <f t="shared" si="206"/>
        <v>25-48 Months</v>
      </c>
      <c r="Y3269" s="1" t="str">
        <f t="shared" si="207"/>
        <v>Low</v>
      </c>
    </row>
    <row r="3270" spans="1:25" x14ac:dyDescent="0.2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 t="shared" si="204"/>
        <v>0</v>
      </c>
      <c r="W3270">
        <f t="shared" si="205"/>
        <v>1</v>
      </c>
      <c r="X3270" t="str">
        <f t="shared" si="206"/>
        <v>13-24 Months</v>
      </c>
      <c r="Y3270" s="1" t="str">
        <f t="shared" si="207"/>
        <v>Medium</v>
      </c>
    </row>
    <row r="3271" spans="1:25" x14ac:dyDescent="0.2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 t="shared" si="204"/>
        <v>0</v>
      </c>
      <c r="W3271">
        <f t="shared" si="205"/>
        <v>1</v>
      </c>
      <c r="X3271" t="str">
        <f t="shared" si="206"/>
        <v>49+ Months</v>
      </c>
      <c r="Y3271" s="1" t="str">
        <f t="shared" si="207"/>
        <v>Low</v>
      </c>
    </row>
    <row r="3272" spans="1:25" x14ac:dyDescent="0.2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 t="shared" si="204"/>
        <v>0</v>
      </c>
      <c r="W3272">
        <f t="shared" si="205"/>
        <v>1</v>
      </c>
      <c r="X3272" t="str">
        <f t="shared" si="206"/>
        <v>0-12 Months</v>
      </c>
      <c r="Y3272" s="1" t="str">
        <f t="shared" si="207"/>
        <v>High</v>
      </c>
    </row>
    <row r="3273" spans="1:25" x14ac:dyDescent="0.2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 t="shared" si="204"/>
        <v>1</v>
      </c>
      <c r="W3273">
        <f t="shared" si="205"/>
        <v>0</v>
      </c>
      <c r="X3273" t="str">
        <f t="shared" si="206"/>
        <v>0-12 Months</v>
      </c>
      <c r="Y3273" s="1" t="str">
        <f t="shared" si="207"/>
        <v>High</v>
      </c>
    </row>
    <row r="3274" spans="1:25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 t="shared" si="204"/>
        <v>1</v>
      </c>
      <c r="W3274">
        <f t="shared" si="205"/>
        <v>0</v>
      </c>
      <c r="X3274" t="str">
        <f t="shared" si="206"/>
        <v>0-12 Months</v>
      </c>
      <c r="Y3274" s="1" t="str">
        <f t="shared" si="207"/>
        <v>High</v>
      </c>
    </row>
    <row r="3275" spans="1:25" x14ac:dyDescent="0.2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 t="shared" si="204"/>
        <v>1</v>
      </c>
      <c r="W3275">
        <f t="shared" si="205"/>
        <v>0</v>
      </c>
      <c r="X3275" t="str">
        <f t="shared" si="206"/>
        <v>25-48 Months</v>
      </c>
      <c r="Y3275" s="1" t="str">
        <f t="shared" si="207"/>
        <v>Medium</v>
      </c>
    </row>
    <row r="3276" spans="1:25" x14ac:dyDescent="0.2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 t="shared" si="204"/>
        <v>0</v>
      </c>
      <c r="W3276">
        <f t="shared" si="205"/>
        <v>1</v>
      </c>
      <c r="X3276" t="str">
        <f t="shared" si="206"/>
        <v>25-48 Months</v>
      </c>
      <c r="Y3276" s="1" t="str">
        <f t="shared" si="207"/>
        <v>High</v>
      </c>
    </row>
    <row r="3277" spans="1:25" x14ac:dyDescent="0.2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 t="shared" si="204"/>
        <v>0</v>
      </c>
      <c r="W3277">
        <f t="shared" si="205"/>
        <v>1</v>
      </c>
      <c r="X3277" t="str">
        <f t="shared" si="206"/>
        <v>13-24 Months</v>
      </c>
      <c r="Y3277" s="1" t="str">
        <f t="shared" si="207"/>
        <v>Low</v>
      </c>
    </row>
    <row r="3278" spans="1:25" x14ac:dyDescent="0.2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 t="shared" si="204"/>
        <v>1</v>
      </c>
      <c r="W3278">
        <f t="shared" si="205"/>
        <v>0</v>
      </c>
      <c r="X3278" t="str">
        <f t="shared" si="206"/>
        <v>0-12 Months</v>
      </c>
      <c r="Y3278" s="1" t="str">
        <f t="shared" si="207"/>
        <v>Medium</v>
      </c>
    </row>
    <row r="3279" spans="1:25" x14ac:dyDescent="0.2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 t="shared" si="204"/>
        <v>0</v>
      </c>
      <c r="W3279">
        <f t="shared" si="205"/>
        <v>1</v>
      </c>
      <c r="X3279" t="str">
        <f t="shared" si="206"/>
        <v>13-24 Months</v>
      </c>
      <c r="Y3279" s="1" t="str">
        <f t="shared" si="207"/>
        <v>Low</v>
      </c>
    </row>
    <row r="3280" spans="1:25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 t="shared" si="204"/>
        <v>0</v>
      </c>
      <c r="W3280">
        <f t="shared" si="205"/>
        <v>1</v>
      </c>
      <c r="X3280" t="str">
        <f t="shared" si="206"/>
        <v>49+ Months</v>
      </c>
      <c r="Y3280" s="1" t="str">
        <f t="shared" si="207"/>
        <v>Medium</v>
      </c>
    </row>
    <row r="3281" spans="1:25" x14ac:dyDescent="0.2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 t="shared" si="204"/>
        <v>0</v>
      </c>
      <c r="W3281">
        <f t="shared" si="205"/>
        <v>1</v>
      </c>
      <c r="X3281" t="str">
        <f t="shared" si="206"/>
        <v>13-24 Months</v>
      </c>
      <c r="Y3281" s="1" t="str">
        <f t="shared" si="207"/>
        <v>Medium</v>
      </c>
    </row>
    <row r="3282" spans="1:25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 t="shared" si="204"/>
        <v>0</v>
      </c>
      <c r="W3282">
        <f t="shared" si="205"/>
        <v>1</v>
      </c>
      <c r="X3282" t="str">
        <f t="shared" si="206"/>
        <v>49+ Months</v>
      </c>
      <c r="Y3282" s="1" t="str">
        <f t="shared" si="207"/>
        <v>Medium</v>
      </c>
    </row>
    <row r="3283" spans="1:25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 t="shared" si="204"/>
        <v>0</v>
      </c>
      <c r="W3283">
        <f t="shared" si="205"/>
        <v>1</v>
      </c>
      <c r="X3283" t="str">
        <f t="shared" si="206"/>
        <v>49+ Months</v>
      </c>
      <c r="Y3283" s="1" t="str">
        <f t="shared" si="207"/>
        <v>High</v>
      </c>
    </row>
    <row r="3284" spans="1:25" x14ac:dyDescent="0.2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 t="shared" si="204"/>
        <v>0</v>
      </c>
      <c r="W3284">
        <f t="shared" si="205"/>
        <v>1</v>
      </c>
      <c r="X3284" t="str">
        <f t="shared" si="206"/>
        <v>49+ Months</v>
      </c>
      <c r="Y3284" s="1" t="str">
        <f t="shared" si="207"/>
        <v>High</v>
      </c>
    </row>
    <row r="3285" spans="1:25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 t="shared" si="204"/>
        <v>0</v>
      </c>
      <c r="W3285">
        <f t="shared" si="205"/>
        <v>1</v>
      </c>
      <c r="X3285" t="str">
        <f t="shared" si="206"/>
        <v>49+ Months</v>
      </c>
      <c r="Y3285" s="1" t="str">
        <f t="shared" si="207"/>
        <v>Low</v>
      </c>
    </row>
    <row r="3286" spans="1:25" x14ac:dyDescent="0.2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 t="shared" si="204"/>
        <v>0</v>
      </c>
      <c r="W3286">
        <f t="shared" si="205"/>
        <v>1</v>
      </c>
      <c r="X3286" t="str">
        <f t="shared" si="206"/>
        <v>25-48 Months</v>
      </c>
      <c r="Y3286" s="1" t="str">
        <f t="shared" si="207"/>
        <v>High</v>
      </c>
    </row>
    <row r="3287" spans="1:25" x14ac:dyDescent="0.2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 t="shared" si="204"/>
        <v>0</v>
      </c>
      <c r="W3287">
        <f t="shared" si="205"/>
        <v>1</v>
      </c>
      <c r="X3287" t="str">
        <f t="shared" si="206"/>
        <v>49+ Months</v>
      </c>
      <c r="Y3287" s="1" t="str">
        <f t="shared" si="207"/>
        <v>Medium</v>
      </c>
    </row>
    <row r="3288" spans="1:25" x14ac:dyDescent="0.2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 t="shared" si="204"/>
        <v>1</v>
      </c>
      <c r="W3288">
        <f t="shared" si="205"/>
        <v>0</v>
      </c>
      <c r="X3288" t="str">
        <f t="shared" si="206"/>
        <v>25-48 Months</v>
      </c>
      <c r="Y3288" s="1" t="str">
        <f t="shared" si="207"/>
        <v>High</v>
      </c>
    </row>
    <row r="3289" spans="1:25" x14ac:dyDescent="0.2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 t="shared" si="204"/>
        <v>1</v>
      </c>
      <c r="W3289">
        <f t="shared" si="205"/>
        <v>0</v>
      </c>
      <c r="X3289" t="str">
        <f t="shared" si="206"/>
        <v>13-24 Months</v>
      </c>
      <c r="Y3289" s="1" t="str">
        <f t="shared" si="207"/>
        <v>High</v>
      </c>
    </row>
    <row r="3290" spans="1:25" x14ac:dyDescent="0.2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 t="shared" si="204"/>
        <v>0</v>
      </c>
      <c r="W3290">
        <f t="shared" si="205"/>
        <v>1</v>
      </c>
      <c r="X3290" t="str">
        <f t="shared" si="206"/>
        <v>13-24 Months</v>
      </c>
      <c r="Y3290" s="1" t="str">
        <f t="shared" si="207"/>
        <v>Low</v>
      </c>
    </row>
    <row r="3291" spans="1:25" x14ac:dyDescent="0.2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 t="shared" si="204"/>
        <v>0</v>
      </c>
      <c r="W3291">
        <f t="shared" si="205"/>
        <v>1</v>
      </c>
      <c r="X3291" t="str">
        <f t="shared" si="206"/>
        <v>25-48 Months</v>
      </c>
      <c r="Y3291" s="1" t="str">
        <f t="shared" si="207"/>
        <v>High</v>
      </c>
    </row>
    <row r="3292" spans="1:25" x14ac:dyDescent="0.2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 t="shared" si="204"/>
        <v>0</v>
      </c>
      <c r="W3292">
        <f t="shared" si="205"/>
        <v>1</v>
      </c>
      <c r="X3292" t="str">
        <f t="shared" si="206"/>
        <v>0-12 Months</v>
      </c>
      <c r="Y3292" s="1" t="str">
        <f t="shared" si="207"/>
        <v>Low</v>
      </c>
    </row>
    <row r="3293" spans="1:25" x14ac:dyDescent="0.2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 t="shared" si="204"/>
        <v>0</v>
      </c>
      <c r="W3293">
        <f t="shared" si="205"/>
        <v>1</v>
      </c>
      <c r="X3293" t="str">
        <f t="shared" si="206"/>
        <v>13-24 Months</v>
      </c>
      <c r="Y3293" s="1" t="str">
        <f t="shared" si="207"/>
        <v>Medium</v>
      </c>
    </row>
    <row r="3294" spans="1:25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 t="shared" si="204"/>
        <v>0</v>
      </c>
      <c r="W3294">
        <f t="shared" si="205"/>
        <v>1</v>
      </c>
      <c r="X3294" t="str">
        <f t="shared" si="206"/>
        <v>0-12 Months</v>
      </c>
      <c r="Y3294" s="1" t="str">
        <f t="shared" si="207"/>
        <v>Medium</v>
      </c>
    </row>
    <row r="3295" spans="1:25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 t="shared" si="204"/>
        <v>0</v>
      </c>
      <c r="W3295">
        <f t="shared" si="205"/>
        <v>1</v>
      </c>
      <c r="X3295" t="str">
        <f t="shared" si="206"/>
        <v>0-12 Months</v>
      </c>
      <c r="Y3295" s="1" t="str">
        <f t="shared" si="207"/>
        <v>Medium</v>
      </c>
    </row>
    <row r="3296" spans="1:25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 t="shared" si="204"/>
        <v>1</v>
      </c>
      <c r="W3296">
        <f t="shared" si="205"/>
        <v>0</v>
      </c>
      <c r="X3296" t="str">
        <f t="shared" si="206"/>
        <v>0-12 Months</v>
      </c>
      <c r="Y3296" s="1" t="str">
        <f t="shared" si="207"/>
        <v>Medium</v>
      </c>
    </row>
    <row r="3297" spans="1:25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 t="shared" si="204"/>
        <v>0</v>
      </c>
      <c r="W3297">
        <f t="shared" si="205"/>
        <v>1</v>
      </c>
      <c r="X3297" t="str">
        <f t="shared" si="206"/>
        <v>49+ Months</v>
      </c>
      <c r="Y3297" s="1" t="str">
        <f t="shared" si="207"/>
        <v>High</v>
      </c>
    </row>
    <row r="3298" spans="1:25" x14ac:dyDescent="0.2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 t="shared" si="204"/>
        <v>0</v>
      </c>
      <c r="W3298">
        <f t="shared" si="205"/>
        <v>1</v>
      </c>
      <c r="X3298" t="str">
        <f t="shared" si="206"/>
        <v>13-24 Months</v>
      </c>
      <c r="Y3298" s="1" t="str">
        <f t="shared" si="207"/>
        <v>Low</v>
      </c>
    </row>
    <row r="3299" spans="1:25" x14ac:dyDescent="0.2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 t="shared" si="204"/>
        <v>0</v>
      </c>
      <c r="W3299">
        <f t="shared" si="205"/>
        <v>1</v>
      </c>
      <c r="X3299" t="str">
        <f t="shared" si="206"/>
        <v>25-48 Months</v>
      </c>
      <c r="Y3299" s="1" t="str">
        <f t="shared" si="207"/>
        <v>High</v>
      </c>
    </row>
    <row r="3300" spans="1:25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 t="shared" si="204"/>
        <v>0</v>
      </c>
      <c r="W3300">
        <f t="shared" si="205"/>
        <v>1</v>
      </c>
      <c r="X3300" t="str">
        <f t="shared" si="206"/>
        <v>0-12 Months</v>
      </c>
      <c r="Y3300" s="1" t="str">
        <f t="shared" si="207"/>
        <v>Low</v>
      </c>
    </row>
    <row r="3301" spans="1:25" x14ac:dyDescent="0.2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 t="shared" si="204"/>
        <v>0</v>
      </c>
      <c r="W3301">
        <f t="shared" si="205"/>
        <v>1</v>
      </c>
      <c r="X3301" t="str">
        <f t="shared" si="206"/>
        <v>49+ Months</v>
      </c>
      <c r="Y3301" s="1" t="str">
        <f t="shared" si="207"/>
        <v>High</v>
      </c>
    </row>
    <row r="3302" spans="1:25" x14ac:dyDescent="0.2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 t="shared" si="204"/>
        <v>0</v>
      </c>
      <c r="W3302">
        <f t="shared" si="205"/>
        <v>1</v>
      </c>
      <c r="X3302" t="str">
        <f t="shared" si="206"/>
        <v>25-48 Months</v>
      </c>
      <c r="Y3302" s="1" t="str">
        <f t="shared" si="207"/>
        <v>Low</v>
      </c>
    </row>
    <row r="3303" spans="1:25" x14ac:dyDescent="0.2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 t="shared" si="204"/>
        <v>1</v>
      </c>
      <c r="W3303">
        <f t="shared" si="205"/>
        <v>0</v>
      </c>
      <c r="X3303" t="str">
        <f t="shared" si="206"/>
        <v>0-12 Months</v>
      </c>
      <c r="Y3303" s="1" t="str">
        <f t="shared" si="207"/>
        <v>Medium</v>
      </c>
    </row>
    <row r="3304" spans="1:25" x14ac:dyDescent="0.2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 t="shared" si="204"/>
        <v>1</v>
      </c>
      <c r="W3304">
        <f t="shared" si="205"/>
        <v>0</v>
      </c>
      <c r="X3304" t="str">
        <f t="shared" si="206"/>
        <v>25-48 Months</v>
      </c>
      <c r="Y3304" s="1" t="str">
        <f t="shared" si="207"/>
        <v>High</v>
      </c>
    </row>
    <row r="3305" spans="1:25" x14ac:dyDescent="0.2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 t="shared" si="204"/>
        <v>1</v>
      </c>
      <c r="W3305">
        <f t="shared" si="205"/>
        <v>0</v>
      </c>
      <c r="X3305" t="str">
        <f t="shared" si="206"/>
        <v>0-12 Months</v>
      </c>
      <c r="Y3305" s="1" t="str">
        <f t="shared" si="207"/>
        <v>Medium</v>
      </c>
    </row>
    <row r="3306" spans="1:25" x14ac:dyDescent="0.2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 t="shared" si="204"/>
        <v>0</v>
      </c>
      <c r="W3306">
        <f t="shared" si="205"/>
        <v>1</v>
      </c>
      <c r="X3306" t="str">
        <f t="shared" si="206"/>
        <v>49+ Months</v>
      </c>
      <c r="Y3306" s="1" t="str">
        <f t="shared" si="207"/>
        <v>High</v>
      </c>
    </row>
    <row r="3307" spans="1:25" x14ac:dyDescent="0.2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 t="shared" si="204"/>
        <v>0</v>
      </c>
      <c r="W3307">
        <f t="shared" si="205"/>
        <v>1</v>
      </c>
      <c r="X3307" t="str">
        <f t="shared" si="206"/>
        <v>25-48 Months</v>
      </c>
      <c r="Y3307" s="1" t="str">
        <f t="shared" si="207"/>
        <v>High</v>
      </c>
    </row>
    <row r="3308" spans="1:25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 t="shared" si="204"/>
        <v>0</v>
      </c>
      <c r="W3308">
        <f t="shared" si="205"/>
        <v>1</v>
      </c>
      <c r="X3308" t="str">
        <f t="shared" si="206"/>
        <v>0-12 Months</v>
      </c>
      <c r="Y3308" s="1" t="str">
        <f t="shared" si="207"/>
        <v>High</v>
      </c>
    </row>
    <row r="3309" spans="1:25" x14ac:dyDescent="0.2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 t="shared" si="204"/>
        <v>0</v>
      </c>
      <c r="W3309">
        <f t="shared" si="205"/>
        <v>1</v>
      </c>
      <c r="X3309" t="str">
        <f t="shared" si="206"/>
        <v>25-48 Months</v>
      </c>
      <c r="Y3309" s="1" t="str">
        <f t="shared" si="207"/>
        <v>Medium</v>
      </c>
    </row>
    <row r="3310" spans="1:25" x14ac:dyDescent="0.2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 t="shared" si="204"/>
        <v>0</v>
      </c>
      <c r="W3310">
        <f t="shared" si="205"/>
        <v>1</v>
      </c>
      <c r="X3310" t="str">
        <f t="shared" si="206"/>
        <v>13-24 Months</v>
      </c>
      <c r="Y3310" s="1" t="str">
        <f t="shared" si="207"/>
        <v>Low</v>
      </c>
    </row>
    <row r="3311" spans="1:25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 t="shared" si="204"/>
        <v>0</v>
      </c>
      <c r="W3311">
        <f t="shared" si="205"/>
        <v>1</v>
      </c>
      <c r="X3311" t="str">
        <f t="shared" si="206"/>
        <v>25-48 Months</v>
      </c>
      <c r="Y3311" s="1" t="str">
        <f t="shared" si="207"/>
        <v>Low</v>
      </c>
    </row>
    <row r="3312" spans="1:25" x14ac:dyDescent="0.2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 t="shared" si="204"/>
        <v>1</v>
      </c>
      <c r="W3312">
        <f t="shared" si="205"/>
        <v>0</v>
      </c>
      <c r="X3312" t="str">
        <f t="shared" si="206"/>
        <v>0-12 Months</v>
      </c>
      <c r="Y3312" s="1" t="str">
        <f t="shared" si="207"/>
        <v>Medium</v>
      </c>
    </row>
    <row r="3313" spans="1:25" x14ac:dyDescent="0.2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 t="shared" si="204"/>
        <v>0</v>
      </c>
      <c r="W3313">
        <f t="shared" si="205"/>
        <v>1</v>
      </c>
      <c r="X3313" t="str">
        <f t="shared" si="206"/>
        <v>25-48 Months</v>
      </c>
      <c r="Y3313" s="1" t="str">
        <f t="shared" si="207"/>
        <v>Low</v>
      </c>
    </row>
    <row r="3314" spans="1:25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 t="shared" si="204"/>
        <v>0</v>
      </c>
      <c r="W3314">
        <f t="shared" si="205"/>
        <v>1</v>
      </c>
      <c r="X3314" t="str">
        <f t="shared" si="206"/>
        <v>0-12 Months</v>
      </c>
      <c r="Y3314" s="1" t="str">
        <f t="shared" si="207"/>
        <v>Low</v>
      </c>
    </row>
    <row r="3315" spans="1:25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 t="shared" si="204"/>
        <v>0</v>
      </c>
      <c r="W3315">
        <f t="shared" si="205"/>
        <v>1</v>
      </c>
      <c r="X3315" t="str">
        <f t="shared" si="206"/>
        <v>0-12 Months</v>
      </c>
      <c r="Y3315" s="1" t="str">
        <f t="shared" si="207"/>
        <v>Low</v>
      </c>
    </row>
    <row r="3316" spans="1:25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 t="shared" si="204"/>
        <v>0</v>
      </c>
      <c r="W3316">
        <f t="shared" si="205"/>
        <v>1</v>
      </c>
      <c r="X3316" t="str">
        <f t="shared" si="206"/>
        <v>25-48 Months</v>
      </c>
      <c r="Y3316" s="1" t="str">
        <f t="shared" si="207"/>
        <v>High</v>
      </c>
    </row>
    <row r="3317" spans="1:25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 t="shared" si="204"/>
        <v>0</v>
      </c>
      <c r="W3317">
        <f t="shared" si="205"/>
        <v>1</v>
      </c>
      <c r="X3317" t="str">
        <f t="shared" si="206"/>
        <v>49+ Months</v>
      </c>
      <c r="Y3317" s="1" t="str">
        <f t="shared" si="207"/>
        <v>High</v>
      </c>
    </row>
    <row r="3318" spans="1:25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 t="shared" si="204"/>
        <v>0</v>
      </c>
      <c r="W3318">
        <f t="shared" si="205"/>
        <v>1</v>
      </c>
      <c r="X3318" t="str">
        <f t="shared" si="206"/>
        <v>25-48 Months</v>
      </c>
      <c r="Y3318" s="1" t="str">
        <f t="shared" si="207"/>
        <v>Low</v>
      </c>
    </row>
    <row r="3319" spans="1:25" x14ac:dyDescent="0.2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 t="shared" si="204"/>
        <v>0</v>
      </c>
      <c r="W3319">
        <f t="shared" si="205"/>
        <v>1</v>
      </c>
      <c r="X3319" t="str">
        <f t="shared" si="206"/>
        <v>49+ Months</v>
      </c>
      <c r="Y3319" s="1" t="str">
        <f t="shared" si="207"/>
        <v>Medium</v>
      </c>
    </row>
    <row r="3320" spans="1:25" x14ac:dyDescent="0.2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 t="shared" si="204"/>
        <v>1</v>
      </c>
      <c r="W3320">
        <f t="shared" si="205"/>
        <v>0</v>
      </c>
      <c r="X3320" t="str">
        <f t="shared" si="206"/>
        <v>0-12 Months</v>
      </c>
      <c r="Y3320" s="1" t="str">
        <f t="shared" si="207"/>
        <v>Low</v>
      </c>
    </row>
    <row r="3321" spans="1:25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 t="shared" si="204"/>
        <v>1</v>
      </c>
      <c r="W3321">
        <f t="shared" si="205"/>
        <v>0</v>
      </c>
      <c r="X3321" t="str">
        <f t="shared" si="206"/>
        <v>0-12 Months</v>
      </c>
      <c r="Y3321" s="1" t="str">
        <f t="shared" si="207"/>
        <v>Medium</v>
      </c>
    </row>
    <row r="3322" spans="1:25" x14ac:dyDescent="0.2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 t="shared" si="204"/>
        <v>0</v>
      </c>
      <c r="W3322">
        <f t="shared" si="205"/>
        <v>1</v>
      </c>
      <c r="X3322" t="str">
        <f t="shared" si="206"/>
        <v>13-24 Months</v>
      </c>
      <c r="Y3322" s="1" t="str">
        <f t="shared" si="207"/>
        <v>Medium</v>
      </c>
    </row>
    <row r="3323" spans="1:25" x14ac:dyDescent="0.2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 t="shared" si="204"/>
        <v>0</v>
      </c>
      <c r="W3323">
        <f t="shared" si="205"/>
        <v>1</v>
      </c>
      <c r="X3323" t="str">
        <f t="shared" si="206"/>
        <v>49+ Months</v>
      </c>
      <c r="Y3323" s="1" t="str">
        <f t="shared" si="207"/>
        <v>Low</v>
      </c>
    </row>
    <row r="3324" spans="1:25" x14ac:dyDescent="0.2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 t="shared" si="204"/>
        <v>1</v>
      </c>
      <c r="W3324">
        <f t="shared" si="205"/>
        <v>0</v>
      </c>
      <c r="X3324" t="str">
        <f t="shared" si="206"/>
        <v>0-12 Months</v>
      </c>
      <c r="Y3324" s="1" t="str">
        <f t="shared" si="207"/>
        <v>High</v>
      </c>
    </row>
    <row r="3325" spans="1:25" x14ac:dyDescent="0.2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 t="shared" si="204"/>
        <v>0</v>
      </c>
      <c r="W3325">
        <f t="shared" si="205"/>
        <v>1</v>
      </c>
      <c r="X3325" t="str">
        <f t="shared" si="206"/>
        <v>25-48 Months</v>
      </c>
      <c r="Y3325" s="1" t="str">
        <f t="shared" si="207"/>
        <v>Low</v>
      </c>
    </row>
    <row r="3326" spans="1:25" x14ac:dyDescent="0.2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 t="shared" si="204"/>
        <v>0</v>
      </c>
      <c r="W3326">
        <f t="shared" si="205"/>
        <v>1</v>
      </c>
      <c r="X3326" t="str">
        <f t="shared" si="206"/>
        <v>0-12 Months</v>
      </c>
      <c r="Y3326" s="1" t="str">
        <f t="shared" si="207"/>
        <v>Medium</v>
      </c>
    </row>
    <row r="3327" spans="1:25" x14ac:dyDescent="0.2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 t="shared" si="204"/>
        <v>1</v>
      </c>
      <c r="W3327">
        <f t="shared" si="205"/>
        <v>0</v>
      </c>
      <c r="X3327" t="str">
        <f t="shared" si="206"/>
        <v>0-12 Months</v>
      </c>
      <c r="Y3327" s="1" t="str">
        <f t="shared" si="207"/>
        <v>High</v>
      </c>
    </row>
    <row r="3328" spans="1:25" x14ac:dyDescent="0.2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 t="shared" si="204"/>
        <v>1</v>
      </c>
      <c r="W3328">
        <f t="shared" si="205"/>
        <v>0</v>
      </c>
      <c r="X3328" t="str">
        <f t="shared" si="206"/>
        <v>25-48 Months</v>
      </c>
      <c r="Y3328" s="1" t="str">
        <f t="shared" si="207"/>
        <v>Medium</v>
      </c>
    </row>
    <row r="3329" spans="1:25" x14ac:dyDescent="0.2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 t="shared" si="204"/>
        <v>0</v>
      </c>
      <c r="W3329">
        <f t="shared" si="205"/>
        <v>1</v>
      </c>
      <c r="X3329" t="str">
        <f t="shared" si="206"/>
        <v>49+ Months</v>
      </c>
      <c r="Y3329" s="1" t="str">
        <f t="shared" si="207"/>
        <v>High</v>
      </c>
    </row>
    <row r="3330" spans="1:25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 t="shared" ref="V3330:V3393" si="208">IF(U3330="Yes",1,0)</f>
        <v>0</v>
      </c>
      <c r="W3330">
        <f t="shared" ref="W3330:W3393" si="209">IF(U3330="No",1,0)</f>
        <v>1</v>
      </c>
      <c r="X3330" t="str">
        <f t="shared" ref="X3330:X3393" si="210">IF(F3330&lt;=12,"0-12 Months",IF(F3330&lt;=24,"13-24 Months",IF(F3330&lt;=48,"25-48 Months","49+ Months")))</f>
        <v>0-12 Months</v>
      </c>
      <c r="Y3330" s="1" t="str">
        <f t="shared" ref="Y3330:Y3393" si="211">IF(S3330&lt;50,"Low",IF(S3330&lt;80,"Medium","High"))</f>
        <v>Medium</v>
      </c>
    </row>
    <row r="3331" spans="1:25" x14ac:dyDescent="0.2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 t="shared" si="208"/>
        <v>0</v>
      </c>
      <c r="W3331">
        <f t="shared" si="209"/>
        <v>1</v>
      </c>
      <c r="X3331" t="str">
        <f t="shared" si="210"/>
        <v>13-24 Months</v>
      </c>
      <c r="Y3331" s="1" t="str">
        <f t="shared" si="211"/>
        <v>Medium</v>
      </c>
    </row>
    <row r="3332" spans="1:25" x14ac:dyDescent="0.2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 t="shared" si="208"/>
        <v>1</v>
      </c>
      <c r="W3332">
        <f t="shared" si="209"/>
        <v>0</v>
      </c>
      <c r="X3332" t="str">
        <f t="shared" si="210"/>
        <v>49+ Months</v>
      </c>
      <c r="Y3332" s="1" t="str">
        <f t="shared" si="211"/>
        <v>High</v>
      </c>
    </row>
    <row r="3333" spans="1:25" x14ac:dyDescent="0.2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>
        <f t="shared" si="208"/>
        <v>0</v>
      </c>
      <c r="W3333">
        <f t="shared" si="209"/>
        <v>1</v>
      </c>
      <c r="X3333" t="str">
        <f t="shared" si="210"/>
        <v>0-12 Months</v>
      </c>
      <c r="Y3333" s="1" t="str">
        <f t="shared" si="211"/>
        <v>Low</v>
      </c>
    </row>
    <row r="3334" spans="1:25" x14ac:dyDescent="0.2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 t="shared" si="208"/>
        <v>1</v>
      </c>
      <c r="W3334">
        <f t="shared" si="209"/>
        <v>0</v>
      </c>
      <c r="X3334" t="str">
        <f t="shared" si="210"/>
        <v>0-12 Months</v>
      </c>
      <c r="Y3334" s="1" t="str">
        <f t="shared" si="211"/>
        <v>Low</v>
      </c>
    </row>
    <row r="3335" spans="1:25" x14ac:dyDescent="0.2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 t="shared" si="208"/>
        <v>0</v>
      </c>
      <c r="W3335">
        <f t="shared" si="209"/>
        <v>1</v>
      </c>
      <c r="X3335" t="str">
        <f t="shared" si="210"/>
        <v>0-12 Months</v>
      </c>
      <c r="Y3335" s="1" t="str">
        <f t="shared" si="211"/>
        <v>Low</v>
      </c>
    </row>
    <row r="3336" spans="1:25" x14ac:dyDescent="0.2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 t="shared" si="208"/>
        <v>1</v>
      </c>
      <c r="W3336">
        <f t="shared" si="209"/>
        <v>0</v>
      </c>
      <c r="X3336" t="str">
        <f t="shared" si="210"/>
        <v>25-48 Months</v>
      </c>
      <c r="Y3336" s="1" t="str">
        <f t="shared" si="211"/>
        <v>High</v>
      </c>
    </row>
    <row r="3337" spans="1:25" x14ac:dyDescent="0.2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 t="shared" si="208"/>
        <v>0</v>
      </c>
      <c r="W3337">
        <f t="shared" si="209"/>
        <v>1</v>
      </c>
      <c r="X3337" t="str">
        <f t="shared" si="210"/>
        <v>0-12 Months</v>
      </c>
      <c r="Y3337" s="1" t="str">
        <f t="shared" si="211"/>
        <v>Low</v>
      </c>
    </row>
    <row r="3338" spans="1:25" x14ac:dyDescent="0.2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 t="shared" si="208"/>
        <v>0</v>
      </c>
      <c r="W3338">
        <f t="shared" si="209"/>
        <v>1</v>
      </c>
      <c r="X3338" t="str">
        <f t="shared" si="210"/>
        <v>49+ Months</v>
      </c>
      <c r="Y3338" s="1" t="str">
        <f t="shared" si="211"/>
        <v>Low</v>
      </c>
    </row>
    <row r="3339" spans="1:25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 t="shared" si="208"/>
        <v>0</v>
      </c>
      <c r="W3339">
        <f t="shared" si="209"/>
        <v>1</v>
      </c>
      <c r="X3339" t="str">
        <f t="shared" si="210"/>
        <v>0-12 Months</v>
      </c>
      <c r="Y3339" s="1" t="str">
        <f t="shared" si="211"/>
        <v>Medium</v>
      </c>
    </row>
    <row r="3340" spans="1:25" x14ac:dyDescent="0.2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 t="shared" si="208"/>
        <v>1</v>
      </c>
      <c r="W3340">
        <f t="shared" si="209"/>
        <v>0</v>
      </c>
      <c r="X3340" t="str">
        <f t="shared" si="210"/>
        <v>0-12 Months</v>
      </c>
      <c r="Y3340" s="1" t="str">
        <f t="shared" si="211"/>
        <v>High</v>
      </c>
    </row>
    <row r="3341" spans="1:25" x14ac:dyDescent="0.2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 t="shared" si="208"/>
        <v>0</v>
      </c>
      <c r="W3341">
        <f t="shared" si="209"/>
        <v>1</v>
      </c>
      <c r="X3341" t="str">
        <f t="shared" si="210"/>
        <v>49+ Months</v>
      </c>
      <c r="Y3341" s="1" t="str">
        <f t="shared" si="211"/>
        <v>High</v>
      </c>
    </row>
    <row r="3342" spans="1:25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 t="shared" si="208"/>
        <v>1</v>
      </c>
      <c r="W3342">
        <f t="shared" si="209"/>
        <v>0</v>
      </c>
      <c r="X3342" t="str">
        <f t="shared" si="210"/>
        <v>0-12 Months</v>
      </c>
      <c r="Y3342" s="1" t="str">
        <f t="shared" si="211"/>
        <v>High</v>
      </c>
    </row>
    <row r="3343" spans="1:25" x14ac:dyDescent="0.2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 t="shared" si="208"/>
        <v>0</v>
      </c>
      <c r="W3343">
        <f t="shared" si="209"/>
        <v>1</v>
      </c>
      <c r="X3343" t="str">
        <f t="shared" si="210"/>
        <v>49+ Months</v>
      </c>
      <c r="Y3343" s="1" t="str">
        <f t="shared" si="211"/>
        <v>Low</v>
      </c>
    </row>
    <row r="3344" spans="1:25" x14ac:dyDescent="0.2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 t="shared" si="208"/>
        <v>0</v>
      </c>
      <c r="W3344">
        <f t="shared" si="209"/>
        <v>1</v>
      </c>
      <c r="X3344" t="str">
        <f t="shared" si="210"/>
        <v>25-48 Months</v>
      </c>
      <c r="Y3344" s="1" t="str">
        <f t="shared" si="211"/>
        <v>Medium</v>
      </c>
    </row>
    <row r="3345" spans="1:25" x14ac:dyDescent="0.2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 t="shared" si="208"/>
        <v>0</v>
      </c>
      <c r="W3345">
        <f t="shared" si="209"/>
        <v>1</v>
      </c>
      <c r="X3345" t="str">
        <f t="shared" si="210"/>
        <v>13-24 Months</v>
      </c>
      <c r="Y3345" s="1" t="str">
        <f t="shared" si="211"/>
        <v>Low</v>
      </c>
    </row>
    <row r="3346" spans="1:25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 t="shared" si="208"/>
        <v>1</v>
      </c>
      <c r="W3346">
        <f t="shared" si="209"/>
        <v>0</v>
      </c>
      <c r="X3346" t="str">
        <f t="shared" si="210"/>
        <v>0-12 Months</v>
      </c>
      <c r="Y3346" s="1" t="str">
        <f t="shared" si="211"/>
        <v>Medium</v>
      </c>
    </row>
    <row r="3347" spans="1:25" x14ac:dyDescent="0.2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 t="shared" si="208"/>
        <v>0</v>
      </c>
      <c r="W3347">
        <f t="shared" si="209"/>
        <v>1</v>
      </c>
      <c r="X3347" t="str">
        <f t="shared" si="210"/>
        <v>49+ Months</v>
      </c>
      <c r="Y3347" s="1" t="str">
        <f t="shared" si="211"/>
        <v>High</v>
      </c>
    </row>
    <row r="3348" spans="1:25" x14ac:dyDescent="0.2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 t="shared" si="208"/>
        <v>0</v>
      </c>
      <c r="W3348">
        <f t="shared" si="209"/>
        <v>1</v>
      </c>
      <c r="X3348" t="str">
        <f t="shared" si="210"/>
        <v>0-12 Months</v>
      </c>
      <c r="Y3348" s="1" t="str">
        <f t="shared" si="211"/>
        <v>High</v>
      </c>
    </row>
    <row r="3349" spans="1:25" x14ac:dyDescent="0.2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 t="shared" si="208"/>
        <v>0</v>
      </c>
      <c r="W3349">
        <f t="shared" si="209"/>
        <v>1</v>
      </c>
      <c r="X3349" t="str">
        <f t="shared" si="210"/>
        <v>13-24 Months</v>
      </c>
      <c r="Y3349" s="1" t="str">
        <f t="shared" si="211"/>
        <v>Low</v>
      </c>
    </row>
    <row r="3350" spans="1:25" x14ac:dyDescent="0.2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 t="shared" si="208"/>
        <v>0</v>
      </c>
      <c r="W3350">
        <f t="shared" si="209"/>
        <v>1</v>
      </c>
      <c r="X3350" t="str">
        <f t="shared" si="210"/>
        <v>49+ Months</v>
      </c>
      <c r="Y3350" s="1" t="str">
        <f t="shared" si="211"/>
        <v>High</v>
      </c>
    </row>
    <row r="3351" spans="1:25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 t="shared" si="208"/>
        <v>1</v>
      </c>
      <c r="W3351">
        <f t="shared" si="209"/>
        <v>0</v>
      </c>
      <c r="X3351" t="str">
        <f t="shared" si="210"/>
        <v>0-12 Months</v>
      </c>
      <c r="Y3351" s="1" t="str">
        <f t="shared" si="211"/>
        <v>High</v>
      </c>
    </row>
    <row r="3352" spans="1:25" x14ac:dyDescent="0.2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 t="shared" si="208"/>
        <v>1</v>
      </c>
      <c r="W3352">
        <f t="shared" si="209"/>
        <v>0</v>
      </c>
      <c r="X3352" t="str">
        <f t="shared" si="210"/>
        <v>0-12 Months</v>
      </c>
      <c r="Y3352" s="1" t="str">
        <f t="shared" si="211"/>
        <v>Low</v>
      </c>
    </row>
    <row r="3353" spans="1:25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 t="shared" si="208"/>
        <v>1</v>
      </c>
      <c r="W3353">
        <f t="shared" si="209"/>
        <v>0</v>
      </c>
      <c r="X3353" t="str">
        <f t="shared" si="210"/>
        <v>13-24 Months</v>
      </c>
      <c r="Y3353" s="1" t="str">
        <f t="shared" si="211"/>
        <v>Medium</v>
      </c>
    </row>
    <row r="3354" spans="1:25" x14ac:dyDescent="0.2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 t="shared" si="208"/>
        <v>1</v>
      </c>
      <c r="W3354">
        <f t="shared" si="209"/>
        <v>0</v>
      </c>
      <c r="X3354" t="str">
        <f t="shared" si="210"/>
        <v>0-12 Months</v>
      </c>
      <c r="Y3354" s="1" t="str">
        <f t="shared" si="211"/>
        <v>High</v>
      </c>
    </row>
    <row r="3355" spans="1:25" x14ac:dyDescent="0.2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 t="shared" si="208"/>
        <v>0</v>
      </c>
      <c r="W3355">
        <f t="shared" si="209"/>
        <v>1</v>
      </c>
      <c r="X3355" t="str">
        <f t="shared" si="210"/>
        <v>0-12 Months</v>
      </c>
      <c r="Y3355" s="1" t="str">
        <f t="shared" si="211"/>
        <v>High</v>
      </c>
    </row>
    <row r="3356" spans="1:25" x14ac:dyDescent="0.2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 t="shared" si="208"/>
        <v>0</v>
      </c>
      <c r="W3356">
        <f t="shared" si="209"/>
        <v>1</v>
      </c>
      <c r="X3356" t="str">
        <f t="shared" si="210"/>
        <v>49+ Months</v>
      </c>
      <c r="Y3356" s="1" t="str">
        <f t="shared" si="211"/>
        <v>Low</v>
      </c>
    </row>
    <row r="3357" spans="1:25" x14ac:dyDescent="0.2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 t="shared" si="208"/>
        <v>0</v>
      </c>
      <c r="W3357">
        <f t="shared" si="209"/>
        <v>1</v>
      </c>
      <c r="X3357" t="str">
        <f t="shared" si="210"/>
        <v>49+ Months</v>
      </c>
      <c r="Y3357" s="1" t="str">
        <f t="shared" si="211"/>
        <v>High</v>
      </c>
    </row>
    <row r="3358" spans="1:25" x14ac:dyDescent="0.2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 t="shared" si="208"/>
        <v>1</v>
      </c>
      <c r="W3358">
        <f t="shared" si="209"/>
        <v>0</v>
      </c>
      <c r="X3358" t="str">
        <f t="shared" si="210"/>
        <v>0-12 Months</v>
      </c>
      <c r="Y3358" s="1" t="str">
        <f t="shared" si="211"/>
        <v>Medium</v>
      </c>
    </row>
    <row r="3359" spans="1:25" x14ac:dyDescent="0.2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 t="shared" si="208"/>
        <v>1</v>
      </c>
      <c r="W3359">
        <f t="shared" si="209"/>
        <v>0</v>
      </c>
      <c r="X3359" t="str">
        <f t="shared" si="210"/>
        <v>0-12 Months</v>
      </c>
      <c r="Y3359" s="1" t="str">
        <f t="shared" si="211"/>
        <v>Medium</v>
      </c>
    </row>
    <row r="3360" spans="1:25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 t="shared" si="208"/>
        <v>0</v>
      </c>
      <c r="W3360">
        <f t="shared" si="209"/>
        <v>1</v>
      </c>
      <c r="X3360" t="str">
        <f t="shared" si="210"/>
        <v>25-48 Months</v>
      </c>
      <c r="Y3360" s="1" t="str">
        <f t="shared" si="211"/>
        <v>Medium</v>
      </c>
    </row>
    <row r="3361" spans="1:25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 t="shared" si="208"/>
        <v>0</v>
      </c>
      <c r="W3361">
        <f t="shared" si="209"/>
        <v>1</v>
      </c>
      <c r="X3361" t="str">
        <f t="shared" si="210"/>
        <v>13-24 Months</v>
      </c>
      <c r="Y3361" s="1" t="str">
        <f t="shared" si="211"/>
        <v>Low</v>
      </c>
    </row>
    <row r="3362" spans="1:25" x14ac:dyDescent="0.2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 t="shared" si="208"/>
        <v>1</v>
      </c>
      <c r="W3362">
        <f t="shared" si="209"/>
        <v>0</v>
      </c>
      <c r="X3362" t="str">
        <f t="shared" si="210"/>
        <v>13-24 Months</v>
      </c>
      <c r="Y3362" s="1" t="str">
        <f t="shared" si="211"/>
        <v>High</v>
      </c>
    </row>
    <row r="3363" spans="1:25" x14ac:dyDescent="0.2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 t="shared" si="208"/>
        <v>0</v>
      </c>
      <c r="W3363">
        <f t="shared" si="209"/>
        <v>1</v>
      </c>
      <c r="X3363" t="str">
        <f t="shared" si="210"/>
        <v>49+ Months</v>
      </c>
      <c r="Y3363" s="1" t="str">
        <f t="shared" si="211"/>
        <v>Medium</v>
      </c>
    </row>
    <row r="3364" spans="1:25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 t="shared" si="208"/>
        <v>1</v>
      </c>
      <c r="W3364">
        <f t="shared" si="209"/>
        <v>0</v>
      </c>
      <c r="X3364" t="str">
        <f t="shared" si="210"/>
        <v>0-12 Months</v>
      </c>
      <c r="Y3364" s="1" t="str">
        <f t="shared" si="211"/>
        <v>Medium</v>
      </c>
    </row>
    <row r="3365" spans="1:25" x14ac:dyDescent="0.2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 t="shared" si="208"/>
        <v>0</v>
      </c>
      <c r="W3365">
        <f t="shared" si="209"/>
        <v>1</v>
      </c>
      <c r="X3365" t="str">
        <f t="shared" si="210"/>
        <v>49+ Months</v>
      </c>
      <c r="Y3365" s="1" t="str">
        <f t="shared" si="211"/>
        <v>Medium</v>
      </c>
    </row>
    <row r="3366" spans="1:25" x14ac:dyDescent="0.2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 t="shared" si="208"/>
        <v>1</v>
      </c>
      <c r="W3366">
        <f t="shared" si="209"/>
        <v>0</v>
      </c>
      <c r="X3366" t="str">
        <f t="shared" si="210"/>
        <v>13-24 Months</v>
      </c>
      <c r="Y3366" s="1" t="str">
        <f t="shared" si="211"/>
        <v>High</v>
      </c>
    </row>
    <row r="3367" spans="1:25" x14ac:dyDescent="0.2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 t="shared" si="208"/>
        <v>0</v>
      </c>
      <c r="W3367">
        <f t="shared" si="209"/>
        <v>1</v>
      </c>
      <c r="X3367" t="str">
        <f t="shared" si="210"/>
        <v>13-24 Months</v>
      </c>
      <c r="Y3367" s="1" t="str">
        <f t="shared" si="211"/>
        <v>Low</v>
      </c>
    </row>
    <row r="3368" spans="1:25" x14ac:dyDescent="0.2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 t="shared" si="208"/>
        <v>0</v>
      </c>
      <c r="W3368">
        <f t="shared" si="209"/>
        <v>1</v>
      </c>
      <c r="X3368" t="str">
        <f t="shared" si="210"/>
        <v>25-48 Months</v>
      </c>
      <c r="Y3368" s="1" t="str">
        <f t="shared" si="211"/>
        <v>High</v>
      </c>
    </row>
    <row r="3369" spans="1:25" x14ac:dyDescent="0.2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 t="shared" si="208"/>
        <v>0</v>
      </c>
      <c r="W3369">
        <f t="shared" si="209"/>
        <v>1</v>
      </c>
      <c r="X3369" t="str">
        <f t="shared" si="210"/>
        <v>49+ Months</v>
      </c>
      <c r="Y3369" s="1" t="str">
        <f t="shared" si="211"/>
        <v>High</v>
      </c>
    </row>
    <row r="3370" spans="1:25" x14ac:dyDescent="0.2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 t="shared" si="208"/>
        <v>0</v>
      </c>
      <c r="W3370">
        <f t="shared" si="209"/>
        <v>1</v>
      </c>
      <c r="X3370" t="str">
        <f t="shared" si="210"/>
        <v>25-48 Months</v>
      </c>
      <c r="Y3370" s="1" t="str">
        <f t="shared" si="211"/>
        <v>High</v>
      </c>
    </row>
    <row r="3371" spans="1:25" x14ac:dyDescent="0.2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 t="shared" si="208"/>
        <v>0</v>
      </c>
      <c r="W3371">
        <f t="shared" si="209"/>
        <v>1</v>
      </c>
      <c r="X3371" t="str">
        <f t="shared" si="210"/>
        <v>0-12 Months</v>
      </c>
      <c r="Y3371" s="1" t="str">
        <f t="shared" si="211"/>
        <v>Medium</v>
      </c>
    </row>
    <row r="3372" spans="1:25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 t="shared" si="208"/>
        <v>0</v>
      </c>
      <c r="W3372">
        <f t="shared" si="209"/>
        <v>1</v>
      </c>
      <c r="X3372" t="str">
        <f t="shared" si="210"/>
        <v>49+ Months</v>
      </c>
      <c r="Y3372" s="1" t="str">
        <f t="shared" si="211"/>
        <v>Low</v>
      </c>
    </row>
    <row r="3373" spans="1:25" x14ac:dyDescent="0.2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 t="shared" si="208"/>
        <v>1</v>
      </c>
      <c r="W3373">
        <f t="shared" si="209"/>
        <v>0</v>
      </c>
      <c r="X3373" t="str">
        <f t="shared" si="210"/>
        <v>0-12 Months</v>
      </c>
      <c r="Y3373" s="1" t="str">
        <f t="shared" si="211"/>
        <v>Low</v>
      </c>
    </row>
    <row r="3374" spans="1:25" x14ac:dyDescent="0.2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 t="shared" si="208"/>
        <v>0</v>
      </c>
      <c r="W3374">
        <f t="shared" si="209"/>
        <v>1</v>
      </c>
      <c r="X3374" t="str">
        <f t="shared" si="210"/>
        <v>49+ Months</v>
      </c>
      <c r="Y3374" s="1" t="str">
        <f t="shared" si="211"/>
        <v>High</v>
      </c>
    </row>
    <row r="3375" spans="1:25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 t="shared" si="208"/>
        <v>1</v>
      </c>
      <c r="W3375">
        <f t="shared" si="209"/>
        <v>0</v>
      </c>
      <c r="X3375" t="str">
        <f t="shared" si="210"/>
        <v>0-12 Months</v>
      </c>
      <c r="Y3375" s="1" t="str">
        <f t="shared" si="211"/>
        <v>Medium</v>
      </c>
    </row>
    <row r="3376" spans="1:25" x14ac:dyDescent="0.2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 t="shared" si="208"/>
        <v>1</v>
      </c>
      <c r="W3376">
        <f t="shared" si="209"/>
        <v>0</v>
      </c>
      <c r="X3376" t="str">
        <f t="shared" si="210"/>
        <v>0-12 Months</v>
      </c>
      <c r="Y3376" s="1" t="str">
        <f t="shared" si="211"/>
        <v>Medium</v>
      </c>
    </row>
    <row r="3377" spans="1:25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 t="shared" si="208"/>
        <v>0</v>
      </c>
      <c r="W3377">
        <f t="shared" si="209"/>
        <v>1</v>
      </c>
      <c r="X3377" t="str">
        <f t="shared" si="210"/>
        <v>49+ Months</v>
      </c>
      <c r="Y3377" s="1" t="str">
        <f t="shared" si="211"/>
        <v>Low</v>
      </c>
    </row>
    <row r="3378" spans="1:25" x14ac:dyDescent="0.2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 t="shared" si="208"/>
        <v>0</v>
      </c>
      <c r="W3378">
        <f t="shared" si="209"/>
        <v>1</v>
      </c>
      <c r="X3378" t="str">
        <f t="shared" si="210"/>
        <v>0-12 Months</v>
      </c>
      <c r="Y3378" s="1" t="str">
        <f t="shared" si="211"/>
        <v>Low</v>
      </c>
    </row>
    <row r="3379" spans="1:25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 t="shared" si="208"/>
        <v>0</v>
      </c>
      <c r="W3379">
        <f t="shared" si="209"/>
        <v>1</v>
      </c>
      <c r="X3379" t="str">
        <f t="shared" si="210"/>
        <v>49+ Months</v>
      </c>
      <c r="Y3379" s="1" t="str">
        <f t="shared" si="211"/>
        <v>Low</v>
      </c>
    </row>
    <row r="3380" spans="1:25" x14ac:dyDescent="0.2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 t="shared" si="208"/>
        <v>0</v>
      </c>
      <c r="W3380">
        <f t="shared" si="209"/>
        <v>1</v>
      </c>
      <c r="X3380" t="str">
        <f t="shared" si="210"/>
        <v>49+ Months</v>
      </c>
      <c r="Y3380" s="1" t="str">
        <f t="shared" si="211"/>
        <v>High</v>
      </c>
    </row>
    <row r="3381" spans="1:25" x14ac:dyDescent="0.2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 t="shared" si="208"/>
        <v>0</v>
      </c>
      <c r="W3381">
        <f t="shared" si="209"/>
        <v>1</v>
      </c>
      <c r="X3381" t="str">
        <f t="shared" si="210"/>
        <v>0-12 Months</v>
      </c>
      <c r="Y3381" s="1" t="str">
        <f t="shared" si="211"/>
        <v>Low</v>
      </c>
    </row>
    <row r="3382" spans="1:25" x14ac:dyDescent="0.2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 t="shared" si="208"/>
        <v>1</v>
      </c>
      <c r="W3382">
        <f t="shared" si="209"/>
        <v>0</v>
      </c>
      <c r="X3382" t="str">
        <f t="shared" si="210"/>
        <v>0-12 Months</v>
      </c>
      <c r="Y3382" s="1" t="str">
        <f t="shared" si="211"/>
        <v>High</v>
      </c>
    </row>
    <row r="3383" spans="1:25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 t="shared" si="208"/>
        <v>0</v>
      </c>
      <c r="W3383">
        <f t="shared" si="209"/>
        <v>1</v>
      </c>
      <c r="X3383" t="str">
        <f t="shared" si="210"/>
        <v>25-48 Months</v>
      </c>
      <c r="Y3383" s="1" t="str">
        <f t="shared" si="211"/>
        <v>Medium</v>
      </c>
    </row>
    <row r="3384" spans="1:25" x14ac:dyDescent="0.2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 t="shared" si="208"/>
        <v>0</v>
      </c>
      <c r="W3384">
        <f t="shared" si="209"/>
        <v>1</v>
      </c>
      <c r="X3384" t="str">
        <f t="shared" si="210"/>
        <v>49+ Months</v>
      </c>
      <c r="Y3384" s="1" t="str">
        <f t="shared" si="211"/>
        <v>Low</v>
      </c>
    </row>
    <row r="3385" spans="1:25" x14ac:dyDescent="0.2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 t="shared" si="208"/>
        <v>1</v>
      </c>
      <c r="W3385">
        <f t="shared" si="209"/>
        <v>0</v>
      </c>
      <c r="X3385" t="str">
        <f t="shared" si="210"/>
        <v>0-12 Months</v>
      </c>
      <c r="Y3385" s="1" t="str">
        <f t="shared" si="211"/>
        <v>Medium</v>
      </c>
    </row>
    <row r="3386" spans="1:25" x14ac:dyDescent="0.2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 t="shared" si="208"/>
        <v>1</v>
      </c>
      <c r="W3386">
        <f t="shared" si="209"/>
        <v>0</v>
      </c>
      <c r="X3386" t="str">
        <f t="shared" si="210"/>
        <v>0-12 Months</v>
      </c>
      <c r="Y3386" s="1" t="str">
        <f t="shared" si="211"/>
        <v>Medium</v>
      </c>
    </row>
    <row r="3387" spans="1:25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 t="shared" si="208"/>
        <v>1</v>
      </c>
      <c r="W3387">
        <f t="shared" si="209"/>
        <v>0</v>
      </c>
      <c r="X3387" t="str">
        <f t="shared" si="210"/>
        <v>0-12 Months</v>
      </c>
      <c r="Y3387" s="1" t="str">
        <f t="shared" si="211"/>
        <v>High</v>
      </c>
    </row>
    <row r="3388" spans="1:25" x14ac:dyDescent="0.2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 t="shared" si="208"/>
        <v>0</v>
      </c>
      <c r="W3388">
        <f t="shared" si="209"/>
        <v>1</v>
      </c>
      <c r="X3388" t="str">
        <f t="shared" si="210"/>
        <v>49+ Months</v>
      </c>
      <c r="Y3388" s="1" t="str">
        <f t="shared" si="211"/>
        <v>Medium</v>
      </c>
    </row>
    <row r="3389" spans="1:25" x14ac:dyDescent="0.2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 t="shared" si="208"/>
        <v>0</v>
      </c>
      <c r="W3389">
        <f t="shared" si="209"/>
        <v>1</v>
      </c>
      <c r="X3389" t="str">
        <f t="shared" si="210"/>
        <v>0-12 Months</v>
      </c>
      <c r="Y3389" s="1" t="str">
        <f t="shared" si="211"/>
        <v>Low</v>
      </c>
    </row>
    <row r="3390" spans="1:25" x14ac:dyDescent="0.2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 t="shared" si="208"/>
        <v>0</v>
      </c>
      <c r="W3390">
        <f t="shared" si="209"/>
        <v>1</v>
      </c>
      <c r="X3390" t="str">
        <f t="shared" si="210"/>
        <v>49+ Months</v>
      </c>
      <c r="Y3390" s="1" t="str">
        <f t="shared" si="211"/>
        <v>Medium</v>
      </c>
    </row>
    <row r="3391" spans="1:25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 t="shared" si="208"/>
        <v>0</v>
      </c>
      <c r="W3391">
        <f t="shared" si="209"/>
        <v>1</v>
      </c>
      <c r="X3391" t="str">
        <f t="shared" si="210"/>
        <v>0-12 Months</v>
      </c>
      <c r="Y3391" s="1" t="str">
        <f t="shared" si="211"/>
        <v>Medium</v>
      </c>
    </row>
    <row r="3392" spans="1:25" x14ac:dyDescent="0.2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 t="shared" si="208"/>
        <v>0</v>
      </c>
      <c r="W3392">
        <f t="shared" si="209"/>
        <v>1</v>
      </c>
      <c r="X3392" t="str">
        <f t="shared" si="210"/>
        <v>49+ Months</v>
      </c>
      <c r="Y3392" s="1" t="str">
        <f t="shared" si="211"/>
        <v>Low</v>
      </c>
    </row>
    <row r="3393" spans="1:25" x14ac:dyDescent="0.2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 t="shared" si="208"/>
        <v>0</v>
      </c>
      <c r="W3393">
        <f t="shared" si="209"/>
        <v>1</v>
      </c>
      <c r="X3393" t="str">
        <f t="shared" si="210"/>
        <v>0-12 Months</v>
      </c>
      <c r="Y3393" s="1" t="str">
        <f t="shared" si="211"/>
        <v>Low</v>
      </c>
    </row>
    <row r="3394" spans="1:25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 t="shared" ref="V3394:V3457" si="212">IF(U3394="Yes",1,0)</f>
        <v>0</v>
      </c>
      <c r="W3394">
        <f t="shared" ref="W3394:W3457" si="213">IF(U3394="No",1,0)</f>
        <v>1</v>
      </c>
      <c r="X3394" t="str">
        <f t="shared" ref="X3394:X3457" si="214">IF(F3394&lt;=12,"0-12 Months",IF(F3394&lt;=24,"13-24 Months",IF(F3394&lt;=48,"25-48 Months","49+ Months")))</f>
        <v>49+ Months</v>
      </c>
      <c r="Y3394" s="1" t="str">
        <f t="shared" ref="Y3394:Y3457" si="215">IF(S3394&lt;50,"Low",IF(S3394&lt;80,"Medium","High"))</f>
        <v>Low</v>
      </c>
    </row>
    <row r="3395" spans="1:25" x14ac:dyDescent="0.2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 t="shared" si="212"/>
        <v>0</v>
      </c>
      <c r="W3395">
        <f t="shared" si="213"/>
        <v>1</v>
      </c>
      <c r="X3395" t="str">
        <f t="shared" si="214"/>
        <v>49+ Months</v>
      </c>
      <c r="Y3395" s="1" t="str">
        <f t="shared" si="215"/>
        <v>High</v>
      </c>
    </row>
    <row r="3396" spans="1:25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 t="shared" si="212"/>
        <v>0</v>
      </c>
      <c r="W3396">
        <f t="shared" si="213"/>
        <v>1</v>
      </c>
      <c r="X3396" t="str">
        <f t="shared" si="214"/>
        <v>25-48 Months</v>
      </c>
      <c r="Y3396" s="1" t="str">
        <f t="shared" si="215"/>
        <v>Medium</v>
      </c>
    </row>
    <row r="3397" spans="1:25" x14ac:dyDescent="0.2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 t="shared" si="212"/>
        <v>0</v>
      </c>
      <c r="W3397">
        <f t="shared" si="213"/>
        <v>1</v>
      </c>
      <c r="X3397" t="str">
        <f t="shared" si="214"/>
        <v>49+ Months</v>
      </c>
      <c r="Y3397" s="1" t="str">
        <f t="shared" si="215"/>
        <v>High</v>
      </c>
    </row>
    <row r="3398" spans="1:25" x14ac:dyDescent="0.2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 t="shared" si="212"/>
        <v>0</v>
      </c>
      <c r="W3398">
        <f t="shared" si="213"/>
        <v>1</v>
      </c>
      <c r="X3398" t="str">
        <f t="shared" si="214"/>
        <v>49+ Months</v>
      </c>
      <c r="Y3398" s="1" t="str">
        <f t="shared" si="215"/>
        <v>High</v>
      </c>
    </row>
    <row r="3399" spans="1:25" x14ac:dyDescent="0.2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 t="shared" si="212"/>
        <v>0</v>
      </c>
      <c r="W3399">
        <f t="shared" si="213"/>
        <v>1</v>
      </c>
      <c r="X3399" t="str">
        <f t="shared" si="214"/>
        <v>49+ Months</v>
      </c>
      <c r="Y3399" s="1" t="str">
        <f t="shared" si="215"/>
        <v>High</v>
      </c>
    </row>
    <row r="3400" spans="1:25" x14ac:dyDescent="0.2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 t="shared" si="212"/>
        <v>0</v>
      </c>
      <c r="W3400">
        <f t="shared" si="213"/>
        <v>1</v>
      </c>
      <c r="X3400" t="str">
        <f t="shared" si="214"/>
        <v>49+ Months</v>
      </c>
      <c r="Y3400" s="1" t="str">
        <f t="shared" si="215"/>
        <v>High</v>
      </c>
    </row>
    <row r="3401" spans="1:25" x14ac:dyDescent="0.2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 t="shared" si="212"/>
        <v>0</v>
      </c>
      <c r="W3401">
        <f t="shared" si="213"/>
        <v>1</v>
      </c>
      <c r="X3401" t="str">
        <f t="shared" si="214"/>
        <v>25-48 Months</v>
      </c>
      <c r="Y3401" s="1" t="str">
        <f t="shared" si="215"/>
        <v>Medium</v>
      </c>
    </row>
    <row r="3402" spans="1:25" x14ac:dyDescent="0.2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 t="shared" si="212"/>
        <v>0</v>
      </c>
      <c r="W3402">
        <f t="shared" si="213"/>
        <v>1</v>
      </c>
      <c r="X3402" t="str">
        <f t="shared" si="214"/>
        <v>13-24 Months</v>
      </c>
      <c r="Y3402" s="1" t="str">
        <f t="shared" si="215"/>
        <v>High</v>
      </c>
    </row>
    <row r="3403" spans="1:25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 t="shared" si="212"/>
        <v>0</v>
      </c>
      <c r="W3403">
        <f t="shared" si="213"/>
        <v>1</v>
      </c>
      <c r="X3403" t="str">
        <f t="shared" si="214"/>
        <v>49+ Months</v>
      </c>
      <c r="Y3403" s="1" t="str">
        <f t="shared" si="215"/>
        <v>Low</v>
      </c>
    </row>
    <row r="3404" spans="1:25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 t="shared" si="212"/>
        <v>1</v>
      </c>
      <c r="W3404">
        <f t="shared" si="213"/>
        <v>0</v>
      </c>
      <c r="X3404" t="str">
        <f t="shared" si="214"/>
        <v>0-12 Months</v>
      </c>
      <c r="Y3404" s="1" t="str">
        <f t="shared" si="215"/>
        <v>High</v>
      </c>
    </row>
    <row r="3405" spans="1:25" x14ac:dyDescent="0.2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 t="shared" si="212"/>
        <v>0</v>
      </c>
      <c r="W3405">
        <f t="shared" si="213"/>
        <v>1</v>
      </c>
      <c r="X3405" t="str">
        <f t="shared" si="214"/>
        <v>0-12 Months</v>
      </c>
      <c r="Y3405" s="1" t="str">
        <f t="shared" si="215"/>
        <v>Low</v>
      </c>
    </row>
    <row r="3406" spans="1:25" x14ac:dyDescent="0.2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 t="shared" si="212"/>
        <v>0</v>
      </c>
      <c r="W3406">
        <f t="shared" si="213"/>
        <v>1</v>
      </c>
      <c r="X3406" t="str">
        <f t="shared" si="214"/>
        <v>25-48 Months</v>
      </c>
      <c r="Y3406" s="1" t="str">
        <f t="shared" si="215"/>
        <v>Medium</v>
      </c>
    </row>
    <row r="3407" spans="1:25" x14ac:dyDescent="0.2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 t="shared" si="212"/>
        <v>0</v>
      </c>
      <c r="W3407">
        <f t="shared" si="213"/>
        <v>1</v>
      </c>
      <c r="X3407" t="str">
        <f t="shared" si="214"/>
        <v>49+ Months</v>
      </c>
      <c r="Y3407" s="1" t="str">
        <f t="shared" si="215"/>
        <v>High</v>
      </c>
    </row>
    <row r="3408" spans="1:25" x14ac:dyDescent="0.2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 t="shared" si="212"/>
        <v>0</v>
      </c>
      <c r="W3408">
        <f t="shared" si="213"/>
        <v>1</v>
      </c>
      <c r="X3408" t="str">
        <f t="shared" si="214"/>
        <v>25-48 Months</v>
      </c>
      <c r="Y3408" s="1" t="str">
        <f t="shared" si="215"/>
        <v>Low</v>
      </c>
    </row>
    <row r="3409" spans="1:25" x14ac:dyDescent="0.2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 t="shared" si="212"/>
        <v>0</v>
      </c>
      <c r="W3409">
        <f t="shared" si="213"/>
        <v>1</v>
      </c>
      <c r="X3409" t="str">
        <f t="shared" si="214"/>
        <v>49+ Months</v>
      </c>
      <c r="Y3409" s="1" t="str">
        <f t="shared" si="215"/>
        <v>Low</v>
      </c>
    </row>
    <row r="3410" spans="1:25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 t="shared" si="212"/>
        <v>1</v>
      </c>
      <c r="W3410">
        <f t="shared" si="213"/>
        <v>0</v>
      </c>
      <c r="X3410" t="str">
        <f t="shared" si="214"/>
        <v>0-12 Months</v>
      </c>
      <c r="Y3410" s="1" t="str">
        <f t="shared" si="215"/>
        <v>Medium</v>
      </c>
    </row>
    <row r="3411" spans="1:25" x14ac:dyDescent="0.2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 t="shared" si="212"/>
        <v>0</v>
      </c>
      <c r="W3411">
        <f t="shared" si="213"/>
        <v>1</v>
      </c>
      <c r="X3411" t="str">
        <f t="shared" si="214"/>
        <v>49+ Months</v>
      </c>
      <c r="Y3411" s="1" t="str">
        <f t="shared" si="215"/>
        <v>High</v>
      </c>
    </row>
    <row r="3412" spans="1:25" x14ac:dyDescent="0.2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 t="shared" si="212"/>
        <v>1</v>
      </c>
      <c r="W3412">
        <f t="shared" si="213"/>
        <v>0</v>
      </c>
      <c r="X3412" t="str">
        <f t="shared" si="214"/>
        <v>0-12 Months</v>
      </c>
      <c r="Y3412" s="1" t="str">
        <f t="shared" si="215"/>
        <v>Medium</v>
      </c>
    </row>
    <row r="3413" spans="1:25" x14ac:dyDescent="0.2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 t="shared" si="212"/>
        <v>1</v>
      </c>
      <c r="W3413">
        <f t="shared" si="213"/>
        <v>0</v>
      </c>
      <c r="X3413" t="str">
        <f t="shared" si="214"/>
        <v>49+ Months</v>
      </c>
      <c r="Y3413" s="1" t="str">
        <f t="shared" si="215"/>
        <v>High</v>
      </c>
    </row>
    <row r="3414" spans="1:25" x14ac:dyDescent="0.2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 t="shared" si="212"/>
        <v>0</v>
      </c>
      <c r="W3414">
        <f t="shared" si="213"/>
        <v>1</v>
      </c>
      <c r="X3414" t="str">
        <f t="shared" si="214"/>
        <v>0-12 Months</v>
      </c>
      <c r="Y3414" s="1" t="str">
        <f t="shared" si="215"/>
        <v>Medium</v>
      </c>
    </row>
    <row r="3415" spans="1:25" x14ac:dyDescent="0.2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 t="shared" si="212"/>
        <v>0</v>
      </c>
      <c r="W3415">
        <f t="shared" si="213"/>
        <v>1</v>
      </c>
      <c r="X3415" t="str">
        <f t="shared" si="214"/>
        <v>25-48 Months</v>
      </c>
      <c r="Y3415" s="1" t="str">
        <f t="shared" si="215"/>
        <v>High</v>
      </c>
    </row>
    <row r="3416" spans="1:25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 t="shared" si="212"/>
        <v>0</v>
      </c>
      <c r="W3416">
        <f t="shared" si="213"/>
        <v>1</v>
      </c>
      <c r="X3416" t="str">
        <f t="shared" si="214"/>
        <v>25-48 Months</v>
      </c>
      <c r="Y3416" s="1" t="str">
        <f t="shared" si="215"/>
        <v>Low</v>
      </c>
    </row>
    <row r="3417" spans="1:25" x14ac:dyDescent="0.2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 t="shared" si="212"/>
        <v>1</v>
      </c>
      <c r="W3417">
        <f t="shared" si="213"/>
        <v>0</v>
      </c>
      <c r="X3417" t="str">
        <f t="shared" si="214"/>
        <v>49+ Months</v>
      </c>
      <c r="Y3417" s="1" t="str">
        <f t="shared" si="215"/>
        <v>High</v>
      </c>
    </row>
    <row r="3418" spans="1:25" x14ac:dyDescent="0.2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 t="shared" si="212"/>
        <v>0</v>
      </c>
      <c r="W3418">
        <f t="shared" si="213"/>
        <v>1</v>
      </c>
      <c r="X3418" t="str">
        <f t="shared" si="214"/>
        <v>0-12 Months</v>
      </c>
      <c r="Y3418" s="1" t="str">
        <f t="shared" si="215"/>
        <v>Medium</v>
      </c>
    </row>
    <row r="3419" spans="1:25" x14ac:dyDescent="0.2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 t="shared" si="212"/>
        <v>0</v>
      </c>
      <c r="W3419">
        <f t="shared" si="213"/>
        <v>1</v>
      </c>
      <c r="X3419" t="str">
        <f t="shared" si="214"/>
        <v>0-12 Months</v>
      </c>
      <c r="Y3419" s="1" t="str">
        <f t="shared" si="215"/>
        <v>Medium</v>
      </c>
    </row>
    <row r="3420" spans="1:25" x14ac:dyDescent="0.2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 t="shared" si="212"/>
        <v>0</v>
      </c>
      <c r="W3420">
        <f t="shared" si="213"/>
        <v>1</v>
      </c>
      <c r="X3420" t="str">
        <f t="shared" si="214"/>
        <v>49+ Months</v>
      </c>
      <c r="Y3420" s="1" t="str">
        <f t="shared" si="215"/>
        <v>High</v>
      </c>
    </row>
    <row r="3421" spans="1:25" x14ac:dyDescent="0.2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 t="shared" si="212"/>
        <v>0</v>
      </c>
      <c r="W3421">
        <f t="shared" si="213"/>
        <v>1</v>
      </c>
      <c r="X3421" t="str">
        <f t="shared" si="214"/>
        <v>49+ Months</v>
      </c>
      <c r="Y3421" s="1" t="str">
        <f t="shared" si="215"/>
        <v>High</v>
      </c>
    </row>
    <row r="3422" spans="1:25" x14ac:dyDescent="0.2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 t="shared" si="212"/>
        <v>0</v>
      </c>
      <c r="W3422">
        <f t="shared" si="213"/>
        <v>1</v>
      </c>
      <c r="X3422" t="str">
        <f t="shared" si="214"/>
        <v>25-48 Months</v>
      </c>
      <c r="Y3422" s="1" t="str">
        <f t="shared" si="215"/>
        <v>Medium</v>
      </c>
    </row>
    <row r="3423" spans="1:25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 t="shared" si="212"/>
        <v>0</v>
      </c>
      <c r="W3423">
        <f t="shared" si="213"/>
        <v>1</v>
      </c>
      <c r="X3423" t="str">
        <f t="shared" si="214"/>
        <v>49+ Months</v>
      </c>
      <c r="Y3423" s="1" t="str">
        <f t="shared" si="215"/>
        <v>High</v>
      </c>
    </row>
    <row r="3424" spans="1:25" x14ac:dyDescent="0.2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 t="shared" si="212"/>
        <v>0</v>
      </c>
      <c r="W3424">
        <f t="shared" si="213"/>
        <v>1</v>
      </c>
      <c r="X3424" t="str">
        <f t="shared" si="214"/>
        <v>49+ Months</v>
      </c>
      <c r="Y3424" s="1" t="str">
        <f t="shared" si="215"/>
        <v>Medium</v>
      </c>
    </row>
    <row r="3425" spans="1:25" x14ac:dyDescent="0.2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 t="shared" si="212"/>
        <v>1</v>
      </c>
      <c r="W3425">
        <f t="shared" si="213"/>
        <v>0</v>
      </c>
      <c r="X3425" t="str">
        <f t="shared" si="214"/>
        <v>0-12 Months</v>
      </c>
      <c r="Y3425" s="1" t="str">
        <f t="shared" si="215"/>
        <v>Medium</v>
      </c>
    </row>
    <row r="3426" spans="1:25" x14ac:dyDescent="0.2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 t="shared" si="212"/>
        <v>1</v>
      </c>
      <c r="W3426">
        <f t="shared" si="213"/>
        <v>0</v>
      </c>
      <c r="X3426" t="str">
        <f t="shared" si="214"/>
        <v>0-12 Months</v>
      </c>
      <c r="Y3426" s="1" t="str">
        <f t="shared" si="215"/>
        <v>High</v>
      </c>
    </row>
    <row r="3427" spans="1:25" x14ac:dyDescent="0.2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 t="shared" si="212"/>
        <v>0</v>
      </c>
      <c r="W3427">
        <f t="shared" si="213"/>
        <v>1</v>
      </c>
      <c r="X3427" t="str">
        <f t="shared" si="214"/>
        <v>25-48 Months</v>
      </c>
      <c r="Y3427" s="1" t="str">
        <f t="shared" si="215"/>
        <v>Medium</v>
      </c>
    </row>
    <row r="3428" spans="1:25" x14ac:dyDescent="0.2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 t="shared" si="212"/>
        <v>1</v>
      </c>
      <c r="W3428">
        <f t="shared" si="213"/>
        <v>0</v>
      </c>
      <c r="X3428" t="str">
        <f t="shared" si="214"/>
        <v>0-12 Months</v>
      </c>
      <c r="Y3428" s="1" t="str">
        <f t="shared" si="215"/>
        <v>Medium</v>
      </c>
    </row>
    <row r="3429" spans="1:25" x14ac:dyDescent="0.2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 t="shared" si="212"/>
        <v>0</v>
      </c>
      <c r="W3429">
        <f t="shared" si="213"/>
        <v>1</v>
      </c>
      <c r="X3429" t="str">
        <f t="shared" si="214"/>
        <v>13-24 Months</v>
      </c>
      <c r="Y3429" s="1" t="str">
        <f t="shared" si="215"/>
        <v>High</v>
      </c>
    </row>
    <row r="3430" spans="1:25" x14ac:dyDescent="0.2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 t="shared" si="212"/>
        <v>1</v>
      </c>
      <c r="W3430">
        <f t="shared" si="213"/>
        <v>0</v>
      </c>
      <c r="X3430" t="str">
        <f t="shared" si="214"/>
        <v>49+ Months</v>
      </c>
      <c r="Y3430" s="1" t="str">
        <f t="shared" si="215"/>
        <v>High</v>
      </c>
    </row>
    <row r="3431" spans="1:25" x14ac:dyDescent="0.2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 t="shared" si="212"/>
        <v>0</v>
      </c>
      <c r="W3431">
        <f t="shared" si="213"/>
        <v>1</v>
      </c>
      <c r="X3431" t="str">
        <f t="shared" si="214"/>
        <v>49+ Months</v>
      </c>
      <c r="Y3431" s="1" t="str">
        <f t="shared" si="215"/>
        <v>Low</v>
      </c>
    </row>
    <row r="3432" spans="1:25" x14ac:dyDescent="0.2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 t="shared" si="212"/>
        <v>0</v>
      </c>
      <c r="W3432">
        <f t="shared" si="213"/>
        <v>1</v>
      </c>
      <c r="X3432" t="str">
        <f t="shared" si="214"/>
        <v>49+ Months</v>
      </c>
      <c r="Y3432" s="1" t="str">
        <f t="shared" si="215"/>
        <v>High</v>
      </c>
    </row>
    <row r="3433" spans="1:25" x14ac:dyDescent="0.2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 t="shared" si="212"/>
        <v>1</v>
      </c>
      <c r="W3433">
        <f t="shared" si="213"/>
        <v>0</v>
      </c>
      <c r="X3433" t="str">
        <f t="shared" si="214"/>
        <v>13-24 Months</v>
      </c>
      <c r="Y3433" s="1" t="str">
        <f t="shared" si="215"/>
        <v>High</v>
      </c>
    </row>
    <row r="3434" spans="1:25" x14ac:dyDescent="0.2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 t="shared" si="212"/>
        <v>0</v>
      </c>
      <c r="W3434">
        <f t="shared" si="213"/>
        <v>1</v>
      </c>
      <c r="X3434" t="str">
        <f t="shared" si="214"/>
        <v>49+ Months</v>
      </c>
      <c r="Y3434" s="1" t="str">
        <f t="shared" si="215"/>
        <v>High</v>
      </c>
    </row>
    <row r="3435" spans="1:25" x14ac:dyDescent="0.2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 t="shared" si="212"/>
        <v>0</v>
      </c>
      <c r="W3435">
        <f t="shared" si="213"/>
        <v>1</v>
      </c>
      <c r="X3435" t="str">
        <f t="shared" si="214"/>
        <v>49+ Months</v>
      </c>
      <c r="Y3435" s="1" t="str">
        <f t="shared" si="215"/>
        <v>High</v>
      </c>
    </row>
    <row r="3436" spans="1:25" x14ac:dyDescent="0.2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 t="shared" si="212"/>
        <v>0</v>
      </c>
      <c r="W3436">
        <f t="shared" si="213"/>
        <v>1</v>
      </c>
      <c r="X3436" t="str">
        <f t="shared" si="214"/>
        <v>0-12 Months</v>
      </c>
      <c r="Y3436" s="1" t="str">
        <f t="shared" si="215"/>
        <v>Medium</v>
      </c>
    </row>
    <row r="3437" spans="1:25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 t="shared" si="212"/>
        <v>0</v>
      </c>
      <c r="W3437">
        <f t="shared" si="213"/>
        <v>1</v>
      </c>
      <c r="X3437" t="str">
        <f t="shared" si="214"/>
        <v>0-12 Months</v>
      </c>
      <c r="Y3437" s="1" t="str">
        <f t="shared" si="215"/>
        <v>Medium</v>
      </c>
    </row>
    <row r="3438" spans="1:25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 t="shared" si="212"/>
        <v>0</v>
      </c>
      <c r="W3438">
        <f t="shared" si="213"/>
        <v>1</v>
      </c>
      <c r="X3438" t="str">
        <f t="shared" si="214"/>
        <v>25-48 Months</v>
      </c>
      <c r="Y3438" s="1" t="str">
        <f t="shared" si="215"/>
        <v>Low</v>
      </c>
    </row>
    <row r="3439" spans="1:25" x14ac:dyDescent="0.2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 t="shared" si="212"/>
        <v>0</v>
      </c>
      <c r="W3439">
        <f t="shared" si="213"/>
        <v>1</v>
      </c>
      <c r="X3439" t="str">
        <f t="shared" si="214"/>
        <v>25-48 Months</v>
      </c>
      <c r="Y3439" s="1" t="str">
        <f t="shared" si="215"/>
        <v>Medium</v>
      </c>
    </row>
    <row r="3440" spans="1:25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 t="shared" si="212"/>
        <v>1</v>
      </c>
      <c r="W3440">
        <f t="shared" si="213"/>
        <v>0</v>
      </c>
      <c r="X3440" t="str">
        <f t="shared" si="214"/>
        <v>13-24 Months</v>
      </c>
      <c r="Y3440" s="1" t="str">
        <f t="shared" si="215"/>
        <v>High</v>
      </c>
    </row>
    <row r="3441" spans="1:25" x14ac:dyDescent="0.2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 t="shared" si="212"/>
        <v>1</v>
      </c>
      <c r="W3441">
        <f t="shared" si="213"/>
        <v>0</v>
      </c>
      <c r="X3441" t="str">
        <f t="shared" si="214"/>
        <v>49+ Months</v>
      </c>
      <c r="Y3441" s="1" t="str">
        <f t="shared" si="215"/>
        <v>High</v>
      </c>
    </row>
    <row r="3442" spans="1:25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 t="shared" si="212"/>
        <v>0</v>
      </c>
      <c r="W3442">
        <f t="shared" si="213"/>
        <v>1</v>
      </c>
      <c r="X3442" t="str">
        <f t="shared" si="214"/>
        <v>49+ Months</v>
      </c>
      <c r="Y3442" s="1" t="str">
        <f t="shared" si="215"/>
        <v>High</v>
      </c>
    </row>
    <row r="3443" spans="1:25" x14ac:dyDescent="0.2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 t="shared" si="212"/>
        <v>0</v>
      </c>
      <c r="W3443">
        <f t="shared" si="213"/>
        <v>1</v>
      </c>
      <c r="X3443" t="str">
        <f t="shared" si="214"/>
        <v>25-48 Months</v>
      </c>
      <c r="Y3443" s="1" t="str">
        <f t="shared" si="215"/>
        <v>Medium</v>
      </c>
    </row>
    <row r="3444" spans="1:25" x14ac:dyDescent="0.2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 t="shared" si="212"/>
        <v>0</v>
      </c>
      <c r="W3444">
        <f t="shared" si="213"/>
        <v>1</v>
      </c>
      <c r="X3444" t="str">
        <f t="shared" si="214"/>
        <v>25-48 Months</v>
      </c>
      <c r="Y3444" s="1" t="str">
        <f t="shared" si="215"/>
        <v>High</v>
      </c>
    </row>
    <row r="3445" spans="1:25" x14ac:dyDescent="0.2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 t="shared" si="212"/>
        <v>0</v>
      </c>
      <c r="W3445">
        <f t="shared" si="213"/>
        <v>1</v>
      </c>
      <c r="X3445" t="str">
        <f t="shared" si="214"/>
        <v>25-48 Months</v>
      </c>
      <c r="Y3445" s="1" t="str">
        <f t="shared" si="215"/>
        <v>High</v>
      </c>
    </row>
    <row r="3446" spans="1:25" x14ac:dyDescent="0.2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 t="shared" si="212"/>
        <v>0</v>
      </c>
      <c r="W3446">
        <f t="shared" si="213"/>
        <v>1</v>
      </c>
      <c r="X3446" t="str">
        <f t="shared" si="214"/>
        <v>25-48 Months</v>
      </c>
      <c r="Y3446" s="1" t="str">
        <f t="shared" si="215"/>
        <v>Low</v>
      </c>
    </row>
    <row r="3447" spans="1:25" x14ac:dyDescent="0.2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 t="shared" si="212"/>
        <v>0</v>
      </c>
      <c r="W3447">
        <f t="shared" si="213"/>
        <v>1</v>
      </c>
      <c r="X3447" t="str">
        <f t="shared" si="214"/>
        <v>25-48 Months</v>
      </c>
      <c r="Y3447" s="1" t="str">
        <f t="shared" si="215"/>
        <v>High</v>
      </c>
    </row>
    <row r="3448" spans="1:25" x14ac:dyDescent="0.2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 t="shared" si="212"/>
        <v>0</v>
      </c>
      <c r="W3448">
        <f t="shared" si="213"/>
        <v>1</v>
      </c>
      <c r="X3448" t="str">
        <f t="shared" si="214"/>
        <v>49+ Months</v>
      </c>
      <c r="Y3448" s="1" t="str">
        <f t="shared" si="215"/>
        <v>High</v>
      </c>
    </row>
    <row r="3449" spans="1:25" x14ac:dyDescent="0.2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 t="shared" si="212"/>
        <v>0</v>
      </c>
      <c r="W3449">
        <f t="shared" si="213"/>
        <v>1</v>
      </c>
      <c r="X3449" t="str">
        <f t="shared" si="214"/>
        <v>25-48 Months</v>
      </c>
      <c r="Y3449" s="1" t="str">
        <f t="shared" si="215"/>
        <v>High</v>
      </c>
    </row>
    <row r="3450" spans="1:25" x14ac:dyDescent="0.2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 t="shared" si="212"/>
        <v>1</v>
      </c>
      <c r="W3450">
        <f t="shared" si="213"/>
        <v>0</v>
      </c>
      <c r="X3450" t="str">
        <f t="shared" si="214"/>
        <v>0-12 Months</v>
      </c>
      <c r="Y3450" s="1" t="str">
        <f t="shared" si="215"/>
        <v>Medium</v>
      </c>
    </row>
    <row r="3451" spans="1:25" x14ac:dyDescent="0.2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 t="shared" si="212"/>
        <v>0</v>
      </c>
      <c r="W3451">
        <f t="shared" si="213"/>
        <v>1</v>
      </c>
      <c r="X3451" t="str">
        <f t="shared" si="214"/>
        <v>49+ Months</v>
      </c>
      <c r="Y3451" s="1" t="str">
        <f t="shared" si="215"/>
        <v>High</v>
      </c>
    </row>
    <row r="3452" spans="1:25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 t="shared" si="212"/>
        <v>0</v>
      </c>
      <c r="W3452">
        <f t="shared" si="213"/>
        <v>1</v>
      </c>
      <c r="X3452" t="str">
        <f t="shared" si="214"/>
        <v>49+ Months</v>
      </c>
      <c r="Y3452" s="1" t="str">
        <f t="shared" si="215"/>
        <v>High</v>
      </c>
    </row>
    <row r="3453" spans="1:25" x14ac:dyDescent="0.2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 t="shared" si="212"/>
        <v>0</v>
      </c>
      <c r="W3453">
        <f t="shared" si="213"/>
        <v>1</v>
      </c>
      <c r="X3453" t="str">
        <f t="shared" si="214"/>
        <v>49+ Months</v>
      </c>
      <c r="Y3453" s="1" t="str">
        <f t="shared" si="215"/>
        <v>Medium</v>
      </c>
    </row>
    <row r="3454" spans="1:25" x14ac:dyDescent="0.2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 t="shared" si="212"/>
        <v>0</v>
      </c>
      <c r="W3454">
        <f t="shared" si="213"/>
        <v>1</v>
      </c>
      <c r="X3454" t="str">
        <f t="shared" si="214"/>
        <v>0-12 Months</v>
      </c>
      <c r="Y3454" s="1" t="str">
        <f t="shared" si="215"/>
        <v>Low</v>
      </c>
    </row>
    <row r="3455" spans="1:25" x14ac:dyDescent="0.2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 t="shared" si="212"/>
        <v>0</v>
      </c>
      <c r="W3455">
        <f t="shared" si="213"/>
        <v>1</v>
      </c>
      <c r="X3455" t="str">
        <f t="shared" si="214"/>
        <v>49+ Months</v>
      </c>
      <c r="Y3455" s="1" t="str">
        <f t="shared" si="215"/>
        <v>High</v>
      </c>
    </row>
    <row r="3456" spans="1:25" x14ac:dyDescent="0.2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 t="shared" si="212"/>
        <v>0</v>
      </c>
      <c r="W3456">
        <f t="shared" si="213"/>
        <v>1</v>
      </c>
      <c r="X3456" t="str">
        <f t="shared" si="214"/>
        <v>25-48 Months</v>
      </c>
      <c r="Y3456" s="1" t="str">
        <f t="shared" si="215"/>
        <v>Low</v>
      </c>
    </row>
    <row r="3457" spans="1:25" x14ac:dyDescent="0.2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 t="shared" si="212"/>
        <v>1</v>
      </c>
      <c r="W3457">
        <f t="shared" si="213"/>
        <v>0</v>
      </c>
      <c r="X3457" t="str">
        <f t="shared" si="214"/>
        <v>0-12 Months</v>
      </c>
      <c r="Y3457" s="1" t="str">
        <f t="shared" si="215"/>
        <v>High</v>
      </c>
    </row>
    <row r="3458" spans="1:25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 t="shared" ref="V3458:V3521" si="216">IF(U3458="Yes",1,0)</f>
        <v>0</v>
      </c>
      <c r="W3458">
        <f t="shared" ref="W3458:W3521" si="217">IF(U3458="No",1,0)</f>
        <v>1</v>
      </c>
      <c r="X3458" t="str">
        <f t="shared" ref="X3458:X3521" si="218">IF(F3458&lt;=12,"0-12 Months",IF(F3458&lt;=24,"13-24 Months",IF(F3458&lt;=48,"25-48 Months","49+ Months")))</f>
        <v>49+ Months</v>
      </c>
      <c r="Y3458" s="1" t="str">
        <f t="shared" ref="Y3458:Y3521" si="219">IF(S3458&lt;50,"Low",IF(S3458&lt;80,"Medium","High"))</f>
        <v>High</v>
      </c>
    </row>
    <row r="3459" spans="1:25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 t="shared" si="216"/>
        <v>0</v>
      </c>
      <c r="W3459">
        <f t="shared" si="217"/>
        <v>1</v>
      </c>
      <c r="X3459" t="str">
        <f t="shared" si="218"/>
        <v>0-12 Months</v>
      </c>
      <c r="Y3459" s="1" t="str">
        <f t="shared" si="219"/>
        <v>Low</v>
      </c>
    </row>
    <row r="3460" spans="1:25" x14ac:dyDescent="0.2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 t="shared" si="216"/>
        <v>1</v>
      </c>
      <c r="W3460">
        <f t="shared" si="217"/>
        <v>0</v>
      </c>
      <c r="X3460" t="str">
        <f t="shared" si="218"/>
        <v>25-48 Months</v>
      </c>
      <c r="Y3460" s="1" t="str">
        <f t="shared" si="219"/>
        <v>High</v>
      </c>
    </row>
    <row r="3461" spans="1:25" x14ac:dyDescent="0.2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 t="shared" si="216"/>
        <v>0</v>
      </c>
      <c r="W3461">
        <f t="shared" si="217"/>
        <v>1</v>
      </c>
      <c r="X3461" t="str">
        <f t="shared" si="218"/>
        <v>25-48 Months</v>
      </c>
      <c r="Y3461" s="1" t="str">
        <f t="shared" si="219"/>
        <v>Low</v>
      </c>
    </row>
    <row r="3462" spans="1:25" x14ac:dyDescent="0.2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 t="shared" si="216"/>
        <v>0</v>
      </c>
      <c r="W3462">
        <f t="shared" si="217"/>
        <v>1</v>
      </c>
      <c r="X3462" t="str">
        <f t="shared" si="218"/>
        <v>25-48 Months</v>
      </c>
      <c r="Y3462" s="1" t="str">
        <f t="shared" si="219"/>
        <v>High</v>
      </c>
    </row>
    <row r="3463" spans="1:25" x14ac:dyDescent="0.2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 t="shared" si="216"/>
        <v>0</v>
      </c>
      <c r="W3463">
        <f t="shared" si="217"/>
        <v>1</v>
      </c>
      <c r="X3463" t="str">
        <f t="shared" si="218"/>
        <v>49+ Months</v>
      </c>
      <c r="Y3463" s="1" t="str">
        <f t="shared" si="219"/>
        <v>Medium</v>
      </c>
    </row>
    <row r="3464" spans="1:25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 t="shared" si="216"/>
        <v>1</v>
      </c>
      <c r="W3464">
        <f t="shared" si="217"/>
        <v>0</v>
      </c>
      <c r="X3464" t="str">
        <f t="shared" si="218"/>
        <v>0-12 Months</v>
      </c>
      <c r="Y3464" s="1" t="str">
        <f t="shared" si="219"/>
        <v>High</v>
      </c>
    </row>
    <row r="3465" spans="1:25" x14ac:dyDescent="0.2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 t="shared" si="216"/>
        <v>0</v>
      </c>
      <c r="W3465">
        <f t="shared" si="217"/>
        <v>1</v>
      </c>
      <c r="X3465" t="str">
        <f t="shared" si="218"/>
        <v>25-48 Months</v>
      </c>
      <c r="Y3465" s="1" t="str">
        <f t="shared" si="219"/>
        <v>High</v>
      </c>
    </row>
    <row r="3466" spans="1:25" x14ac:dyDescent="0.2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 t="shared" si="216"/>
        <v>0</v>
      </c>
      <c r="W3466">
        <f t="shared" si="217"/>
        <v>1</v>
      </c>
      <c r="X3466" t="str">
        <f t="shared" si="218"/>
        <v>25-48 Months</v>
      </c>
      <c r="Y3466" s="1" t="str">
        <f t="shared" si="219"/>
        <v>High</v>
      </c>
    </row>
    <row r="3467" spans="1:25" x14ac:dyDescent="0.2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 t="shared" si="216"/>
        <v>0</v>
      </c>
      <c r="W3467">
        <f t="shared" si="217"/>
        <v>1</v>
      </c>
      <c r="X3467" t="str">
        <f t="shared" si="218"/>
        <v>0-12 Months</v>
      </c>
      <c r="Y3467" s="1" t="str">
        <f t="shared" si="219"/>
        <v>Low</v>
      </c>
    </row>
    <row r="3468" spans="1:25" x14ac:dyDescent="0.2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 t="shared" si="216"/>
        <v>0</v>
      </c>
      <c r="W3468">
        <f t="shared" si="217"/>
        <v>1</v>
      </c>
      <c r="X3468" t="str">
        <f t="shared" si="218"/>
        <v>49+ Months</v>
      </c>
      <c r="Y3468" s="1" t="str">
        <f t="shared" si="219"/>
        <v>Low</v>
      </c>
    </row>
    <row r="3469" spans="1:25" x14ac:dyDescent="0.2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 t="shared" si="216"/>
        <v>1</v>
      </c>
      <c r="W3469">
        <f t="shared" si="217"/>
        <v>0</v>
      </c>
      <c r="X3469" t="str">
        <f t="shared" si="218"/>
        <v>0-12 Months</v>
      </c>
      <c r="Y3469" s="1" t="str">
        <f t="shared" si="219"/>
        <v>High</v>
      </c>
    </row>
    <row r="3470" spans="1:25" x14ac:dyDescent="0.2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 t="shared" si="216"/>
        <v>0</v>
      </c>
      <c r="W3470">
        <f t="shared" si="217"/>
        <v>1</v>
      </c>
      <c r="X3470" t="str">
        <f t="shared" si="218"/>
        <v>0-12 Months</v>
      </c>
      <c r="Y3470" s="1" t="str">
        <f t="shared" si="219"/>
        <v>Low</v>
      </c>
    </row>
    <row r="3471" spans="1:25" x14ac:dyDescent="0.2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 t="shared" si="216"/>
        <v>0</v>
      </c>
      <c r="W3471">
        <f t="shared" si="217"/>
        <v>1</v>
      </c>
      <c r="X3471" t="str">
        <f t="shared" si="218"/>
        <v>13-24 Months</v>
      </c>
      <c r="Y3471" s="1" t="str">
        <f t="shared" si="219"/>
        <v>High</v>
      </c>
    </row>
    <row r="3472" spans="1:25" x14ac:dyDescent="0.2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 t="shared" si="216"/>
        <v>0</v>
      </c>
      <c r="W3472">
        <f t="shared" si="217"/>
        <v>1</v>
      </c>
      <c r="X3472" t="str">
        <f t="shared" si="218"/>
        <v>0-12 Months</v>
      </c>
      <c r="Y3472" s="1" t="str">
        <f t="shared" si="219"/>
        <v>Medium</v>
      </c>
    </row>
    <row r="3473" spans="1:25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 t="shared" si="216"/>
        <v>0</v>
      </c>
      <c r="W3473">
        <f t="shared" si="217"/>
        <v>1</v>
      </c>
      <c r="X3473" t="str">
        <f t="shared" si="218"/>
        <v>25-48 Months</v>
      </c>
      <c r="Y3473" s="1" t="str">
        <f t="shared" si="219"/>
        <v>Low</v>
      </c>
    </row>
    <row r="3474" spans="1:25" x14ac:dyDescent="0.2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 t="shared" si="216"/>
        <v>0</v>
      </c>
      <c r="W3474">
        <f t="shared" si="217"/>
        <v>1</v>
      </c>
      <c r="X3474" t="str">
        <f t="shared" si="218"/>
        <v>49+ Months</v>
      </c>
      <c r="Y3474" s="1" t="str">
        <f t="shared" si="219"/>
        <v>High</v>
      </c>
    </row>
    <row r="3475" spans="1:25" x14ac:dyDescent="0.2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 t="shared" si="216"/>
        <v>1</v>
      </c>
      <c r="W3475">
        <f t="shared" si="217"/>
        <v>0</v>
      </c>
      <c r="X3475" t="str">
        <f t="shared" si="218"/>
        <v>25-48 Months</v>
      </c>
      <c r="Y3475" s="1" t="str">
        <f t="shared" si="219"/>
        <v>High</v>
      </c>
    </row>
    <row r="3476" spans="1:25" x14ac:dyDescent="0.2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 t="shared" si="216"/>
        <v>0</v>
      </c>
      <c r="W3476">
        <f t="shared" si="217"/>
        <v>1</v>
      </c>
      <c r="X3476" t="str">
        <f t="shared" si="218"/>
        <v>49+ Months</v>
      </c>
      <c r="Y3476" s="1" t="str">
        <f t="shared" si="219"/>
        <v>High</v>
      </c>
    </row>
    <row r="3477" spans="1:25" x14ac:dyDescent="0.2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 t="shared" si="216"/>
        <v>0</v>
      </c>
      <c r="W3477">
        <f t="shared" si="217"/>
        <v>1</v>
      </c>
      <c r="X3477" t="str">
        <f t="shared" si="218"/>
        <v>0-12 Months</v>
      </c>
      <c r="Y3477" s="1" t="str">
        <f t="shared" si="219"/>
        <v>Low</v>
      </c>
    </row>
    <row r="3478" spans="1:25" x14ac:dyDescent="0.2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 t="shared" si="216"/>
        <v>0</v>
      </c>
      <c r="W3478">
        <f t="shared" si="217"/>
        <v>1</v>
      </c>
      <c r="X3478" t="str">
        <f t="shared" si="218"/>
        <v>49+ Months</v>
      </c>
      <c r="Y3478" s="1" t="str">
        <f t="shared" si="219"/>
        <v>High</v>
      </c>
    </row>
    <row r="3479" spans="1:25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 t="shared" si="216"/>
        <v>0</v>
      </c>
      <c r="W3479">
        <f t="shared" si="217"/>
        <v>1</v>
      </c>
      <c r="X3479" t="str">
        <f t="shared" si="218"/>
        <v>13-24 Months</v>
      </c>
      <c r="Y3479" s="1" t="str">
        <f t="shared" si="219"/>
        <v>Medium</v>
      </c>
    </row>
    <row r="3480" spans="1:25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 t="shared" si="216"/>
        <v>0</v>
      </c>
      <c r="W3480">
        <f t="shared" si="217"/>
        <v>1</v>
      </c>
      <c r="X3480" t="str">
        <f t="shared" si="218"/>
        <v>13-24 Months</v>
      </c>
      <c r="Y3480" s="1" t="str">
        <f t="shared" si="219"/>
        <v>Medium</v>
      </c>
    </row>
    <row r="3481" spans="1:25" x14ac:dyDescent="0.2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 t="shared" si="216"/>
        <v>1</v>
      </c>
      <c r="W3481">
        <f t="shared" si="217"/>
        <v>0</v>
      </c>
      <c r="X3481" t="str">
        <f t="shared" si="218"/>
        <v>0-12 Months</v>
      </c>
      <c r="Y3481" s="1" t="str">
        <f t="shared" si="219"/>
        <v>Low</v>
      </c>
    </row>
    <row r="3482" spans="1:25" x14ac:dyDescent="0.2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 t="shared" si="216"/>
        <v>0</v>
      </c>
      <c r="W3482">
        <f t="shared" si="217"/>
        <v>1</v>
      </c>
      <c r="X3482" t="str">
        <f t="shared" si="218"/>
        <v>49+ Months</v>
      </c>
      <c r="Y3482" s="1" t="str">
        <f t="shared" si="219"/>
        <v>Low</v>
      </c>
    </row>
    <row r="3483" spans="1:25" x14ac:dyDescent="0.2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 t="shared" si="216"/>
        <v>0</v>
      </c>
      <c r="W3483">
        <f t="shared" si="217"/>
        <v>1</v>
      </c>
      <c r="X3483" t="str">
        <f t="shared" si="218"/>
        <v>0-12 Months</v>
      </c>
      <c r="Y3483" s="1" t="str">
        <f t="shared" si="219"/>
        <v>Medium</v>
      </c>
    </row>
    <row r="3484" spans="1:25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 t="shared" si="216"/>
        <v>0</v>
      </c>
      <c r="W3484">
        <f t="shared" si="217"/>
        <v>1</v>
      </c>
      <c r="X3484" t="str">
        <f t="shared" si="218"/>
        <v>13-24 Months</v>
      </c>
      <c r="Y3484" s="1" t="str">
        <f t="shared" si="219"/>
        <v>Low</v>
      </c>
    </row>
    <row r="3485" spans="1:25" x14ac:dyDescent="0.2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 t="shared" si="216"/>
        <v>0</v>
      </c>
      <c r="W3485">
        <f t="shared" si="217"/>
        <v>1</v>
      </c>
      <c r="X3485" t="str">
        <f t="shared" si="218"/>
        <v>13-24 Months</v>
      </c>
      <c r="Y3485" s="1" t="str">
        <f t="shared" si="219"/>
        <v>Medium</v>
      </c>
    </row>
    <row r="3486" spans="1:25" x14ac:dyDescent="0.2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 t="shared" si="216"/>
        <v>0</v>
      </c>
      <c r="W3486">
        <f t="shared" si="217"/>
        <v>1</v>
      </c>
      <c r="X3486" t="str">
        <f t="shared" si="218"/>
        <v>25-48 Months</v>
      </c>
      <c r="Y3486" s="1" t="str">
        <f t="shared" si="219"/>
        <v>High</v>
      </c>
    </row>
    <row r="3487" spans="1:25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 t="shared" si="216"/>
        <v>1</v>
      </c>
      <c r="W3487">
        <f t="shared" si="217"/>
        <v>0</v>
      </c>
      <c r="X3487" t="str">
        <f t="shared" si="218"/>
        <v>0-12 Months</v>
      </c>
      <c r="Y3487" s="1" t="str">
        <f t="shared" si="219"/>
        <v>Medium</v>
      </c>
    </row>
    <row r="3488" spans="1:25" x14ac:dyDescent="0.2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 t="shared" si="216"/>
        <v>0</v>
      </c>
      <c r="W3488">
        <f t="shared" si="217"/>
        <v>1</v>
      </c>
      <c r="X3488" t="str">
        <f t="shared" si="218"/>
        <v>25-48 Months</v>
      </c>
      <c r="Y3488" s="1" t="str">
        <f t="shared" si="219"/>
        <v>High</v>
      </c>
    </row>
    <row r="3489" spans="1:25" x14ac:dyDescent="0.2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 t="shared" si="216"/>
        <v>0</v>
      </c>
      <c r="W3489">
        <f t="shared" si="217"/>
        <v>1</v>
      </c>
      <c r="X3489" t="str">
        <f t="shared" si="218"/>
        <v>49+ Months</v>
      </c>
      <c r="Y3489" s="1" t="str">
        <f t="shared" si="219"/>
        <v>Low</v>
      </c>
    </row>
    <row r="3490" spans="1:25" x14ac:dyDescent="0.2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 t="shared" si="216"/>
        <v>0</v>
      </c>
      <c r="W3490">
        <f t="shared" si="217"/>
        <v>1</v>
      </c>
      <c r="X3490" t="str">
        <f t="shared" si="218"/>
        <v>0-12 Months</v>
      </c>
      <c r="Y3490" s="1" t="str">
        <f t="shared" si="219"/>
        <v>Medium</v>
      </c>
    </row>
    <row r="3491" spans="1:25" x14ac:dyDescent="0.2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 t="shared" si="216"/>
        <v>0</v>
      </c>
      <c r="W3491">
        <f t="shared" si="217"/>
        <v>1</v>
      </c>
      <c r="X3491" t="str">
        <f t="shared" si="218"/>
        <v>25-48 Months</v>
      </c>
      <c r="Y3491" s="1" t="str">
        <f t="shared" si="219"/>
        <v>High</v>
      </c>
    </row>
    <row r="3492" spans="1:25" x14ac:dyDescent="0.2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 t="shared" si="216"/>
        <v>1</v>
      </c>
      <c r="W3492">
        <f t="shared" si="217"/>
        <v>0</v>
      </c>
      <c r="X3492" t="str">
        <f t="shared" si="218"/>
        <v>0-12 Months</v>
      </c>
      <c r="Y3492" s="1" t="str">
        <f t="shared" si="219"/>
        <v>Medium</v>
      </c>
    </row>
    <row r="3493" spans="1:25" x14ac:dyDescent="0.2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 t="shared" si="216"/>
        <v>0</v>
      </c>
      <c r="W3493">
        <f t="shared" si="217"/>
        <v>1</v>
      </c>
      <c r="X3493" t="str">
        <f t="shared" si="218"/>
        <v>25-48 Months</v>
      </c>
      <c r="Y3493" s="1" t="str">
        <f t="shared" si="219"/>
        <v>Medium</v>
      </c>
    </row>
    <row r="3494" spans="1:25" x14ac:dyDescent="0.2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 t="shared" si="216"/>
        <v>0</v>
      </c>
      <c r="W3494">
        <f t="shared" si="217"/>
        <v>1</v>
      </c>
      <c r="X3494" t="str">
        <f t="shared" si="218"/>
        <v>0-12 Months</v>
      </c>
      <c r="Y3494" s="1" t="str">
        <f t="shared" si="219"/>
        <v>Low</v>
      </c>
    </row>
    <row r="3495" spans="1:25" x14ac:dyDescent="0.2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 t="shared" si="216"/>
        <v>0</v>
      </c>
      <c r="W3495">
        <f t="shared" si="217"/>
        <v>1</v>
      </c>
      <c r="X3495" t="str">
        <f t="shared" si="218"/>
        <v>0-12 Months</v>
      </c>
      <c r="Y3495" s="1" t="str">
        <f t="shared" si="219"/>
        <v>Low</v>
      </c>
    </row>
    <row r="3496" spans="1:25" x14ac:dyDescent="0.2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 t="shared" si="216"/>
        <v>1</v>
      </c>
      <c r="W3496">
        <f t="shared" si="217"/>
        <v>0</v>
      </c>
      <c r="X3496" t="str">
        <f t="shared" si="218"/>
        <v>0-12 Months</v>
      </c>
      <c r="Y3496" s="1" t="str">
        <f t="shared" si="219"/>
        <v>High</v>
      </c>
    </row>
    <row r="3497" spans="1:25" x14ac:dyDescent="0.2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 t="shared" si="216"/>
        <v>1</v>
      </c>
      <c r="W3497">
        <f t="shared" si="217"/>
        <v>0</v>
      </c>
      <c r="X3497" t="str">
        <f t="shared" si="218"/>
        <v>0-12 Months</v>
      </c>
      <c r="Y3497" s="1" t="str">
        <f t="shared" si="219"/>
        <v>Medium</v>
      </c>
    </row>
    <row r="3498" spans="1:25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 t="shared" si="216"/>
        <v>0</v>
      </c>
      <c r="W3498">
        <f t="shared" si="217"/>
        <v>1</v>
      </c>
      <c r="X3498" t="str">
        <f t="shared" si="218"/>
        <v>25-48 Months</v>
      </c>
      <c r="Y3498" s="1" t="str">
        <f t="shared" si="219"/>
        <v>Medium</v>
      </c>
    </row>
    <row r="3499" spans="1:25" x14ac:dyDescent="0.2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 t="shared" si="216"/>
        <v>0</v>
      </c>
      <c r="W3499">
        <f t="shared" si="217"/>
        <v>1</v>
      </c>
      <c r="X3499" t="str">
        <f t="shared" si="218"/>
        <v>0-12 Months</v>
      </c>
      <c r="Y3499" s="1" t="str">
        <f t="shared" si="219"/>
        <v>Medium</v>
      </c>
    </row>
    <row r="3500" spans="1:25" x14ac:dyDescent="0.2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 t="shared" si="216"/>
        <v>1</v>
      </c>
      <c r="W3500">
        <f t="shared" si="217"/>
        <v>0</v>
      </c>
      <c r="X3500" t="str">
        <f t="shared" si="218"/>
        <v>25-48 Months</v>
      </c>
      <c r="Y3500" s="1" t="str">
        <f t="shared" si="219"/>
        <v>Medium</v>
      </c>
    </row>
    <row r="3501" spans="1:25" x14ac:dyDescent="0.2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 t="shared" si="216"/>
        <v>1</v>
      </c>
      <c r="W3501">
        <f t="shared" si="217"/>
        <v>0</v>
      </c>
      <c r="X3501" t="str">
        <f t="shared" si="218"/>
        <v>0-12 Months</v>
      </c>
      <c r="Y3501" s="1" t="str">
        <f t="shared" si="219"/>
        <v>Low</v>
      </c>
    </row>
    <row r="3502" spans="1:25" x14ac:dyDescent="0.2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 t="shared" si="216"/>
        <v>0</v>
      </c>
      <c r="W3502">
        <f t="shared" si="217"/>
        <v>1</v>
      </c>
      <c r="X3502" t="str">
        <f t="shared" si="218"/>
        <v>49+ Months</v>
      </c>
      <c r="Y3502" s="1" t="str">
        <f t="shared" si="219"/>
        <v>High</v>
      </c>
    </row>
    <row r="3503" spans="1:25" x14ac:dyDescent="0.2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 t="shared" si="216"/>
        <v>0</v>
      </c>
      <c r="W3503">
        <f t="shared" si="217"/>
        <v>1</v>
      </c>
      <c r="X3503" t="str">
        <f t="shared" si="218"/>
        <v>49+ Months</v>
      </c>
      <c r="Y3503" s="1" t="str">
        <f t="shared" si="219"/>
        <v>Medium</v>
      </c>
    </row>
    <row r="3504" spans="1:25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 t="shared" si="216"/>
        <v>0</v>
      </c>
      <c r="W3504">
        <f t="shared" si="217"/>
        <v>1</v>
      </c>
      <c r="X3504" t="str">
        <f t="shared" si="218"/>
        <v>25-48 Months</v>
      </c>
      <c r="Y3504" s="1" t="str">
        <f t="shared" si="219"/>
        <v>Medium</v>
      </c>
    </row>
    <row r="3505" spans="1:25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 t="shared" si="216"/>
        <v>0</v>
      </c>
      <c r="W3505">
        <f t="shared" si="217"/>
        <v>1</v>
      </c>
      <c r="X3505" t="str">
        <f t="shared" si="218"/>
        <v>49+ Months</v>
      </c>
      <c r="Y3505" s="1" t="str">
        <f t="shared" si="219"/>
        <v>High</v>
      </c>
    </row>
    <row r="3506" spans="1:25" x14ac:dyDescent="0.2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 t="shared" si="216"/>
        <v>0</v>
      </c>
      <c r="W3506">
        <f t="shared" si="217"/>
        <v>1</v>
      </c>
      <c r="X3506" t="str">
        <f t="shared" si="218"/>
        <v>49+ Months</v>
      </c>
      <c r="Y3506" s="1" t="str">
        <f t="shared" si="219"/>
        <v>Low</v>
      </c>
    </row>
    <row r="3507" spans="1:25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 t="shared" si="216"/>
        <v>0</v>
      </c>
      <c r="W3507">
        <f t="shared" si="217"/>
        <v>1</v>
      </c>
      <c r="X3507" t="str">
        <f t="shared" si="218"/>
        <v>0-12 Months</v>
      </c>
      <c r="Y3507" s="1" t="str">
        <f t="shared" si="219"/>
        <v>Low</v>
      </c>
    </row>
    <row r="3508" spans="1:25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 t="shared" si="216"/>
        <v>0</v>
      </c>
      <c r="W3508">
        <f t="shared" si="217"/>
        <v>1</v>
      </c>
      <c r="X3508" t="str">
        <f t="shared" si="218"/>
        <v>13-24 Months</v>
      </c>
      <c r="Y3508" s="1" t="str">
        <f t="shared" si="219"/>
        <v>High</v>
      </c>
    </row>
    <row r="3509" spans="1:25" x14ac:dyDescent="0.2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 t="shared" si="216"/>
        <v>0</v>
      </c>
      <c r="W3509">
        <f t="shared" si="217"/>
        <v>1</v>
      </c>
      <c r="X3509" t="str">
        <f t="shared" si="218"/>
        <v>0-12 Months</v>
      </c>
      <c r="Y3509" s="1" t="str">
        <f t="shared" si="219"/>
        <v>Low</v>
      </c>
    </row>
    <row r="3510" spans="1:25" x14ac:dyDescent="0.2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 t="shared" si="216"/>
        <v>0</v>
      </c>
      <c r="W3510">
        <f t="shared" si="217"/>
        <v>1</v>
      </c>
      <c r="X3510" t="str">
        <f t="shared" si="218"/>
        <v>49+ Months</v>
      </c>
      <c r="Y3510" s="1" t="str">
        <f t="shared" si="219"/>
        <v>High</v>
      </c>
    </row>
    <row r="3511" spans="1:25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 t="shared" si="216"/>
        <v>0</v>
      </c>
      <c r="W3511">
        <f t="shared" si="217"/>
        <v>1</v>
      </c>
      <c r="X3511" t="str">
        <f t="shared" si="218"/>
        <v>0-12 Months</v>
      </c>
      <c r="Y3511" s="1" t="str">
        <f t="shared" si="219"/>
        <v>Low</v>
      </c>
    </row>
    <row r="3512" spans="1:25" x14ac:dyDescent="0.2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 t="shared" si="216"/>
        <v>0</v>
      </c>
      <c r="W3512">
        <f t="shared" si="217"/>
        <v>1</v>
      </c>
      <c r="X3512" t="str">
        <f t="shared" si="218"/>
        <v>0-12 Months</v>
      </c>
      <c r="Y3512" s="1" t="str">
        <f t="shared" si="219"/>
        <v>Medium</v>
      </c>
    </row>
    <row r="3513" spans="1:25" x14ac:dyDescent="0.2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 t="shared" si="216"/>
        <v>0</v>
      </c>
      <c r="W3513">
        <f t="shared" si="217"/>
        <v>1</v>
      </c>
      <c r="X3513" t="str">
        <f t="shared" si="218"/>
        <v>49+ Months</v>
      </c>
      <c r="Y3513" s="1" t="str">
        <f t="shared" si="219"/>
        <v>Low</v>
      </c>
    </row>
    <row r="3514" spans="1:25" x14ac:dyDescent="0.2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 t="shared" si="216"/>
        <v>0</v>
      </c>
      <c r="W3514">
        <f t="shared" si="217"/>
        <v>1</v>
      </c>
      <c r="X3514" t="str">
        <f t="shared" si="218"/>
        <v>49+ Months</v>
      </c>
      <c r="Y3514" s="1" t="str">
        <f t="shared" si="219"/>
        <v>Low</v>
      </c>
    </row>
    <row r="3515" spans="1:25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 t="shared" si="216"/>
        <v>0</v>
      </c>
      <c r="W3515">
        <f t="shared" si="217"/>
        <v>1</v>
      </c>
      <c r="X3515" t="str">
        <f t="shared" si="218"/>
        <v>0-12 Months</v>
      </c>
      <c r="Y3515" s="1" t="str">
        <f t="shared" si="219"/>
        <v>Low</v>
      </c>
    </row>
    <row r="3516" spans="1:25" x14ac:dyDescent="0.2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 t="shared" si="216"/>
        <v>0</v>
      </c>
      <c r="W3516">
        <f t="shared" si="217"/>
        <v>1</v>
      </c>
      <c r="X3516" t="str">
        <f t="shared" si="218"/>
        <v>49+ Months</v>
      </c>
      <c r="Y3516" s="1" t="str">
        <f t="shared" si="219"/>
        <v>High</v>
      </c>
    </row>
    <row r="3517" spans="1:25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 t="shared" si="216"/>
        <v>0</v>
      </c>
      <c r="W3517">
        <f t="shared" si="217"/>
        <v>1</v>
      </c>
      <c r="X3517" t="str">
        <f t="shared" si="218"/>
        <v>13-24 Months</v>
      </c>
      <c r="Y3517" s="1" t="str">
        <f t="shared" si="219"/>
        <v>Medium</v>
      </c>
    </row>
    <row r="3518" spans="1:25" x14ac:dyDescent="0.2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 t="shared" si="216"/>
        <v>1</v>
      </c>
      <c r="W3518">
        <f t="shared" si="217"/>
        <v>0</v>
      </c>
      <c r="X3518" t="str">
        <f t="shared" si="218"/>
        <v>0-12 Months</v>
      </c>
      <c r="Y3518" s="1" t="str">
        <f t="shared" si="219"/>
        <v>Low</v>
      </c>
    </row>
    <row r="3519" spans="1:25" x14ac:dyDescent="0.2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 t="shared" si="216"/>
        <v>1</v>
      </c>
      <c r="W3519">
        <f t="shared" si="217"/>
        <v>0</v>
      </c>
      <c r="X3519" t="str">
        <f t="shared" si="218"/>
        <v>49+ Months</v>
      </c>
      <c r="Y3519" s="1" t="str">
        <f t="shared" si="219"/>
        <v>High</v>
      </c>
    </row>
    <row r="3520" spans="1:25" x14ac:dyDescent="0.2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 t="shared" si="216"/>
        <v>0</v>
      </c>
      <c r="W3520">
        <f t="shared" si="217"/>
        <v>1</v>
      </c>
      <c r="X3520" t="str">
        <f t="shared" si="218"/>
        <v>0-12 Months</v>
      </c>
      <c r="Y3520" s="1" t="str">
        <f t="shared" si="219"/>
        <v>Low</v>
      </c>
    </row>
    <row r="3521" spans="1:25" x14ac:dyDescent="0.2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 t="shared" si="216"/>
        <v>0</v>
      </c>
      <c r="W3521">
        <f t="shared" si="217"/>
        <v>1</v>
      </c>
      <c r="X3521" t="str">
        <f t="shared" si="218"/>
        <v>25-48 Months</v>
      </c>
      <c r="Y3521" s="1" t="str">
        <f t="shared" si="219"/>
        <v>High</v>
      </c>
    </row>
    <row r="3522" spans="1:25" x14ac:dyDescent="0.2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 t="shared" ref="V3522:V3585" si="220">IF(U3522="Yes",1,0)</f>
        <v>0</v>
      </c>
      <c r="W3522">
        <f t="shared" ref="W3522:W3585" si="221">IF(U3522="No",1,0)</f>
        <v>1</v>
      </c>
      <c r="X3522" t="str">
        <f t="shared" ref="X3522:X3585" si="222">IF(F3522&lt;=12,"0-12 Months",IF(F3522&lt;=24,"13-24 Months",IF(F3522&lt;=48,"25-48 Months","49+ Months")))</f>
        <v>13-24 Months</v>
      </c>
      <c r="Y3522" s="1" t="str">
        <f t="shared" ref="Y3522:Y3585" si="223">IF(S3522&lt;50,"Low",IF(S3522&lt;80,"Medium","High"))</f>
        <v>Low</v>
      </c>
    </row>
    <row r="3523" spans="1:25" x14ac:dyDescent="0.2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 t="shared" si="220"/>
        <v>0</v>
      </c>
      <c r="W3523">
        <f t="shared" si="221"/>
        <v>1</v>
      </c>
      <c r="X3523" t="str">
        <f t="shared" si="222"/>
        <v>49+ Months</v>
      </c>
      <c r="Y3523" s="1" t="str">
        <f t="shared" si="223"/>
        <v>Medium</v>
      </c>
    </row>
    <row r="3524" spans="1:25" x14ac:dyDescent="0.2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 t="shared" si="220"/>
        <v>0</v>
      </c>
      <c r="W3524">
        <f t="shared" si="221"/>
        <v>1</v>
      </c>
      <c r="X3524" t="str">
        <f t="shared" si="222"/>
        <v>25-48 Months</v>
      </c>
      <c r="Y3524" s="1" t="str">
        <f t="shared" si="223"/>
        <v>Low</v>
      </c>
    </row>
    <row r="3525" spans="1:25" x14ac:dyDescent="0.2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 t="shared" si="220"/>
        <v>0</v>
      </c>
      <c r="W3525">
        <f t="shared" si="221"/>
        <v>1</v>
      </c>
      <c r="X3525" t="str">
        <f t="shared" si="222"/>
        <v>49+ Months</v>
      </c>
      <c r="Y3525" s="1" t="str">
        <f t="shared" si="223"/>
        <v>High</v>
      </c>
    </row>
    <row r="3526" spans="1:25" x14ac:dyDescent="0.2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 t="shared" si="220"/>
        <v>1</v>
      </c>
      <c r="W3526">
        <f t="shared" si="221"/>
        <v>0</v>
      </c>
      <c r="X3526" t="str">
        <f t="shared" si="222"/>
        <v>0-12 Months</v>
      </c>
      <c r="Y3526" s="1" t="str">
        <f t="shared" si="223"/>
        <v>High</v>
      </c>
    </row>
    <row r="3527" spans="1:25" x14ac:dyDescent="0.2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 t="shared" si="220"/>
        <v>1</v>
      </c>
      <c r="W3527">
        <f t="shared" si="221"/>
        <v>0</v>
      </c>
      <c r="X3527" t="str">
        <f t="shared" si="222"/>
        <v>49+ Months</v>
      </c>
      <c r="Y3527" s="1" t="str">
        <f t="shared" si="223"/>
        <v>High</v>
      </c>
    </row>
    <row r="3528" spans="1:25" x14ac:dyDescent="0.2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 t="shared" si="220"/>
        <v>1</v>
      </c>
      <c r="W3528">
        <f t="shared" si="221"/>
        <v>0</v>
      </c>
      <c r="X3528" t="str">
        <f t="shared" si="222"/>
        <v>0-12 Months</v>
      </c>
      <c r="Y3528" s="1" t="str">
        <f t="shared" si="223"/>
        <v>Medium</v>
      </c>
    </row>
    <row r="3529" spans="1:25" x14ac:dyDescent="0.2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 t="shared" si="220"/>
        <v>1</v>
      </c>
      <c r="W3529">
        <f t="shared" si="221"/>
        <v>0</v>
      </c>
      <c r="X3529" t="str">
        <f t="shared" si="222"/>
        <v>0-12 Months</v>
      </c>
      <c r="Y3529" s="1" t="str">
        <f t="shared" si="223"/>
        <v>Medium</v>
      </c>
    </row>
    <row r="3530" spans="1:25" x14ac:dyDescent="0.2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 t="shared" si="220"/>
        <v>1</v>
      </c>
      <c r="W3530">
        <f t="shared" si="221"/>
        <v>0</v>
      </c>
      <c r="X3530" t="str">
        <f t="shared" si="222"/>
        <v>13-24 Months</v>
      </c>
      <c r="Y3530" s="1" t="str">
        <f t="shared" si="223"/>
        <v>Low</v>
      </c>
    </row>
    <row r="3531" spans="1:25" x14ac:dyDescent="0.2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 t="shared" si="220"/>
        <v>0</v>
      </c>
      <c r="W3531">
        <f t="shared" si="221"/>
        <v>1</v>
      </c>
      <c r="X3531" t="str">
        <f t="shared" si="222"/>
        <v>0-12 Months</v>
      </c>
      <c r="Y3531" s="1" t="str">
        <f t="shared" si="223"/>
        <v>Medium</v>
      </c>
    </row>
    <row r="3532" spans="1:25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 t="shared" si="220"/>
        <v>0</v>
      </c>
      <c r="W3532">
        <f t="shared" si="221"/>
        <v>1</v>
      </c>
      <c r="X3532" t="str">
        <f t="shared" si="222"/>
        <v>13-24 Months</v>
      </c>
      <c r="Y3532" s="1" t="str">
        <f t="shared" si="223"/>
        <v>Medium</v>
      </c>
    </row>
    <row r="3533" spans="1:25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 t="shared" si="220"/>
        <v>0</v>
      </c>
      <c r="W3533">
        <f t="shared" si="221"/>
        <v>1</v>
      </c>
      <c r="X3533" t="str">
        <f t="shared" si="222"/>
        <v>13-24 Months</v>
      </c>
      <c r="Y3533" s="1" t="str">
        <f t="shared" si="223"/>
        <v>Low</v>
      </c>
    </row>
    <row r="3534" spans="1:25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 t="shared" si="220"/>
        <v>1</v>
      </c>
      <c r="W3534">
        <f t="shared" si="221"/>
        <v>0</v>
      </c>
      <c r="X3534" t="str">
        <f t="shared" si="222"/>
        <v>13-24 Months</v>
      </c>
      <c r="Y3534" s="1" t="str">
        <f t="shared" si="223"/>
        <v>Medium</v>
      </c>
    </row>
    <row r="3535" spans="1:25" x14ac:dyDescent="0.2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 t="shared" si="220"/>
        <v>0</v>
      </c>
      <c r="W3535">
        <f t="shared" si="221"/>
        <v>1</v>
      </c>
      <c r="X3535" t="str">
        <f t="shared" si="222"/>
        <v>0-12 Months</v>
      </c>
      <c r="Y3535" s="1" t="str">
        <f t="shared" si="223"/>
        <v>Low</v>
      </c>
    </row>
    <row r="3536" spans="1:25" x14ac:dyDescent="0.2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 t="shared" si="220"/>
        <v>1</v>
      </c>
      <c r="W3536">
        <f t="shared" si="221"/>
        <v>0</v>
      </c>
      <c r="X3536" t="str">
        <f t="shared" si="222"/>
        <v>25-48 Months</v>
      </c>
      <c r="Y3536" s="1" t="str">
        <f t="shared" si="223"/>
        <v>High</v>
      </c>
    </row>
    <row r="3537" spans="1:25" x14ac:dyDescent="0.2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 t="shared" si="220"/>
        <v>0</v>
      </c>
      <c r="W3537">
        <f t="shared" si="221"/>
        <v>1</v>
      </c>
      <c r="X3537" t="str">
        <f t="shared" si="222"/>
        <v>49+ Months</v>
      </c>
      <c r="Y3537" s="1" t="str">
        <f t="shared" si="223"/>
        <v>High</v>
      </c>
    </row>
    <row r="3538" spans="1:25" x14ac:dyDescent="0.2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 t="shared" si="220"/>
        <v>0</v>
      </c>
      <c r="W3538">
        <f t="shared" si="221"/>
        <v>1</v>
      </c>
      <c r="X3538" t="str">
        <f t="shared" si="222"/>
        <v>0-12 Months</v>
      </c>
      <c r="Y3538" s="1" t="str">
        <f t="shared" si="223"/>
        <v>Medium</v>
      </c>
    </row>
    <row r="3539" spans="1:25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 t="shared" si="220"/>
        <v>0</v>
      </c>
      <c r="W3539">
        <f t="shared" si="221"/>
        <v>1</v>
      </c>
      <c r="X3539" t="str">
        <f t="shared" si="222"/>
        <v>25-48 Months</v>
      </c>
      <c r="Y3539" s="1" t="str">
        <f t="shared" si="223"/>
        <v>Medium</v>
      </c>
    </row>
    <row r="3540" spans="1:25" x14ac:dyDescent="0.2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 t="shared" si="220"/>
        <v>0</v>
      </c>
      <c r="W3540">
        <f t="shared" si="221"/>
        <v>1</v>
      </c>
      <c r="X3540" t="str">
        <f t="shared" si="222"/>
        <v>49+ Months</v>
      </c>
      <c r="Y3540" s="1" t="str">
        <f t="shared" si="223"/>
        <v>High</v>
      </c>
    </row>
    <row r="3541" spans="1:25" x14ac:dyDescent="0.2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 t="shared" si="220"/>
        <v>1</v>
      </c>
      <c r="W3541">
        <f t="shared" si="221"/>
        <v>0</v>
      </c>
      <c r="X3541" t="str">
        <f t="shared" si="222"/>
        <v>0-12 Months</v>
      </c>
      <c r="Y3541" s="1" t="str">
        <f t="shared" si="223"/>
        <v>Low</v>
      </c>
    </row>
    <row r="3542" spans="1:25" x14ac:dyDescent="0.2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 t="shared" si="220"/>
        <v>0</v>
      </c>
      <c r="W3542">
        <f t="shared" si="221"/>
        <v>1</v>
      </c>
      <c r="X3542" t="str">
        <f t="shared" si="222"/>
        <v>49+ Months</v>
      </c>
      <c r="Y3542" s="1" t="str">
        <f t="shared" si="223"/>
        <v>High</v>
      </c>
    </row>
    <row r="3543" spans="1:25" x14ac:dyDescent="0.2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 t="shared" si="220"/>
        <v>0</v>
      </c>
      <c r="W3543">
        <f t="shared" si="221"/>
        <v>1</v>
      </c>
      <c r="X3543" t="str">
        <f t="shared" si="222"/>
        <v>49+ Months</v>
      </c>
      <c r="Y3543" s="1" t="str">
        <f t="shared" si="223"/>
        <v>Low</v>
      </c>
    </row>
    <row r="3544" spans="1:25" x14ac:dyDescent="0.2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 t="shared" si="220"/>
        <v>0</v>
      </c>
      <c r="W3544">
        <f t="shared" si="221"/>
        <v>1</v>
      </c>
      <c r="X3544" t="str">
        <f t="shared" si="222"/>
        <v>25-48 Months</v>
      </c>
      <c r="Y3544" s="1" t="str">
        <f t="shared" si="223"/>
        <v>Medium</v>
      </c>
    </row>
    <row r="3545" spans="1:25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 t="shared" si="220"/>
        <v>0</v>
      </c>
      <c r="W3545">
        <f t="shared" si="221"/>
        <v>1</v>
      </c>
      <c r="X3545" t="str">
        <f t="shared" si="222"/>
        <v>49+ Months</v>
      </c>
      <c r="Y3545" s="1" t="str">
        <f t="shared" si="223"/>
        <v>High</v>
      </c>
    </row>
    <row r="3546" spans="1:25" x14ac:dyDescent="0.2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 t="shared" si="220"/>
        <v>1</v>
      </c>
      <c r="W3546">
        <f t="shared" si="221"/>
        <v>0</v>
      </c>
      <c r="X3546" t="str">
        <f t="shared" si="222"/>
        <v>25-48 Months</v>
      </c>
      <c r="Y3546" s="1" t="str">
        <f t="shared" si="223"/>
        <v>High</v>
      </c>
    </row>
    <row r="3547" spans="1:25" x14ac:dyDescent="0.2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 t="shared" si="220"/>
        <v>0</v>
      </c>
      <c r="W3547">
        <f t="shared" si="221"/>
        <v>1</v>
      </c>
      <c r="X3547" t="str">
        <f t="shared" si="222"/>
        <v>49+ Months</v>
      </c>
      <c r="Y3547" s="1" t="str">
        <f t="shared" si="223"/>
        <v>High</v>
      </c>
    </row>
    <row r="3548" spans="1:25" x14ac:dyDescent="0.2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 t="shared" si="220"/>
        <v>0</v>
      </c>
      <c r="W3548">
        <f t="shared" si="221"/>
        <v>1</v>
      </c>
      <c r="X3548" t="str">
        <f t="shared" si="222"/>
        <v>49+ Months</v>
      </c>
      <c r="Y3548" s="1" t="str">
        <f t="shared" si="223"/>
        <v>High</v>
      </c>
    </row>
    <row r="3549" spans="1:25" x14ac:dyDescent="0.2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 t="shared" si="220"/>
        <v>0</v>
      </c>
      <c r="W3549">
        <f t="shared" si="221"/>
        <v>1</v>
      </c>
      <c r="X3549" t="str">
        <f t="shared" si="222"/>
        <v>49+ Months</v>
      </c>
      <c r="Y3549" s="1" t="str">
        <f t="shared" si="223"/>
        <v>High</v>
      </c>
    </row>
    <row r="3550" spans="1:25" x14ac:dyDescent="0.2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 t="shared" si="220"/>
        <v>0</v>
      </c>
      <c r="W3550">
        <f t="shared" si="221"/>
        <v>1</v>
      </c>
      <c r="X3550" t="str">
        <f t="shared" si="222"/>
        <v>49+ Months</v>
      </c>
      <c r="Y3550" s="1" t="str">
        <f t="shared" si="223"/>
        <v>High</v>
      </c>
    </row>
    <row r="3551" spans="1:25" x14ac:dyDescent="0.2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 t="shared" si="220"/>
        <v>0</v>
      </c>
      <c r="W3551">
        <f t="shared" si="221"/>
        <v>1</v>
      </c>
      <c r="X3551" t="str">
        <f t="shared" si="222"/>
        <v>49+ Months</v>
      </c>
      <c r="Y3551" s="1" t="str">
        <f t="shared" si="223"/>
        <v>Medium</v>
      </c>
    </row>
    <row r="3552" spans="1:25" x14ac:dyDescent="0.2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 t="shared" si="220"/>
        <v>1</v>
      </c>
      <c r="W3552">
        <f t="shared" si="221"/>
        <v>0</v>
      </c>
      <c r="X3552" t="str">
        <f t="shared" si="222"/>
        <v>25-48 Months</v>
      </c>
      <c r="Y3552" s="1" t="str">
        <f t="shared" si="223"/>
        <v>High</v>
      </c>
    </row>
    <row r="3553" spans="1:25" x14ac:dyDescent="0.2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 t="shared" si="220"/>
        <v>1</v>
      </c>
      <c r="W3553">
        <f t="shared" si="221"/>
        <v>0</v>
      </c>
      <c r="X3553" t="str">
        <f t="shared" si="222"/>
        <v>0-12 Months</v>
      </c>
      <c r="Y3553" s="1" t="str">
        <f t="shared" si="223"/>
        <v>Medium</v>
      </c>
    </row>
    <row r="3554" spans="1:25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 t="shared" si="220"/>
        <v>0</v>
      </c>
      <c r="W3554">
        <f t="shared" si="221"/>
        <v>1</v>
      </c>
      <c r="X3554" t="str">
        <f t="shared" si="222"/>
        <v>49+ Months</v>
      </c>
      <c r="Y3554" s="1" t="str">
        <f t="shared" si="223"/>
        <v>High</v>
      </c>
    </row>
    <row r="3555" spans="1:25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 t="shared" si="220"/>
        <v>0</v>
      </c>
      <c r="W3555">
        <f t="shared" si="221"/>
        <v>1</v>
      </c>
      <c r="X3555" t="str">
        <f t="shared" si="222"/>
        <v>49+ Months</v>
      </c>
      <c r="Y3555" s="1" t="str">
        <f t="shared" si="223"/>
        <v>Low</v>
      </c>
    </row>
    <row r="3556" spans="1:25" x14ac:dyDescent="0.2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 t="shared" si="220"/>
        <v>0</v>
      </c>
      <c r="W3556">
        <f t="shared" si="221"/>
        <v>1</v>
      </c>
      <c r="X3556" t="str">
        <f t="shared" si="222"/>
        <v>0-12 Months</v>
      </c>
      <c r="Y3556" s="1" t="str">
        <f t="shared" si="223"/>
        <v>Medium</v>
      </c>
    </row>
    <row r="3557" spans="1:25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 t="shared" si="220"/>
        <v>1</v>
      </c>
      <c r="W3557">
        <f t="shared" si="221"/>
        <v>0</v>
      </c>
      <c r="X3557" t="str">
        <f t="shared" si="222"/>
        <v>13-24 Months</v>
      </c>
      <c r="Y3557" s="1" t="str">
        <f t="shared" si="223"/>
        <v>High</v>
      </c>
    </row>
    <row r="3558" spans="1:25" x14ac:dyDescent="0.2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 t="shared" si="220"/>
        <v>0</v>
      </c>
      <c r="W3558">
        <f t="shared" si="221"/>
        <v>1</v>
      </c>
      <c r="X3558" t="str">
        <f t="shared" si="222"/>
        <v>0-12 Months</v>
      </c>
      <c r="Y3558" s="1" t="str">
        <f t="shared" si="223"/>
        <v>Low</v>
      </c>
    </row>
    <row r="3559" spans="1:25" x14ac:dyDescent="0.2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 t="shared" si="220"/>
        <v>0</v>
      </c>
      <c r="W3559">
        <f t="shared" si="221"/>
        <v>1</v>
      </c>
      <c r="X3559" t="str">
        <f t="shared" si="222"/>
        <v>25-48 Months</v>
      </c>
      <c r="Y3559" s="1" t="str">
        <f t="shared" si="223"/>
        <v>Medium</v>
      </c>
    </row>
    <row r="3560" spans="1:25" x14ac:dyDescent="0.2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 t="shared" si="220"/>
        <v>0</v>
      </c>
      <c r="W3560">
        <f t="shared" si="221"/>
        <v>1</v>
      </c>
      <c r="X3560" t="str">
        <f t="shared" si="222"/>
        <v>25-48 Months</v>
      </c>
      <c r="Y3560" s="1" t="str">
        <f t="shared" si="223"/>
        <v>High</v>
      </c>
    </row>
    <row r="3561" spans="1:25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 t="shared" si="220"/>
        <v>0</v>
      </c>
      <c r="W3561">
        <f t="shared" si="221"/>
        <v>1</v>
      </c>
      <c r="X3561" t="str">
        <f t="shared" si="222"/>
        <v>25-48 Months</v>
      </c>
      <c r="Y3561" s="1" t="str">
        <f t="shared" si="223"/>
        <v>Low</v>
      </c>
    </row>
    <row r="3562" spans="1:25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 t="shared" si="220"/>
        <v>0</v>
      </c>
      <c r="W3562">
        <f t="shared" si="221"/>
        <v>1</v>
      </c>
      <c r="X3562" t="str">
        <f t="shared" si="222"/>
        <v>0-12 Months</v>
      </c>
      <c r="Y3562" s="1" t="str">
        <f t="shared" si="223"/>
        <v>Low</v>
      </c>
    </row>
    <row r="3563" spans="1:25" x14ac:dyDescent="0.2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 t="shared" si="220"/>
        <v>1</v>
      </c>
      <c r="W3563">
        <f t="shared" si="221"/>
        <v>0</v>
      </c>
      <c r="X3563" t="str">
        <f t="shared" si="222"/>
        <v>25-48 Months</v>
      </c>
      <c r="Y3563" s="1" t="str">
        <f t="shared" si="223"/>
        <v>High</v>
      </c>
    </row>
    <row r="3564" spans="1:25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 t="shared" si="220"/>
        <v>1</v>
      </c>
      <c r="W3564">
        <f t="shared" si="221"/>
        <v>0</v>
      </c>
      <c r="X3564" t="str">
        <f t="shared" si="222"/>
        <v>0-12 Months</v>
      </c>
      <c r="Y3564" s="1" t="str">
        <f t="shared" si="223"/>
        <v>High</v>
      </c>
    </row>
    <row r="3565" spans="1:25" x14ac:dyDescent="0.2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 t="shared" si="220"/>
        <v>0</v>
      </c>
      <c r="W3565">
        <f t="shared" si="221"/>
        <v>1</v>
      </c>
      <c r="X3565" t="str">
        <f t="shared" si="222"/>
        <v>25-48 Months</v>
      </c>
      <c r="Y3565" s="1" t="str">
        <f t="shared" si="223"/>
        <v>High</v>
      </c>
    </row>
    <row r="3566" spans="1:25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 t="shared" si="220"/>
        <v>0</v>
      </c>
      <c r="W3566">
        <f t="shared" si="221"/>
        <v>1</v>
      </c>
      <c r="X3566" t="str">
        <f t="shared" si="222"/>
        <v>49+ Months</v>
      </c>
      <c r="Y3566" s="1" t="str">
        <f t="shared" si="223"/>
        <v>High</v>
      </c>
    </row>
    <row r="3567" spans="1:25" x14ac:dyDescent="0.2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 t="shared" si="220"/>
        <v>1</v>
      </c>
      <c r="W3567">
        <f t="shared" si="221"/>
        <v>0</v>
      </c>
      <c r="X3567" t="str">
        <f t="shared" si="222"/>
        <v>0-12 Months</v>
      </c>
      <c r="Y3567" s="1" t="str">
        <f t="shared" si="223"/>
        <v>Medium</v>
      </c>
    </row>
    <row r="3568" spans="1:25" x14ac:dyDescent="0.2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 t="shared" si="220"/>
        <v>0</v>
      </c>
      <c r="W3568">
        <f t="shared" si="221"/>
        <v>1</v>
      </c>
      <c r="X3568" t="str">
        <f t="shared" si="222"/>
        <v>49+ Months</v>
      </c>
      <c r="Y3568" s="1" t="str">
        <f t="shared" si="223"/>
        <v>High</v>
      </c>
    </row>
    <row r="3569" spans="1:25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 t="shared" si="220"/>
        <v>1</v>
      </c>
      <c r="W3569">
        <f t="shared" si="221"/>
        <v>0</v>
      </c>
      <c r="X3569" t="str">
        <f t="shared" si="222"/>
        <v>13-24 Months</v>
      </c>
      <c r="Y3569" s="1" t="str">
        <f t="shared" si="223"/>
        <v>High</v>
      </c>
    </row>
    <row r="3570" spans="1:25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 t="shared" si="220"/>
        <v>0</v>
      </c>
      <c r="W3570">
        <f t="shared" si="221"/>
        <v>1</v>
      </c>
      <c r="X3570" t="str">
        <f t="shared" si="222"/>
        <v>13-24 Months</v>
      </c>
      <c r="Y3570" s="1" t="str">
        <f t="shared" si="223"/>
        <v>High</v>
      </c>
    </row>
    <row r="3571" spans="1:25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 t="shared" si="220"/>
        <v>0</v>
      </c>
      <c r="W3571">
        <f t="shared" si="221"/>
        <v>1</v>
      </c>
      <c r="X3571" t="str">
        <f t="shared" si="222"/>
        <v>13-24 Months</v>
      </c>
      <c r="Y3571" s="1" t="str">
        <f t="shared" si="223"/>
        <v>Low</v>
      </c>
    </row>
    <row r="3572" spans="1:25" x14ac:dyDescent="0.2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 t="shared" si="220"/>
        <v>0</v>
      </c>
      <c r="W3572">
        <f t="shared" si="221"/>
        <v>1</v>
      </c>
      <c r="X3572" t="str">
        <f t="shared" si="222"/>
        <v>13-24 Months</v>
      </c>
      <c r="Y3572" s="1" t="str">
        <f t="shared" si="223"/>
        <v>Low</v>
      </c>
    </row>
    <row r="3573" spans="1:25" x14ac:dyDescent="0.2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 t="shared" si="220"/>
        <v>0</v>
      </c>
      <c r="W3573">
        <f t="shared" si="221"/>
        <v>1</v>
      </c>
      <c r="X3573" t="str">
        <f t="shared" si="222"/>
        <v>25-48 Months</v>
      </c>
      <c r="Y3573" s="1" t="str">
        <f t="shared" si="223"/>
        <v>Medium</v>
      </c>
    </row>
    <row r="3574" spans="1:25" x14ac:dyDescent="0.2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 t="shared" si="220"/>
        <v>0</v>
      </c>
      <c r="W3574">
        <f t="shared" si="221"/>
        <v>1</v>
      </c>
      <c r="X3574" t="str">
        <f t="shared" si="222"/>
        <v>25-48 Months</v>
      </c>
      <c r="Y3574" s="1" t="str">
        <f t="shared" si="223"/>
        <v>Medium</v>
      </c>
    </row>
    <row r="3575" spans="1:25" x14ac:dyDescent="0.2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 t="shared" si="220"/>
        <v>0</v>
      </c>
      <c r="W3575">
        <f t="shared" si="221"/>
        <v>1</v>
      </c>
      <c r="X3575" t="str">
        <f t="shared" si="222"/>
        <v>25-48 Months</v>
      </c>
      <c r="Y3575" s="1" t="str">
        <f t="shared" si="223"/>
        <v>Low</v>
      </c>
    </row>
    <row r="3576" spans="1:25" x14ac:dyDescent="0.2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 t="shared" si="220"/>
        <v>0</v>
      </c>
      <c r="W3576">
        <f t="shared" si="221"/>
        <v>1</v>
      </c>
      <c r="X3576" t="str">
        <f t="shared" si="222"/>
        <v>0-12 Months</v>
      </c>
      <c r="Y3576" s="1" t="str">
        <f t="shared" si="223"/>
        <v>Low</v>
      </c>
    </row>
    <row r="3577" spans="1:25" x14ac:dyDescent="0.2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 t="shared" si="220"/>
        <v>0</v>
      </c>
      <c r="W3577">
        <f t="shared" si="221"/>
        <v>1</v>
      </c>
      <c r="X3577" t="str">
        <f t="shared" si="222"/>
        <v>49+ Months</v>
      </c>
      <c r="Y3577" s="1" t="str">
        <f t="shared" si="223"/>
        <v>Medium</v>
      </c>
    </row>
    <row r="3578" spans="1:25" x14ac:dyDescent="0.2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 t="shared" si="220"/>
        <v>0</v>
      </c>
      <c r="W3578">
        <f t="shared" si="221"/>
        <v>1</v>
      </c>
      <c r="X3578" t="str">
        <f t="shared" si="222"/>
        <v>49+ Months</v>
      </c>
      <c r="Y3578" s="1" t="str">
        <f t="shared" si="223"/>
        <v>Low</v>
      </c>
    </row>
    <row r="3579" spans="1:25" x14ac:dyDescent="0.2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 t="shared" si="220"/>
        <v>1</v>
      </c>
      <c r="W3579">
        <f t="shared" si="221"/>
        <v>0</v>
      </c>
      <c r="X3579" t="str">
        <f t="shared" si="222"/>
        <v>25-48 Months</v>
      </c>
      <c r="Y3579" s="1" t="str">
        <f t="shared" si="223"/>
        <v>Medium</v>
      </c>
    </row>
    <row r="3580" spans="1:25" x14ac:dyDescent="0.2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 t="shared" si="220"/>
        <v>0</v>
      </c>
      <c r="W3580">
        <f t="shared" si="221"/>
        <v>1</v>
      </c>
      <c r="X3580" t="str">
        <f t="shared" si="222"/>
        <v>25-48 Months</v>
      </c>
      <c r="Y3580" s="1" t="str">
        <f t="shared" si="223"/>
        <v>Medium</v>
      </c>
    </row>
    <row r="3581" spans="1:25" x14ac:dyDescent="0.2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 t="shared" si="220"/>
        <v>0</v>
      </c>
      <c r="W3581">
        <f t="shared" si="221"/>
        <v>1</v>
      </c>
      <c r="X3581" t="str">
        <f t="shared" si="222"/>
        <v>25-48 Months</v>
      </c>
      <c r="Y3581" s="1" t="str">
        <f t="shared" si="223"/>
        <v>High</v>
      </c>
    </row>
    <row r="3582" spans="1:25" x14ac:dyDescent="0.2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 t="shared" si="220"/>
        <v>1</v>
      </c>
      <c r="W3582">
        <f t="shared" si="221"/>
        <v>0</v>
      </c>
      <c r="X3582" t="str">
        <f t="shared" si="222"/>
        <v>0-12 Months</v>
      </c>
      <c r="Y3582" s="1" t="str">
        <f t="shared" si="223"/>
        <v>Medium</v>
      </c>
    </row>
    <row r="3583" spans="1:25" x14ac:dyDescent="0.2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 t="shared" si="220"/>
        <v>0</v>
      </c>
      <c r="W3583">
        <f t="shared" si="221"/>
        <v>1</v>
      </c>
      <c r="X3583" t="str">
        <f t="shared" si="222"/>
        <v>49+ Months</v>
      </c>
      <c r="Y3583" s="1" t="str">
        <f t="shared" si="223"/>
        <v>Medium</v>
      </c>
    </row>
    <row r="3584" spans="1:25" x14ac:dyDescent="0.2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 t="shared" si="220"/>
        <v>0</v>
      </c>
      <c r="W3584">
        <f t="shared" si="221"/>
        <v>1</v>
      </c>
      <c r="X3584" t="str">
        <f t="shared" si="222"/>
        <v>0-12 Months</v>
      </c>
      <c r="Y3584" s="1" t="str">
        <f t="shared" si="223"/>
        <v>High</v>
      </c>
    </row>
    <row r="3585" spans="1:25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 t="shared" si="220"/>
        <v>0</v>
      </c>
      <c r="W3585">
        <f t="shared" si="221"/>
        <v>1</v>
      </c>
      <c r="X3585" t="str">
        <f t="shared" si="222"/>
        <v>25-48 Months</v>
      </c>
      <c r="Y3585" s="1" t="str">
        <f t="shared" si="223"/>
        <v>Medium</v>
      </c>
    </row>
    <row r="3586" spans="1:25" x14ac:dyDescent="0.2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 t="shared" ref="V3586:V3649" si="224">IF(U3586="Yes",1,0)</f>
        <v>0</v>
      </c>
      <c r="W3586">
        <f t="shared" ref="W3586:W3649" si="225">IF(U3586="No",1,0)</f>
        <v>1</v>
      </c>
      <c r="X3586" t="str">
        <f t="shared" ref="X3586:X3649" si="226">IF(F3586&lt;=12,"0-12 Months",IF(F3586&lt;=24,"13-24 Months",IF(F3586&lt;=48,"25-48 Months","49+ Months")))</f>
        <v>0-12 Months</v>
      </c>
      <c r="Y3586" s="1" t="str">
        <f t="shared" ref="Y3586:Y3649" si="227">IF(S3586&lt;50,"Low",IF(S3586&lt;80,"Medium","High"))</f>
        <v>Medium</v>
      </c>
    </row>
    <row r="3587" spans="1:25" x14ac:dyDescent="0.2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 t="shared" si="224"/>
        <v>0</v>
      </c>
      <c r="W3587">
        <f t="shared" si="225"/>
        <v>1</v>
      </c>
      <c r="X3587" t="str">
        <f t="shared" si="226"/>
        <v>25-48 Months</v>
      </c>
      <c r="Y3587" s="1" t="str">
        <f t="shared" si="227"/>
        <v>High</v>
      </c>
    </row>
    <row r="3588" spans="1:25" x14ac:dyDescent="0.2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 t="shared" si="224"/>
        <v>1</v>
      </c>
      <c r="W3588">
        <f t="shared" si="225"/>
        <v>0</v>
      </c>
      <c r="X3588" t="str">
        <f t="shared" si="226"/>
        <v>0-12 Months</v>
      </c>
      <c r="Y3588" s="1" t="str">
        <f t="shared" si="227"/>
        <v>Low</v>
      </c>
    </row>
    <row r="3589" spans="1:25" x14ac:dyDescent="0.2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 t="shared" si="224"/>
        <v>1</v>
      </c>
      <c r="W3589">
        <f t="shared" si="225"/>
        <v>0</v>
      </c>
      <c r="X3589" t="str">
        <f t="shared" si="226"/>
        <v>0-12 Months</v>
      </c>
      <c r="Y3589" s="1" t="str">
        <f t="shared" si="227"/>
        <v>High</v>
      </c>
    </row>
    <row r="3590" spans="1:25" x14ac:dyDescent="0.2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 t="shared" si="224"/>
        <v>0</v>
      </c>
      <c r="W3590">
        <f t="shared" si="225"/>
        <v>1</v>
      </c>
      <c r="X3590" t="str">
        <f t="shared" si="226"/>
        <v>0-12 Months</v>
      </c>
      <c r="Y3590" s="1" t="str">
        <f t="shared" si="227"/>
        <v>Medium</v>
      </c>
    </row>
    <row r="3591" spans="1:25" x14ac:dyDescent="0.2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 t="shared" si="224"/>
        <v>0</v>
      </c>
      <c r="W3591">
        <f t="shared" si="225"/>
        <v>1</v>
      </c>
      <c r="X3591" t="str">
        <f t="shared" si="226"/>
        <v>25-48 Months</v>
      </c>
      <c r="Y3591" s="1" t="str">
        <f t="shared" si="227"/>
        <v>Medium</v>
      </c>
    </row>
    <row r="3592" spans="1:25" x14ac:dyDescent="0.2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 t="shared" si="224"/>
        <v>0</v>
      </c>
      <c r="W3592">
        <f t="shared" si="225"/>
        <v>1</v>
      </c>
      <c r="X3592" t="str">
        <f t="shared" si="226"/>
        <v>49+ Months</v>
      </c>
      <c r="Y3592" s="1" t="str">
        <f t="shared" si="227"/>
        <v>Low</v>
      </c>
    </row>
    <row r="3593" spans="1:25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 t="shared" si="224"/>
        <v>1</v>
      </c>
      <c r="W3593">
        <f t="shared" si="225"/>
        <v>0</v>
      </c>
      <c r="X3593" t="str">
        <f t="shared" si="226"/>
        <v>0-12 Months</v>
      </c>
      <c r="Y3593" s="1" t="str">
        <f t="shared" si="227"/>
        <v>High</v>
      </c>
    </row>
    <row r="3594" spans="1:25" x14ac:dyDescent="0.2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 t="shared" si="224"/>
        <v>1</v>
      </c>
      <c r="W3594">
        <f t="shared" si="225"/>
        <v>0</v>
      </c>
      <c r="X3594" t="str">
        <f t="shared" si="226"/>
        <v>0-12 Months</v>
      </c>
      <c r="Y3594" s="1" t="str">
        <f t="shared" si="227"/>
        <v>Low</v>
      </c>
    </row>
    <row r="3595" spans="1:25" x14ac:dyDescent="0.2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 t="shared" si="224"/>
        <v>1</v>
      </c>
      <c r="W3595">
        <f t="shared" si="225"/>
        <v>0</v>
      </c>
      <c r="X3595" t="str">
        <f t="shared" si="226"/>
        <v>0-12 Months</v>
      </c>
      <c r="Y3595" s="1" t="str">
        <f t="shared" si="227"/>
        <v>Medium</v>
      </c>
    </row>
    <row r="3596" spans="1:25" x14ac:dyDescent="0.2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 t="shared" si="224"/>
        <v>0</v>
      </c>
      <c r="W3596">
        <f t="shared" si="225"/>
        <v>1</v>
      </c>
      <c r="X3596" t="str">
        <f t="shared" si="226"/>
        <v>0-12 Months</v>
      </c>
      <c r="Y3596" s="1" t="str">
        <f t="shared" si="227"/>
        <v>Low</v>
      </c>
    </row>
    <row r="3597" spans="1:25" x14ac:dyDescent="0.2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 t="shared" si="224"/>
        <v>1</v>
      </c>
      <c r="W3597">
        <f t="shared" si="225"/>
        <v>0</v>
      </c>
      <c r="X3597" t="str">
        <f t="shared" si="226"/>
        <v>0-12 Months</v>
      </c>
      <c r="Y3597" s="1" t="str">
        <f t="shared" si="227"/>
        <v>Medium</v>
      </c>
    </row>
    <row r="3598" spans="1:25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 t="shared" si="224"/>
        <v>1</v>
      </c>
      <c r="W3598">
        <f t="shared" si="225"/>
        <v>0</v>
      </c>
      <c r="X3598" t="str">
        <f t="shared" si="226"/>
        <v>0-12 Months</v>
      </c>
      <c r="Y3598" s="1" t="str">
        <f t="shared" si="227"/>
        <v>Medium</v>
      </c>
    </row>
    <row r="3599" spans="1:25" x14ac:dyDescent="0.2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 t="shared" si="224"/>
        <v>0</v>
      </c>
      <c r="W3599">
        <f t="shared" si="225"/>
        <v>1</v>
      </c>
      <c r="X3599" t="str">
        <f t="shared" si="226"/>
        <v>25-48 Months</v>
      </c>
      <c r="Y3599" s="1" t="str">
        <f t="shared" si="227"/>
        <v>High</v>
      </c>
    </row>
    <row r="3600" spans="1:25" x14ac:dyDescent="0.2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 t="shared" si="224"/>
        <v>0</v>
      </c>
      <c r="W3600">
        <f t="shared" si="225"/>
        <v>1</v>
      </c>
      <c r="X3600" t="str">
        <f t="shared" si="226"/>
        <v>0-12 Months</v>
      </c>
      <c r="Y3600" s="1" t="str">
        <f t="shared" si="227"/>
        <v>Low</v>
      </c>
    </row>
    <row r="3601" spans="1:25" x14ac:dyDescent="0.2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 t="shared" si="224"/>
        <v>0</v>
      </c>
      <c r="W3601">
        <f t="shared" si="225"/>
        <v>1</v>
      </c>
      <c r="X3601" t="str">
        <f t="shared" si="226"/>
        <v>25-48 Months</v>
      </c>
      <c r="Y3601" s="1" t="str">
        <f t="shared" si="227"/>
        <v>High</v>
      </c>
    </row>
    <row r="3602" spans="1:25" x14ac:dyDescent="0.2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 t="shared" si="224"/>
        <v>1</v>
      </c>
      <c r="W3602">
        <f t="shared" si="225"/>
        <v>0</v>
      </c>
      <c r="X3602" t="str">
        <f t="shared" si="226"/>
        <v>49+ Months</v>
      </c>
      <c r="Y3602" s="1" t="str">
        <f t="shared" si="227"/>
        <v>High</v>
      </c>
    </row>
    <row r="3603" spans="1:25" x14ac:dyDescent="0.2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 t="shared" si="224"/>
        <v>0</v>
      </c>
      <c r="W3603">
        <f t="shared" si="225"/>
        <v>1</v>
      </c>
      <c r="X3603" t="str">
        <f t="shared" si="226"/>
        <v>49+ Months</v>
      </c>
      <c r="Y3603" s="1" t="str">
        <f t="shared" si="227"/>
        <v>Low</v>
      </c>
    </row>
    <row r="3604" spans="1:25" x14ac:dyDescent="0.2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 t="shared" si="224"/>
        <v>0</v>
      </c>
      <c r="W3604">
        <f t="shared" si="225"/>
        <v>1</v>
      </c>
      <c r="X3604" t="str">
        <f t="shared" si="226"/>
        <v>25-48 Months</v>
      </c>
      <c r="Y3604" s="1" t="str">
        <f t="shared" si="227"/>
        <v>Medium</v>
      </c>
    </row>
    <row r="3605" spans="1:25" x14ac:dyDescent="0.2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 t="shared" si="224"/>
        <v>1</v>
      </c>
      <c r="W3605">
        <f t="shared" si="225"/>
        <v>0</v>
      </c>
      <c r="X3605" t="str">
        <f t="shared" si="226"/>
        <v>0-12 Months</v>
      </c>
      <c r="Y3605" s="1" t="str">
        <f t="shared" si="227"/>
        <v>Low</v>
      </c>
    </row>
    <row r="3606" spans="1:25" x14ac:dyDescent="0.2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 t="shared" si="224"/>
        <v>0</v>
      </c>
      <c r="W3606">
        <f t="shared" si="225"/>
        <v>1</v>
      </c>
      <c r="X3606" t="str">
        <f t="shared" si="226"/>
        <v>25-48 Months</v>
      </c>
      <c r="Y3606" s="1" t="str">
        <f t="shared" si="227"/>
        <v>Low</v>
      </c>
    </row>
    <row r="3607" spans="1:25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 t="shared" si="224"/>
        <v>0</v>
      </c>
      <c r="W3607">
        <f t="shared" si="225"/>
        <v>1</v>
      </c>
      <c r="X3607" t="str">
        <f t="shared" si="226"/>
        <v>25-48 Months</v>
      </c>
      <c r="Y3607" s="1" t="str">
        <f t="shared" si="227"/>
        <v>Low</v>
      </c>
    </row>
    <row r="3608" spans="1:25" x14ac:dyDescent="0.2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 t="shared" si="224"/>
        <v>0</v>
      </c>
      <c r="W3608">
        <f t="shared" si="225"/>
        <v>1</v>
      </c>
      <c r="X3608" t="str">
        <f t="shared" si="226"/>
        <v>49+ Months</v>
      </c>
      <c r="Y3608" s="1" t="str">
        <f t="shared" si="227"/>
        <v>High</v>
      </c>
    </row>
    <row r="3609" spans="1:25" x14ac:dyDescent="0.2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 t="shared" si="224"/>
        <v>0</v>
      </c>
      <c r="W3609">
        <f t="shared" si="225"/>
        <v>1</v>
      </c>
      <c r="X3609" t="str">
        <f t="shared" si="226"/>
        <v>13-24 Months</v>
      </c>
      <c r="Y3609" s="1" t="str">
        <f t="shared" si="227"/>
        <v>Medium</v>
      </c>
    </row>
    <row r="3610" spans="1:25" x14ac:dyDescent="0.2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 t="shared" si="224"/>
        <v>1</v>
      </c>
      <c r="W3610">
        <f t="shared" si="225"/>
        <v>0</v>
      </c>
      <c r="X3610" t="str">
        <f t="shared" si="226"/>
        <v>25-48 Months</v>
      </c>
      <c r="Y3610" s="1" t="str">
        <f t="shared" si="227"/>
        <v>Medium</v>
      </c>
    </row>
    <row r="3611" spans="1:25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 t="shared" si="224"/>
        <v>0</v>
      </c>
      <c r="W3611">
        <f t="shared" si="225"/>
        <v>1</v>
      </c>
      <c r="X3611" t="str">
        <f t="shared" si="226"/>
        <v>49+ Months</v>
      </c>
      <c r="Y3611" s="1" t="str">
        <f t="shared" si="227"/>
        <v>High</v>
      </c>
    </row>
    <row r="3612" spans="1:25" x14ac:dyDescent="0.2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 t="shared" si="224"/>
        <v>1</v>
      </c>
      <c r="W3612">
        <f t="shared" si="225"/>
        <v>0</v>
      </c>
      <c r="X3612" t="str">
        <f t="shared" si="226"/>
        <v>0-12 Months</v>
      </c>
      <c r="Y3612" s="1" t="str">
        <f t="shared" si="227"/>
        <v>High</v>
      </c>
    </row>
    <row r="3613" spans="1:25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 t="shared" si="224"/>
        <v>0</v>
      </c>
      <c r="W3613">
        <f t="shared" si="225"/>
        <v>1</v>
      </c>
      <c r="X3613" t="str">
        <f t="shared" si="226"/>
        <v>25-48 Months</v>
      </c>
      <c r="Y3613" s="1" t="str">
        <f t="shared" si="227"/>
        <v>High</v>
      </c>
    </row>
    <row r="3614" spans="1:25" x14ac:dyDescent="0.2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 t="shared" si="224"/>
        <v>0</v>
      </c>
      <c r="W3614">
        <f t="shared" si="225"/>
        <v>1</v>
      </c>
      <c r="X3614" t="str">
        <f t="shared" si="226"/>
        <v>13-24 Months</v>
      </c>
      <c r="Y3614" s="1" t="str">
        <f t="shared" si="227"/>
        <v>Medium</v>
      </c>
    </row>
    <row r="3615" spans="1:25" x14ac:dyDescent="0.2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 t="shared" si="224"/>
        <v>0</v>
      </c>
      <c r="W3615">
        <f t="shared" si="225"/>
        <v>1</v>
      </c>
      <c r="X3615" t="str">
        <f t="shared" si="226"/>
        <v>49+ Months</v>
      </c>
      <c r="Y3615" s="1" t="str">
        <f t="shared" si="227"/>
        <v>Medium</v>
      </c>
    </row>
    <row r="3616" spans="1:25" x14ac:dyDescent="0.2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 t="shared" si="224"/>
        <v>0</v>
      </c>
      <c r="W3616">
        <f t="shared" si="225"/>
        <v>1</v>
      </c>
      <c r="X3616" t="str">
        <f t="shared" si="226"/>
        <v>49+ Months</v>
      </c>
      <c r="Y3616" s="1" t="str">
        <f t="shared" si="227"/>
        <v>Medium</v>
      </c>
    </row>
    <row r="3617" spans="1:25" x14ac:dyDescent="0.2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 t="shared" si="224"/>
        <v>1</v>
      </c>
      <c r="W3617">
        <f t="shared" si="225"/>
        <v>0</v>
      </c>
      <c r="X3617" t="str">
        <f t="shared" si="226"/>
        <v>25-48 Months</v>
      </c>
      <c r="Y3617" s="1" t="str">
        <f t="shared" si="227"/>
        <v>High</v>
      </c>
    </row>
    <row r="3618" spans="1:25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 t="shared" si="224"/>
        <v>0</v>
      </c>
      <c r="W3618">
        <f t="shared" si="225"/>
        <v>1</v>
      </c>
      <c r="X3618" t="str">
        <f t="shared" si="226"/>
        <v>49+ Months</v>
      </c>
      <c r="Y3618" s="1" t="str">
        <f t="shared" si="227"/>
        <v>High</v>
      </c>
    </row>
    <row r="3619" spans="1:25" x14ac:dyDescent="0.2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 t="shared" si="224"/>
        <v>1</v>
      </c>
      <c r="W3619">
        <f t="shared" si="225"/>
        <v>0</v>
      </c>
      <c r="X3619" t="str">
        <f t="shared" si="226"/>
        <v>13-24 Months</v>
      </c>
      <c r="Y3619" s="1" t="str">
        <f t="shared" si="227"/>
        <v>Low</v>
      </c>
    </row>
    <row r="3620" spans="1:25" x14ac:dyDescent="0.2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 t="shared" si="224"/>
        <v>0</v>
      </c>
      <c r="W3620">
        <f t="shared" si="225"/>
        <v>1</v>
      </c>
      <c r="X3620" t="str">
        <f t="shared" si="226"/>
        <v>25-48 Months</v>
      </c>
      <c r="Y3620" s="1" t="str">
        <f t="shared" si="227"/>
        <v>Medium</v>
      </c>
    </row>
    <row r="3621" spans="1:25" x14ac:dyDescent="0.2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 t="shared" si="224"/>
        <v>0</v>
      </c>
      <c r="W3621">
        <f t="shared" si="225"/>
        <v>1</v>
      </c>
      <c r="X3621" t="str">
        <f t="shared" si="226"/>
        <v>49+ Months</v>
      </c>
      <c r="Y3621" s="1" t="str">
        <f t="shared" si="227"/>
        <v>High</v>
      </c>
    </row>
    <row r="3622" spans="1:25" x14ac:dyDescent="0.2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 t="shared" si="224"/>
        <v>0</v>
      </c>
      <c r="W3622">
        <f t="shared" si="225"/>
        <v>1</v>
      </c>
      <c r="X3622" t="str">
        <f t="shared" si="226"/>
        <v>25-48 Months</v>
      </c>
      <c r="Y3622" s="1" t="str">
        <f t="shared" si="227"/>
        <v>Medium</v>
      </c>
    </row>
    <row r="3623" spans="1:25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 t="shared" si="224"/>
        <v>1</v>
      </c>
      <c r="W3623">
        <f t="shared" si="225"/>
        <v>0</v>
      </c>
      <c r="X3623" t="str">
        <f t="shared" si="226"/>
        <v>0-12 Months</v>
      </c>
      <c r="Y3623" s="1" t="str">
        <f t="shared" si="227"/>
        <v>Low</v>
      </c>
    </row>
    <row r="3624" spans="1:25" x14ac:dyDescent="0.2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 t="shared" si="224"/>
        <v>0</v>
      </c>
      <c r="W3624">
        <f t="shared" si="225"/>
        <v>1</v>
      </c>
      <c r="X3624" t="str">
        <f t="shared" si="226"/>
        <v>49+ Months</v>
      </c>
      <c r="Y3624" s="1" t="str">
        <f t="shared" si="227"/>
        <v>High</v>
      </c>
    </row>
    <row r="3625" spans="1:25" x14ac:dyDescent="0.2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 t="shared" si="224"/>
        <v>0</v>
      </c>
      <c r="W3625">
        <f t="shared" si="225"/>
        <v>1</v>
      </c>
      <c r="X3625" t="str">
        <f t="shared" si="226"/>
        <v>25-48 Months</v>
      </c>
      <c r="Y3625" s="1" t="str">
        <f t="shared" si="227"/>
        <v>Medium</v>
      </c>
    </row>
    <row r="3626" spans="1:25" x14ac:dyDescent="0.2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 t="shared" si="224"/>
        <v>0</v>
      </c>
      <c r="W3626">
        <f t="shared" si="225"/>
        <v>1</v>
      </c>
      <c r="X3626" t="str">
        <f t="shared" si="226"/>
        <v>49+ Months</v>
      </c>
      <c r="Y3626" s="1" t="str">
        <f t="shared" si="227"/>
        <v>High</v>
      </c>
    </row>
    <row r="3627" spans="1:25" x14ac:dyDescent="0.2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 t="shared" si="224"/>
        <v>0</v>
      </c>
      <c r="W3627">
        <f t="shared" si="225"/>
        <v>1</v>
      </c>
      <c r="X3627" t="str">
        <f t="shared" si="226"/>
        <v>49+ Months</v>
      </c>
      <c r="Y3627" s="1" t="str">
        <f t="shared" si="227"/>
        <v>Low</v>
      </c>
    </row>
    <row r="3628" spans="1:25" x14ac:dyDescent="0.2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 t="shared" si="224"/>
        <v>0</v>
      </c>
      <c r="W3628">
        <f t="shared" si="225"/>
        <v>1</v>
      </c>
      <c r="X3628" t="str">
        <f t="shared" si="226"/>
        <v>13-24 Months</v>
      </c>
      <c r="Y3628" s="1" t="str">
        <f t="shared" si="227"/>
        <v>Medium</v>
      </c>
    </row>
    <row r="3629" spans="1:25" x14ac:dyDescent="0.2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 t="shared" si="224"/>
        <v>0</v>
      </c>
      <c r="W3629">
        <f t="shared" si="225"/>
        <v>1</v>
      </c>
      <c r="X3629" t="str">
        <f t="shared" si="226"/>
        <v>13-24 Months</v>
      </c>
      <c r="Y3629" s="1" t="str">
        <f t="shared" si="227"/>
        <v>Low</v>
      </c>
    </row>
    <row r="3630" spans="1:25" x14ac:dyDescent="0.2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 t="shared" si="224"/>
        <v>0</v>
      </c>
      <c r="W3630">
        <f t="shared" si="225"/>
        <v>1</v>
      </c>
      <c r="X3630" t="str">
        <f t="shared" si="226"/>
        <v>0-12 Months</v>
      </c>
      <c r="Y3630" s="1" t="str">
        <f t="shared" si="227"/>
        <v>Medium</v>
      </c>
    </row>
    <row r="3631" spans="1:25" x14ac:dyDescent="0.2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 t="shared" si="224"/>
        <v>0</v>
      </c>
      <c r="W3631">
        <f t="shared" si="225"/>
        <v>1</v>
      </c>
      <c r="X3631" t="str">
        <f t="shared" si="226"/>
        <v>13-24 Months</v>
      </c>
      <c r="Y3631" s="1" t="str">
        <f t="shared" si="227"/>
        <v>Low</v>
      </c>
    </row>
    <row r="3632" spans="1:25" x14ac:dyDescent="0.2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 t="shared" si="224"/>
        <v>1</v>
      </c>
      <c r="W3632">
        <f t="shared" si="225"/>
        <v>0</v>
      </c>
      <c r="X3632" t="str">
        <f t="shared" si="226"/>
        <v>0-12 Months</v>
      </c>
      <c r="Y3632" s="1" t="str">
        <f t="shared" si="227"/>
        <v>Low</v>
      </c>
    </row>
    <row r="3633" spans="1:25" x14ac:dyDescent="0.2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 t="shared" si="224"/>
        <v>1</v>
      </c>
      <c r="W3633">
        <f t="shared" si="225"/>
        <v>0</v>
      </c>
      <c r="X3633" t="str">
        <f t="shared" si="226"/>
        <v>0-12 Months</v>
      </c>
      <c r="Y3633" s="1" t="str">
        <f t="shared" si="227"/>
        <v>Low</v>
      </c>
    </row>
    <row r="3634" spans="1:25" x14ac:dyDescent="0.2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 t="shared" si="224"/>
        <v>0</v>
      </c>
      <c r="W3634">
        <f t="shared" si="225"/>
        <v>1</v>
      </c>
      <c r="X3634" t="str">
        <f t="shared" si="226"/>
        <v>13-24 Months</v>
      </c>
      <c r="Y3634" s="1" t="str">
        <f t="shared" si="227"/>
        <v>Medium</v>
      </c>
    </row>
    <row r="3635" spans="1:25" x14ac:dyDescent="0.2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 t="shared" si="224"/>
        <v>0</v>
      </c>
      <c r="W3635">
        <f t="shared" si="225"/>
        <v>1</v>
      </c>
      <c r="X3635" t="str">
        <f t="shared" si="226"/>
        <v>0-12 Months</v>
      </c>
      <c r="Y3635" s="1" t="str">
        <f t="shared" si="227"/>
        <v>Medium</v>
      </c>
    </row>
    <row r="3636" spans="1:25" x14ac:dyDescent="0.2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 t="shared" si="224"/>
        <v>0</v>
      </c>
      <c r="W3636">
        <f t="shared" si="225"/>
        <v>1</v>
      </c>
      <c r="X3636" t="str">
        <f t="shared" si="226"/>
        <v>49+ Months</v>
      </c>
      <c r="Y3636" s="1" t="str">
        <f t="shared" si="227"/>
        <v>High</v>
      </c>
    </row>
    <row r="3637" spans="1:25" x14ac:dyDescent="0.2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 t="shared" si="224"/>
        <v>0</v>
      </c>
      <c r="W3637">
        <f t="shared" si="225"/>
        <v>1</v>
      </c>
      <c r="X3637" t="str">
        <f t="shared" si="226"/>
        <v>49+ Months</v>
      </c>
      <c r="Y3637" s="1" t="str">
        <f t="shared" si="227"/>
        <v>Low</v>
      </c>
    </row>
    <row r="3638" spans="1:25" x14ac:dyDescent="0.2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 t="shared" si="224"/>
        <v>0</v>
      </c>
      <c r="W3638">
        <f t="shared" si="225"/>
        <v>1</v>
      </c>
      <c r="X3638" t="str">
        <f t="shared" si="226"/>
        <v>0-12 Months</v>
      </c>
      <c r="Y3638" s="1" t="str">
        <f t="shared" si="227"/>
        <v>Low</v>
      </c>
    </row>
    <row r="3639" spans="1:25" x14ac:dyDescent="0.2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 t="shared" si="224"/>
        <v>1</v>
      </c>
      <c r="W3639">
        <f t="shared" si="225"/>
        <v>0</v>
      </c>
      <c r="X3639" t="str">
        <f t="shared" si="226"/>
        <v>0-12 Months</v>
      </c>
      <c r="Y3639" s="1" t="str">
        <f t="shared" si="227"/>
        <v>Low</v>
      </c>
    </row>
    <row r="3640" spans="1:25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 t="shared" si="224"/>
        <v>1</v>
      </c>
      <c r="W3640">
        <f t="shared" si="225"/>
        <v>0</v>
      </c>
      <c r="X3640" t="str">
        <f t="shared" si="226"/>
        <v>0-12 Months</v>
      </c>
      <c r="Y3640" s="1" t="str">
        <f t="shared" si="227"/>
        <v>Medium</v>
      </c>
    </row>
    <row r="3641" spans="1:25" x14ac:dyDescent="0.2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 t="shared" si="224"/>
        <v>0</v>
      </c>
      <c r="W3641">
        <f t="shared" si="225"/>
        <v>1</v>
      </c>
      <c r="X3641" t="str">
        <f t="shared" si="226"/>
        <v>49+ Months</v>
      </c>
      <c r="Y3641" s="1" t="str">
        <f t="shared" si="227"/>
        <v>High</v>
      </c>
    </row>
    <row r="3642" spans="1:25" x14ac:dyDescent="0.2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 t="shared" si="224"/>
        <v>1</v>
      </c>
      <c r="W3642">
        <f t="shared" si="225"/>
        <v>0</v>
      </c>
      <c r="X3642" t="str">
        <f t="shared" si="226"/>
        <v>25-48 Months</v>
      </c>
      <c r="Y3642" s="1" t="str">
        <f t="shared" si="227"/>
        <v>High</v>
      </c>
    </row>
    <row r="3643" spans="1:25" x14ac:dyDescent="0.2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 t="shared" si="224"/>
        <v>0</v>
      </c>
      <c r="W3643">
        <f t="shared" si="225"/>
        <v>1</v>
      </c>
      <c r="X3643" t="str">
        <f t="shared" si="226"/>
        <v>49+ Months</v>
      </c>
      <c r="Y3643" s="1" t="str">
        <f t="shared" si="227"/>
        <v>Medium</v>
      </c>
    </row>
    <row r="3644" spans="1:25" x14ac:dyDescent="0.2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 t="shared" si="224"/>
        <v>0</v>
      </c>
      <c r="W3644">
        <f t="shared" si="225"/>
        <v>1</v>
      </c>
      <c r="X3644" t="str">
        <f t="shared" si="226"/>
        <v>25-48 Months</v>
      </c>
      <c r="Y3644" s="1" t="str">
        <f t="shared" si="227"/>
        <v>High</v>
      </c>
    </row>
    <row r="3645" spans="1:25" x14ac:dyDescent="0.2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 t="shared" si="224"/>
        <v>0</v>
      </c>
      <c r="W3645">
        <f t="shared" si="225"/>
        <v>1</v>
      </c>
      <c r="X3645" t="str">
        <f t="shared" si="226"/>
        <v>49+ Months</v>
      </c>
      <c r="Y3645" s="1" t="str">
        <f t="shared" si="227"/>
        <v>Low</v>
      </c>
    </row>
    <row r="3646" spans="1:25" x14ac:dyDescent="0.2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 t="shared" si="224"/>
        <v>0</v>
      </c>
      <c r="W3646">
        <f t="shared" si="225"/>
        <v>1</v>
      </c>
      <c r="X3646" t="str">
        <f t="shared" si="226"/>
        <v>25-48 Months</v>
      </c>
      <c r="Y3646" s="1" t="str">
        <f t="shared" si="227"/>
        <v>Low</v>
      </c>
    </row>
    <row r="3647" spans="1:25" x14ac:dyDescent="0.2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 t="shared" si="224"/>
        <v>0</v>
      </c>
      <c r="W3647">
        <f t="shared" si="225"/>
        <v>1</v>
      </c>
      <c r="X3647" t="str">
        <f t="shared" si="226"/>
        <v>0-12 Months</v>
      </c>
      <c r="Y3647" s="1" t="str">
        <f t="shared" si="227"/>
        <v>Low</v>
      </c>
    </row>
    <row r="3648" spans="1:25" x14ac:dyDescent="0.2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 t="shared" si="224"/>
        <v>0</v>
      </c>
      <c r="W3648">
        <f t="shared" si="225"/>
        <v>1</v>
      </c>
      <c r="X3648" t="str">
        <f t="shared" si="226"/>
        <v>25-48 Months</v>
      </c>
      <c r="Y3648" s="1" t="str">
        <f t="shared" si="227"/>
        <v>High</v>
      </c>
    </row>
    <row r="3649" spans="1:25" x14ac:dyDescent="0.2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 t="shared" si="224"/>
        <v>0</v>
      </c>
      <c r="W3649">
        <f t="shared" si="225"/>
        <v>1</v>
      </c>
      <c r="X3649" t="str">
        <f t="shared" si="226"/>
        <v>0-12 Months</v>
      </c>
      <c r="Y3649" s="1" t="str">
        <f t="shared" si="227"/>
        <v>Medium</v>
      </c>
    </row>
    <row r="3650" spans="1:25" x14ac:dyDescent="0.2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 t="shared" ref="V3650:V3713" si="228">IF(U3650="Yes",1,0)</f>
        <v>0</v>
      </c>
      <c r="W3650">
        <f t="shared" ref="W3650:W3713" si="229">IF(U3650="No",1,0)</f>
        <v>1</v>
      </c>
      <c r="X3650" t="str">
        <f t="shared" ref="X3650:X3713" si="230">IF(F3650&lt;=12,"0-12 Months",IF(F3650&lt;=24,"13-24 Months",IF(F3650&lt;=48,"25-48 Months","49+ Months")))</f>
        <v>49+ Months</v>
      </c>
      <c r="Y3650" s="1" t="str">
        <f t="shared" ref="Y3650:Y3713" si="231">IF(S3650&lt;50,"Low",IF(S3650&lt;80,"Medium","High"))</f>
        <v>High</v>
      </c>
    </row>
    <row r="3651" spans="1:25" x14ac:dyDescent="0.2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 t="shared" si="228"/>
        <v>0</v>
      </c>
      <c r="W3651">
        <f t="shared" si="229"/>
        <v>1</v>
      </c>
      <c r="X3651" t="str">
        <f t="shared" si="230"/>
        <v>49+ Months</v>
      </c>
      <c r="Y3651" s="1" t="str">
        <f t="shared" si="231"/>
        <v>Low</v>
      </c>
    </row>
    <row r="3652" spans="1:25" x14ac:dyDescent="0.2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 t="shared" si="228"/>
        <v>0</v>
      </c>
      <c r="W3652">
        <f t="shared" si="229"/>
        <v>1</v>
      </c>
      <c r="X3652" t="str">
        <f t="shared" si="230"/>
        <v>49+ Months</v>
      </c>
      <c r="Y3652" s="1" t="str">
        <f t="shared" si="231"/>
        <v>Low</v>
      </c>
    </row>
    <row r="3653" spans="1:25" x14ac:dyDescent="0.2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 t="shared" si="228"/>
        <v>0</v>
      </c>
      <c r="W3653">
        <f t="shared" si="229"/>
        <v>1</v>
      </c>
      <c r="X3653" t="str">
        <f t="shared" si="230"/>
        <v>49+ Months</v>
      </c>
      <c r="Y3653" s="1" t="str">
        <f t="shared" si="231"/>
        <v>Low</v>
      </c>
    </row>
    <row r="3654" spans="1:25" x14ac:dyDescent="0.2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 t="shared" si="228"/>
        <v>1</v>
      </c>
      <c r="W3654">
        <f t="shared" si="229"/>
        <v>0</v>
      </c>
      <c r="X3654" t="str">
        <f t="shared" si="230"/>
        <v>0-12 Months</v>
      </c>
      <c r="Y3654" s="1" t="str">
        <f t="shared" si="231"/>
        <v>Low</v>
      </c>
    </row>
    <row r="3655" spans="1:25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 t="shared" si="228"/>
        <v>0</v>
      </c>
      <c r="W3655">
        <f t="shared" si="229"/>
        <v>1</v>
      </c>
      <c r="X3655" t="str">
        <f t="shared" si="230"/>
        <v>25-48 Months</v>
      </c>
      <c r="Y3655" s="1" t="str">
        <f t="shared" si="231"/>
        <v>Medium</v>
      </c>
    </row>
    <row r="3656" spans="1:25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 t="shared" si="228"/>
        <v>0</v>
      </c>
      <c r="W3656">
        <f t="shared" si="229"/>
        <v>1</v>
      </c>
      <c r="X3656" t="str">
        <f t="shared" si="230"/>
        <v>25-48 Months</v>
      </c>
      <c r="Y3656" s="1" t="str">
        <f t="shared" si="231"/>
        <v>High</v>
      </c>
    </row>
    <row r="3657" spans="1:25" x14ac:dyDescent="0.2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 t="shared" si="228"/>
        <v>0</v>
      </c>
      <c r="W3657">
        <f t="shared" si="229"/>
        <v>1</v>
      </c>
      <c r="X3657" t="str">
        <f t="shared" si="230"/>
        <v>25-48 Months</v>
      </c>
      <c r="Y3657" s="1" t="str">
        <f t="shared" si="231"/>
        <v>Low</v>
      </c>
    </row>
    <row r="3658" spans="1:25" x14ac:dyDescent="0.2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 t="shared" si="228"/>
        <v>0</v>
      </c>
      <c r="W3658">
        <f t="shared" si="229"/>
        <v>1</v>
      </c>
      <c r="X3658" t="str">
        <f t="shared" si="230"/>
        <v>49+ Months</v>
      </c>
      <c r="Y3658" s="1" t="str">
        <f t="shared" si="231"/>
        <v>Low</v>
      </c>
    </row>
    <row r="3659" spans="1:25" x14ac:dyDescent="0.2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 t="shared" si="228"/>
        <v>0</v>
      </c>
      <c r="W3659">
        <f t="shared" si="229"/>
        <v>1</v>
      </c>
      <c r="X3659" t="str">
        <f t="shared" si="230"/>
        <v>25-48 Months</v>
      </c>
      <c r="Y3659" s="1" t="str">
        <f t="shared" si="231"/>
        <v>Low</v>
      </c>
    </row>
    <row r="3660" spans="1:25" x14ac:dyDescent="0.2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 t="shared" si="228"/>
        <v>0</v>
      </c>
      <c r="W3660">
        <f t="shared" si="229"/>
        <v>1</v>
      </c>
      <c r="X3660" t="str">
        <f t="shared" si="230"/>
        <v>0-12 Months</v>
      </c>
      <c r="Y3660" s="1" t="str">
        <f t="shared" si="231"/>
        <v>Medium</v>
      </c>
    </row>
    <row r="3661" spans="1:25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 t="shared" si="228"/>
        <v>0</v>
      </c>
      <c r="W3661">
        <f t="shared" si="229"/>
        <v>1</v>
      </c>
      <c r="X3661" t="str">
        <f t="shared" si="230"/>
        <v>49+ Months</v>
      </c>
      <c r="Y3661" s="1" t="str">
        <f t="shared" si="231"/>
        <v>High</v>
      </c>
    </row>
    <row r="3662" spans="1:25" x14ac:dyDescent="0.2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 t="shared" si="228"/>
        <v>0</v>
      </c>
      <c r="W3662">
        <f t="shared" si="229"/>
        <v>1</v>
      </c>
      <c r="X3662" t="str">
        <f t="shared" si="230"/>
        <v>0-12 Months</v>
      </c>
      <c r="Y3662" s="1" t="str">
        <f t="shared" si="231"/>
        <v>Low</v>
      </c>
    </row>
    <row r="3663" spans="1:25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 t="shared" si="228"/>
        <v>0</v>
      </c>
      <c r="W3663">
        <f t="shared" si="229"/>
        <v>1</v>
      </c>
      <c r="X3663" t="str">
        <f t="shared" si="230"/>
        <v>49+ Months</v>
      </c>
      <c r="Y3663" s="1" t="str">
        <f t="shared" si="231"/>
        <v>High</v>
      </c>
    </row>
    <row r="3664" spans="1:25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 t="shared" si="228"/>
        <v>1</v>
      </c>
      <c r="W3664">
        <f t="shared" si="229"/>
        <v>0</v>
      </c>
      <c r="X3664" t="str">
        <f t="shared" si="230"/>
        <v>0-12 Months</v>
      </c>
      <c r="Y3664" s="1" t="str">
        <f t="shared" si="231"/>
        <v>Low</v>
      </c>
    </row>
    <row r="3665" spans="1:25" x14ac:dyDescent="0.2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 t="shared" si="228"/>
        <v>0</v>
      </c>
      <c r="W3665">
        <f t="shared" si="229"/>
        <v>1</v>
      </c>
      <c r="X3665" t="str">
        <f t="shared" si="230"/>
        <v>0-12 Months</v>
      </c>
      <c r="Y3665" s="1" t="str">
        <f t="shared" si="231"/>
        <v>High</v>
      </c>
    </row>
    <row r="3666" spans="1:25" x14ac:dyDescent="0.2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 t="shared" si="228"/>
        <v>0</v>
      </c>
      <c r="W3666">
        <f t="shared" si="229"/>
        <v>1</v>
      </c>
      <c r="X3666" t="str">
        <f t="shared" si="230"/>
        <v>0-12 Months</v>
      </c>
      <c r="Y3666" s="1" t="str">
        <f t="shared" si="231"/>
        <v>Medium</v>
      </c>
    </row>
    <row r="3667" spans="1:25" x14ac:dyDescent="0.2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 t="shared" si="228"/>
        <v>0</v>
      </c>
      <c r="W3667">
        <f t="shared" si="229"/>
        <v>1</v>
      </c>
      <c r="X3667" t="str">
        <f t="shared" si="230"/>
        <v>49+ Months</v>
      </c>
      <c r="Y3667" s="1" t="str">
        <f t="shared" si="231"/>
        <v>High</v>
      </c>
    </row>
    <row r="3668" spans="1:25" x14ac:dyDescent="0.2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 t="shared" si="228"/>
        <v>1</v>
      </c>
      <c r="W3668">
        <f t="shared" si="229"/>
        <v>0</v>
      </c>
      <c r="X3668" t="str">
        <f t="shared" si="230"/>
        <v>49+ Months</v>
      </c>
      <c r="Y3668" s="1" t="str">
        <f t="shared" si="231"/>
        <v>High</v>
      </c>
    </row>
    <row r="3669" spans="1:25" x14ac:dyDescent="0.2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 t="shared" si="228"/>
        <v>0</v>
      </c>
      <c r="W3669">
        <f t="shared" si="229"/>
        <v>1</v>
      </c>
      <c r="X3669" t="str">
        <f t="shared" si="230"/>
        <v>13-24 Months</v>
      </c>
      <c r="Y3669" s="1" t="str">
        <f t="shared" si="231"/>
        <v>High</v>
      </c>
    </row>
    <row r="3670" spans="1:25" x14ac:dyDescent="0.2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 t="shared" si="228"/>
        <v>0</v>
      </c>
      <c r="W3670">
        <f t="shared" si="229"/>
        <v>1</v>
      </c>
      <c r="X3670" t="str">
        <f t="shared" si="230"/>
        <v>13-24 Months</v>
      </c>
      <c r="Y3670" s="1" t="str">
        <f t="shared" si="231"/>
        <v>Medium</v>
      </c>
    </row>
    <row r="3671" spans="1:25" x14ac:dyDescent="0.2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 t="shared" si="228"/>
        <v>0</v>
      </c>
      <c r="W3671">
        <f t="shared" si="229"/>
        <v>1</v>
      </c>
      <c r="X3671" t="str">
        <f t="shared" si="230"/>
        <v>25-48 Months</v>
      </c>
      <c r="Y3671" s="1" t="str">
        <f t="shared" si="231"/>
        <v>High</v>
      </c>
    </row>
    <row r="3672" spans="1:25" x14ac:dyDescent="0.2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 t="shared" si="228"/>
        <v>0</v>
      </c>
      <c r="W3672">
        <f t="shared" si="229"/>
        <v>1</v>
      </c>
      <c r="X3672" t="str">
        <f t="shared" si="230"/>
        <v>25-48 Months</v>
      </c>
      <c r="Y3672" s="1" t="str">
        <f t="shared" si="231"/>
        <v>Low</v>
      </c>
    </row>
    <row r="3673" spans="1:25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 t="shared" si="228"/>
        <v>1</v>
      </c>
      <c r="W3673">
        <f t="shared" si="229"/>
        <v>0</v>
      </c>
      <c r="X3673" t="str">
        <f t="shared" si="230"/>
        <v>0-12 Months</v>
      </c>
      <c r="Y3673" s="1" t="str">
        <f t="shared" si="231"/>
        <v>Medium</v>
      </c>
    </row>
    <row r="3674" spans="1:25" x14ac:dyDescent="0.2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 t="shared" si="228"/>
        <v>1</v>
      </c>
      <c r="W3674">
        <f t="shared" si="229"/>
        <v>0</v>
      </c>
      <c r="X3674" t="str">
        <f t="shared" si="230"/>
        <v>49+ Months</v>
      </c>
      <c r="Y3674" s="1" t="str">
        <f t="shared" si="231"/>
        <v>Medium</v>
      </c>
    </row>
    <row r="3675" spans="1:25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 t="shared" si="228"/>
        <v>1</v>
      </c>
      <c r="W3675">
        <f t="shared" si="229"/>
        <v>0</v>
      </c>
      <c r="X3675" t="str">
        <f t="shared" si="230"/>
        <v>25-48 Months</v>
      </c>
      <c r="Y3675" s="1" t="str">
        <f t="shared" si="231"/>
        <v>High</v>
      </c>
    </row>
    <row r="3676" spans="1:25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 t="shared" si="228"/>
        <v>1</v>
      </c>
      <c r="W3676">
        <f t="shared" si="229"/>
        <v>0</v>
      </c>
      <c r="X3676" t="str">
        <f t="shared" si="230"/>
        <v>0-12 Months</v>
      </c>
      <c r="Y3676" s="1" t="str">
        <f t="shared" si="231"/>
        <v>Low</v>
      </c>
    </row>
    <row r="3677" spans="1:25" x14ac:dyDescent="0.2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 t="shared" si="228"/>
        <v>0</v>
      </c>
      <c r="W3677">
        <f t="shared" si="229"/>
        <v>1</v>
      </c>
      <c r="X3677" t="str">
        <f t="shared" si="230"/>
        <v>0-12 Months</v>
      </c>
      <c r="Y3677" s="1" t="str">
        <f t="shared" si="231"/>
        <v>Low</v>
      </c>
    </row>
    <row r="3678" spans="1:25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 t="shared" si="228"/>
        <v>0</v>
      </c>
      <c r="W3678">
        <f t="shared" si="229"/>
        <v>1</v>
      </c>
      <c r="X3678" t="str">
        <f t="shared" si="230"/>
        <v>25-48 Months</v>
      </c>
      <c r="Y3678" s="1" t="str">
        <f t="shared" si="231"/>
        <v>Medium</v>
      </c>
    </row>
    <row r="3679" spans="1:25" x14ac:dyDescent="0.2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 t="shared" si="228"/>
        <v>0</v>
      </c>
      <c r="W3679">
        <f t="shared" si="229"/>
        <v>1</v>
      </c>
      <c r="X3679" t="str">
        <f t="shared" si="230"/>
        <v>0-12 Months</v>
      </c>
      <c r="Y3679" s="1" t="str">
        <f t="shared" si="231"/>
        <v>Low</v>
      </c>
    </row>
    <row r="3680" spans="1:25" x14ac:dyDescent="0.2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 t="shared" si="228"/>
        <v>0</v>
      </c>
      <c r="W3680">
        <f t="shared" si="229"/>
        <v>1</v>
      </c>
      <c r="X3680" t="str">
        <f t="shared" si="230"/>
        <v>13-24 Months</v>
      </c>
      <c r="Y3680" s="1" t="str">
        <f t="shared" si="231"/>
        <v>High</v>
      </c>
    </row>
    <row r="3681" spans="1:25" x14ac:dyDescent="0.2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 t="shared" si="228"/>
        <v>1</v>
      </c>
      <c r="W3681">
        <f t="shared" si="229"/>
        <v>0</v>
      </c>
      <c r="X3681" t="str">
        <f t="shared" si="230"/>
        <v>0-12 Months</v>
      </c>
      <c r="Y3681" s="1" t="str">
        <f t="shared" si="231"/>
        <v>Low</v>
      </c>
    </row>
    <row r="3682" spans="1:25" x14ac:dyDescent="0.2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 t="shared" si="228"/>
        <v>1</v>
      </c>
      <c r="W3682">
        <f t="shared" si="229"/>
        <v>0</v>
      </c>
      <c r="X3682" t="str">
        <f t="shared" si="230"/>
        <v>0-12 Months</v>
      </c>
      <c r="Y3682" s="1" t="str">
        <f t="shared" si="231"/>
        <v>Low</v>
      </c>
    </row>
    <row r="3683" spans="1:25" x14ac:dyDescent="0.2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 t="shared" si="228"/>
        <v>1</v>
      </c>
      <c r="W3683">
        <f t="shared" si="229"/>
        <v>0</v>
      </c>
      <c r="X3683" t="str">
        <f t="shared" si="230"/>
        <v>25-48 Months</v>
      </c>
      <c r="Y3683" s="1" t="str">
        <f t="shared" si="231"/>
        <v>High</v>
      </c>
    </row>
    <row r="3684" spans="1:25" x14ac:dyDescent="0.2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 t="shared" si="228"/>
        <v>1</v>
      </c>
      <c r="W3684">
        <f t="shared" si="229"/>
        <v>0</v>
      </c>
      <c r="X3684" t="str">
        <f t="shared" si="230"/>
        <v>0-12 Months</v>
      </c>
      <c r="Y3684" s="1" t="str">
        <f t="shared" si="231"/>
        <v>Medium</v>
      </c>
    </row>
    <row r="3685" spans="1:25" x14ac:dyDescent="0.2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 t="shared" si="228"/>
        <v>0</v>
      </c>
      <c r="W3685">
        <f t="shared" si="229"/>
        <v>1</v>
      </c>
      <c r="X3685" t="str">
        <f t="shared" si="230"/>
        <v>49+ Months</v>
      </c>
      <c r="Y3685" s="1" t="str">
        <f t="shared" si="231"/>
        <v>Medium</v>
      </c>
    </row>
    <row r="3686" spans="1:25" x14ac:dyDescent="0.2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 t="shared" si="228"/>
        <v>0</v>
      </c>
      <c r="W3686">
        <f t="shared" si="229"/>
        <v>1</v>
      </c>
      <c r="X3686" t="str">
        <f t="shared" si="230"/>
        <v>25-48 Months</v>
      </c>
      <c r="Y3686" s="1" t="str">
        <f t="shared" si="231"/>
        <v>Medium</v>
      </c>
    </row>
    <row r="3687" spans="1:25" x14ac:dyDescent="0.2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 t="shared" si="228"/>
        <v>0</v>
      </c>
      <c r="W3687">
        <f t="shared" si="229"/>
        <v>1</v>
      </c>
      <c r="X3687" t="str">
        <f t="shared" si="230"/>
        <v>49+ Months</v>
      </c>
      <c r="Y3687" s="1" t="str">
        <f t="shared" si="231"/>
        <v>Low</v>
      </c>
    </row>
    <row r="3688" spans="1:25" x14ac:dyDescent="0.2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 t="shared" si="228"/>
        <v>1</v>
      </c>
      <c r="W3688">
        <f t="shared" si="229"/>
        <v>0</v>
      </c>
      <c r="X3688" t="str">
        <f t="shared" si="230"/>
        <v>13-24 Months</v>
      </c>
      <c r="Y3688" s="1" t="str">
        <f t="shared" si="231"/>
        <v>Medium</v>
      </c>
    </row>
    <row r="3689" spans="1:25" x14ac:dyDescent="0.2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 t="shared" si="228"/>
        <v>1</v>
      </c>
      <c r="W3689">
        <f t="shared" si="229"/>
        <v>0</v>
      </c>
      <c r="X3689" t="str">
        <f t="shared" si="230"/>
        <v>13-24 Months</v>
      </c>
      <c r="Y3689" s="1" t="str">
        <f t="shared" si="231"/>
        <v>High</v>
      </c>
    </row>
    <row r="3690" spans="1:25" x14ac:dyDescent="0.2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 t="shared" si="228"/>
        <v>0</v>
      </c>
      <c r="W3690">
        <f t="shared" si="229"/>
        <v>1</v>
      </c>
      <c r="X3690" t="str">
        <f t="shared" si="230"/>
        <v>25-48 Months</v>
      </c>
      <c r="Y3690" s="1" t="str">
        <f t="shared" si="231"/>
        <v>High</v>
      </c>
    </row>
    <row r="3691" spans="1:25" x14ac:dyDescent="0.2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 t="shared" si="228"/>
        <v>1</v>
      </c>
      <c r="W3691">
        <f t="shared" si="229"/>
        <v>0</v>
      </c>
      <c r="X3691" t="str">
        <f t="shared" si="230"/>
        <v>0-12 Months</v>
      </c>
      <c r="Y3691" s="1" t="str">
        <f t="shared" si="231"/>
        <v>Medium</v>
      </c>
    </row>
    <row r="3692" spans="1:25" x14ac:dyDescent="0.2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 t="shared" si="228"/>
        <v>1</v>
      </c>
      <c r="W3692">
        <f t="shared" si="229"/>
        <v>0</v>
      </c>
      <c r="X3692" t="str">
        <f t="shared" si="230"/>
        <v>13-24 Months</v>
      </c>
      <c r="Y3692" s="1" t="str">
        <f t="shared" si="231"/>
        <v>Medium</v>
      </c>
    </row>
    <row r="3693" spans="1:25" x14ac:dyDescent="0.2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 t="shared" si="228"/>
        <v>0</v>
      </c>
      <c r="W3693">
        <f t="shared" si="229"/>
        <v>1</v>
      </c>
      <c r="X3693" t="str">
        <f t="shared" si="230"/>
        <v>25-48 Months</v>
      </c>
      <c r="Y3693" s="1" t="str">
        <f t="shared" si="231"/>
        <v>Medium</v>
      </c>
    </row>
    <row r="3694" spans="1:25" x14ac:dyDescent="0.2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 t="shared" si="228"/>
        <v>0</v>
      </c>
      <c r="W3694">
        <f t="shared" si="229"/>
        <v>1</v>
      </c>
      <c r="X3694" t="str">
        <f t="shared" si="230"/>
        <v>0-12 Months</v>
      </c>
      <c r="Y3694" s="1" t="str">
        <f t="shared" si="231"/>
        <v>Medium</v>
      </c>
    </row>
    <row r="3695" spans="1:25" x14ac:dyDescent="0.2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 t="shared" si="228"/>
        <v>0</v>
      </c>
      <c r="W3695">
        <f t="shared" si="229"/>
        <v>1</v>
      </c>
      <c r="X3695" t="str">
        <f t="shared" si="230"/>
        <v>25-48 Months</v>
      </c>
      <c r="Y3695" s="1" t="str">
        <f t="shared" si="231"/>
        <v>Medium</v>
      </c>
    </row>
    <row r="3696" spans="1:25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 t="shared" si="228"/>
        <v>1</v>
      </c>
      <c r="W3696">
        <f t="shared" si="229"/>
        <v>0</v>
      </c>
      <c r="X3696" t="str">
        <f t="shared" si="230"/>
        <v>49+ Months</v>
      </c>
      <c r="Y3696" s="1" t="str">
        <f t="shared" si="231"/>
        <v>High</v>
      </c>
    </row>
    <row r="3697" spans="1:25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 t="shared" si="228"/>
        <v>0</v>
      </c>
      <c r="W3697">
        <f t="shared" si="229"/>
        <v>1</v>
      </c>
      <c r="X3697" t="str">
        <f t="shared" si="230"/>
        <v>25-48 Months</v>
      </c>
      <c r="Y3697" s="1" t="str">
        <f t="shared" si="231"/>
        <v>High</v>
      </c>
    </row>
    <row r="3698" spans="1:25" x14ac:dyDescent="0.2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 t="shared" si="228"/>
        <v>1</v>
      </c>
      <c r="W3698">
        <f t="shared" si="229"/>
        <v>0</v>
      </c>
      <c r="X3698" t="str">
        <f t="shared" si="230"/>
        <v>0-12 Months</v>
      </c>
      <c r="Y3698" s="1" t="str">
        <f t="shared" si="231"/>
        <v>Low</v>
      </c>
    </row>
    <row r="3699" spans="1:25" x14ac:dyDescent="0.2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 t="shared" si="228"/>
        <v>0</v>
      </c>
      <c r="W3699">
        <f t="shared" si="229"/>
        <v>1</v>
      </c>
      <c r="X3699" t="str">
        <f t="shared" si="230"/>
        <v>25-48 Months</v>
      </c>
      <c r="Y3699" s="1" t="str">
        <f t="shared" si="231"/>
        <v>High</v>
      </c>
    </row>
    <row r="3700" spans="1:25" x14ac:dyDescent="0.2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 t="shared" si="228"/>
        <v>0</v>
      </c>
      <c r="W3700">
        <f t="shared" si="229"/>
        <v>1</v>
      </c>
      <c r="X3700" t="str">
        <f t="shared" si="230"/>
        <v>49+ Months</v>
      </c>
      <c r="Y3700" s="1" t="str">
        <f t="shared" si="231"/>
        <v>High</v>
      </c>
    </row>
    <row r="3701" spans="1:25" x14ac:dyDescent="0.2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 t="shared" si="228"/>
        <v>0</v>
      </c>
      <c r="W3701">
        <f t="shared" si="229"/>
        <v>1</v>
      </c>
      <c r="X3701" t="str">
        <f t="shared" si="230"/>
        <v>25-48 Months</v>
      </c>
      <c r="Y3701" s="1" t="str">
        <f t="shared" si="231"/>
        <v>Medium</v>
      </c>
    </row>
    <row r="3702" spans="1:25" x14ac:dyDescent="0.2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 t="shared" si="228"/>
        <v>1</v>
      </c>
      <c r="W3702">
        <f t="shared" si="229"/>
        <v>0</v>
      </c>
      <c r="X3702" t="str">
        <f t="shared" si="230"/>
        <v>13-24 Months</v>
      </c>
      <c r="Y3702" s="1" t="str">
        <f t="shared" si="231"/>
        <v>Low</v>
      </c>
    </row>
    <row r="3703" spans="1:25" x14ac:dyDescent="0.2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 t="shared" si="228"/>
        <v>0</v>
      </c>
      <c r="W3703">
        <f t="shared" si="229"/>
        <v>1</v>
      </c>
      <c r="X3703" t="str">
        <f t="shared" si="230"/>
        <v>25-48 Months</v>
      </c>
      <c r="Y3703" s="1" t="str">
        <f t="shared" si="231"/>
        <v>Low</v>
      </c>
    </row>
    <row r="3704" spans="1:25" x14ac:dyDescent="0.2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 t="shared" si="228"/>
        <v>1</v>
      </c>
      <c r="W3704">
        <f t="shared" si="229"/>
        <v>0</v>
      </c>
      <c r="X3704" t="str">
        <f t="shared" si="230"/>
        <v>13-24 Months</v>
      </c>
      <c r="Y3704" s="1" t="str">
        <f t="shared" si="231"/>
        <v>Medium</v>
      </c>
    </row>
    <row r="3705" spans="1:25" x14ac:dyDescent="0.2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 t="shared" si="228"/>
        <v>0</v>
      </c>
      <c r="W3705">
        <f t="shared" si="229"/>
        <v>1</v>
      </c>
      <c r="X3705" t="str">
        <f t="shared" si="230"/>
        <v>0-12 Months</v>
      </c>
      <c r="Y3705" s="1" t="str">
        <f t="shared" si="231"/>
        <v>Low</v>
      </c>
    </row>
    <row r="3706" spans="1:25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 t="shared" si="228"/>
        <v>0</v>
      </c>
      <c r="W3706">
        <f t="shared" si="229"/>
        <v>1</v>
      </c>
      <c r="X3706" t="str">
        <f t="shared" si="230"/>
        <v>49+ Months</v>
      </c>
      <c r="Y3706" s="1" t="str">
        <f t="shared" si="231"/>
        <v>Medium</v>
      </c>
    </row>
    <row r="3707" spans="1:25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 t="shared" si="228"/>
        <v>0</v>
      </c>
      <c r="W3707">
        <f t="shared" si="229"/>
        <v>1</v>
      </c>
      <c r="X3707" t="str">
        <f t="shared" si="230"/>
        <v>49+ Months</v>
      </c>
      <c r="Y3707" s="1" t="str">
        <f t="shared" si="231"/>
        <v>Medium</v>
      </c>
    </row>
    <row r="3708" spans="1:25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 t="shared" si="228"/>
        <v>0</v>
      </c>
      <c r="W3708">
        <f t="shared" si="229"/>
        <v>1</v>
      </c>
      <c r="X3708" t="str">
        <f t="shared" si="230"/>
        <v>25-48 Months</v>
      </c>
      <c r="Y3708" s="1" t="str">
        <f t="shared" si="231"/>
        <v>High</v>
      </c>
    </row>
    <row r="3709" spans="1:25" x14ac:dyDescent="0.2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 t="shared" si="228"/>
        <v>0</v>
      </c>
      <c r="W3709">
        <f t="shared" si="229"/>
        <v>1</v>
      </c>
      <c r="X3709" t="str">
        <f t="shared" si="230"/>
        <v>49+ Months</v>
      </c>
      <c r="Y3709" s="1" t="str">
        <f t="shared" si="231"/>
        <v>Low</v>
      </c>
    </row>
    <row r="3710" spans="1:25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 t="shared" si="228"/>
        <v>0</v>
      </c>
      <c r="W3710">
        <f t="shared" si="229"/>
        <v>1</v>
      </c>
      <c r="X3710" t="str">
        <f t="shared" si="230"/>
        <v>0-12 Months</v>
      </c>
      <c r="Y3710" s="1" t="str">
        <f t="shared" si="231"/>
        <v>Low</v>
      </c>
    </row>
    <row r="3711" spans="1:25" x14ac:dyDescent="0.2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 t="shared" si="228"/>
        <v>0</v>
      </c>
      <c r="W3711">
        <f t="shared" si="229"/>
        <v>1</v>
      </c>
      <c r="X3711" t="str">
        <f t="shared" si="230"/>
        <v>0-12 Months</v>
      </c>
      <c r="Y3711" s="1" t="str">
        <f t="shared" si="231"/>
        <v>Medium</v>
      </c>
    </row>
    <row r="3712" spans="1:25" x14ac:dyDescent="0.2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 t="shared" si="228"/>
        <v>0</v>
      </c>
      <c r="W3712">
        <f t="shared" si="229"/>
        <v>1</v>
      </c>
      <c r="X3712" t="str">
        <f t="shared" si="230"/>
        <v>0-12 Months</v>
      </c>
      <c r="Y3712" s="1" t="str">
        <f t="shared" si="231"/>
        <v>Low</v>
      </c>
    </row>
    <row r="3713" spans="1:25" x14ac:dyDescent="0.2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 t="shared" si="228"/>
        <v>0</v>
      </c>
      <c r="W3713">
        <f t="shared" si="229"/>
        <v>1</v>
      </c>
      <c r="X3713" t="str">
        <f t="shared" si="230"/>
        <v>49+ Months</v>
      </c>
      <c r="Y3713" s="1" t="str">
        <f t="shared" si="231"/>
        <v>Medium</v>
      </c>
    </row>
    <row r="3714" spans="1:25" x14ac:dyDescent="0.2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 t="shared" ref="V3714:V3777" si="232">IF(U3714="Yes",1,0)</f>
        <v>0</v>
      </c>
      <c r="W3714">
        <f t="shared" ref="W3714:W3777" si="233">IF(U3714="No",1,0)</f>
        <v>1</v>
      </c>
      <c r="X3714" t="str">
        <f t="shared" ref="X3714:X3777" si="234">IF(F3714&lt;=12,"0-12 Months",IF(F3714&lt;=24,"13-24 Months",IF(F3714&lt;=48,"25-48 Months","49+ Months")))</f>
        <v>25-48 Months</v>
      </c>
      <c r="Y3714" s="1" t="str">
        <f t="shared" ref="Y3714:Y3777" si="235">IF(S3714&lt;50,"Low",IF(S3714&lt;80,"Medium","High"))</f>
        <v>Medium</v>
      </c>
    </row>
    <row r="3715" spans="1:25" x14ac:dyDescent="0.2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 t="shared" si="232"/>
        <v>1</v>
      </c>
      <c r="W3715">
        <f t="shared" si="233"/>
        <v>0</v>
      </c>
      <c r="X3715" t="str">
        <f t="shared" si="234"/>
        <v>25-48 Months</v>
      </c>
      <c r="Y3715" s="1" t="str">
        <f t="shared" si="235"/>
        <v>High</v>
      </c>
    </row>
    <row r="3716" spans="1:25" x14ac:dyDescent="0.2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 t="shared" si="232"/>
        <v>0</v>
      </c>
      <c r="W3716">
        <f t="shared" si="233"/>
        <v>1</v>
      </c>
      <c r="X3716" t="str">
        <f t="shared" si="234"/>
        <v>49+ Months</v>
      </c>
      <c r="Y3716" s="1" t="str">
        <f t="shared" si="235"/>
        <v>Medium</v>
      </c>
    </row>
    <row r="3717" spans="1:25" x14ac:dyDescent="0.2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 t="shared" si="232"/>
        <v>0</v>
      </c>
      <c r="W3717">
        <f t="shared" si="233"/>
        <v>1</v>
      </c>
      <c r="X3717" t="str">
        <f t="shared" si="234"/>
        <v>0-12 Months</v>
      </c>
      <c r="Y3717" s="1" t="str">
        <f t="shared" si="235"/>
        <v>Medium</v>
      </c>
    </row>
    <row r="3718" spans="1:25" x14ac:dyDescent="0.2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 t="shared" si="232"/>
        <v>1</v>
      </c>
      <c r="W3718">
        <f t="shared" si="233"/>
        <v>0</v>
      </c>
      <c r="X3718" t="str">
        <f t="shared" si="234"/>
        <v>0-12 Months</v>
      </c>
      <c r="Y3718" s="1" t="str">
        <f t="shared" si="235"/>
        <v>High</v>
      </c>
    </row>
    <row r="3719" spans="1:25" x14ac:dyDescent="0.2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 t="shared" si="232"/>
        <v>0</v>
      </c>
      <c r="W3719">
        <f t="shared" si="233"/>
        <v>1</v>
      </c>
      <c r="X3719" t="str">
        <f t="shared" si="234"/>
        <v>25-48 Months</v>
      </c>
      <c r="Y3719" s="1" t="str">
        <f t="shared" si="235"/>
        <v>Low</v>
      </c>
    </row>
    <row r="3720" spans="1:25" x14ac:dyDescent="0.2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 t="shared" si="232"/>
        <v>0</v>
      </c>
      <c r="W3720">
        <f t="shared" si="233"/>
        <v>1</v>
      </c>
      <c r="X3720" t="str">
        <f t="shared" si="234"/>
        <v>49+ Months</v>
      </c>
      <c r="Y3720" s="1" t="str">
        <f t="shared" si="235"/>
        <v>High</v>
      </c>
    </row>
    <row r="3721" spans="1:25" x14ac:dyDescent="0.2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 t="shared" si="232"/>
        <v>0</v>
      </c>
      <c r="W3721">
        <f t="shared" si="233"/>
        <v>1</v>
      </c>
      <c r="X3721" t="str">
        <f t="shared" si="234"/>
        <v>25-48 Months</v>
      </c>
      <c r="Y3721" s="1" t="str">
        <f t="shared" si="235"/>
        <v>Low</v>
      </c>
    </row>
    <row r="3722" spans="1:25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 t="shared" si="232"/>
        <v>0</v>
      </c>
      <c r="W3722">
        <f t="shared" si="233"/>
        <v>1</v>
      </c>
      <c r="X3722" t="str">
        <f t="shared" si="234"/>
        <v>25-48 Months</v>
      </c>
      <c r="Y3722" s="1" t="str">
        <f t="shared" si="235"/>
        <v>Medium</v>
      </c>
    </row>
    <row r="3723" spans="1:25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 t="shared" si="232"/>
        <v>1</v>
      </c>
      <c r="W3723">
        <f t="shared" si="233"/>
        <v>0</v>
      </c>
      <c r="X3723" t="str">
        <f t="shared" si="234"/>
        <v>0-12 Months</v>
      </c>
      <c r="Y3723" s="1" t="str">
        <f t="shared" si="235"/>
        <v>Low</v>
      </c>
    </row>
    <row r="3724" spans="1:25" x14ac:dyDescent="0.2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 t="shared" si="232"/>
        <v>0</v>
      </c>
      <c r="W3724">
        <f t="shared" si="233"/>
        <v>1</v>
      </c>
      <c r="X3724" t="str">
        <f t="shared" si="234"/>
        <v>13-24 Months</v>
      </c>
      <c r="Y3724" s="1" t="str">
        <f t="shared" si="235"/>
        <v>Low</v>
      </c>
    </row>
    <row r="3725" spans="1:25" x14ac:dyDescent="0.2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 t="shared" si="232"/>
        <v>0</v>
      </c>
      <c r="W3725">
        <f t="shared" si="233"/>
        <v>1</v>
      </c>
      <c r="X3725" t="str">
        <f t="shared" si="234"/>
        <v>13-24 Months</v>
      </c>
      <c r="Y3725" s="1" t="str">
        <f t="shared" si="235"/>
        <v>Low</v>
      </c>
    </row>
    <row r="3726" spans="1:25" x14ac:dyDescent="0.2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 t="shared" si="232"/>
        <v>0</v>
      </c>
      <c r="W3726">
        <f t="shared" si="233"/>
        <v>1</v>
      </c>
      <c r="X3726" t="str">
        <f t="shared" si="234"/>
        <v>49+ Months</v>
      </c>
      <c r="Y3726" s="1" t="str">
        <f t="shared" si="235"/>
        <v>Low</v>
      </c>
    </row>
    <row r="3727" spans="1:25" x14ac:dyDescent="0.2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 t="shared" si="232"/>
        <v>1</v>
      </c>
      <c r="W3727">
        <f t="shared" si="233"/>
        <v>0</v>
      </c>
      <c r="X3727" t="str">
        <f t="shared" si="234"/>
        <v>0-12 Months</v>
      </c>
      <c r="Y3727" s="1" t="str">
        <f t="shared" si="235"/>
        <v>Medium</v>
      </c>
    </row>
    <row r="3728" spans="1:25" x14ac:dyDescent="0.2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 t="shared" si="232"/>
        <v>1</v>
      </c>
      <c r="W3728">
        <f t="shared" si="233"/>
        <v>0</v>
      </c>
      <c r="X3728" t="str">
        <f t="shared" si="234"/>
        <v>13-24 Months</v>
      </c>
      <c r="Y3728" s="1" t="str">
        <f t="shared" si="235"/>
        <v>High</v>
      </c>
    </row>
    <row r="3729" spans="1:25" x14ac:dyDescent="0.2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 t="shared" si="232"/>
        <v>1</v>
      </c>
      <c r="W3729">
        <f t="shared" si="233"/>
        <v>0</v>
      </c>
      <c r="X3729" t="str">
        <f t="shared" si="234"/>
        <v>0-12 Months</v>
      </c>
      <c r="Y3729" s="1" t="str">
        <f t="shared" si="235"/>
        <v>High</v>
      </c>
    </row>
    <row r="3730" spans="1:25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 t="shared" si="232"/>
        <v>0</v>
      </c>
      <c r="W3730">
        <f t="shared" si="233"/>
        <v>1</v>
      </c>
      <c r="X3730" t="str">
        <f t="shared" si="234"/>
        <v>49+ Months</v>
      </c>
      <c r="Y3730" s="1" t="str">
        <f t="shared" si="235"/>
        <v>High</v>
      </c>
    </row>
    <row r="3731" spans="1:25" x14ac:dyDescent="0.2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 t="shared" si="232"/>
        <v>0</v>
      </c>
      <c r="W3731">
        <f t="shared" si="233"/>
        <v>1</v>
      </c>
      <c r="X3731" t="str">
        <f t="shared" si="234"/>
        <v>49+ Months</v>
      </c>
      <c r="Y3731" s="1" t="str">
        <f t="shared" si="235"/>
        <v>Low</v>
      </c>
    </row>
    <row r="3732" spans="1:25" x14ac:dyDescent="0.2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 t="shared" si="232"/>
        <v>1</v>
      </c>
      <c r="W3732">
        <f t="shared" si="233"/>
        <v>0</v>
      </c>
      <c r="X3732" t="str">
        <f t="shared" si="234"/>
        <v>49+ Months</v>
      </c>
      <c r="Y3732" s="1" t="str">
        <f t="shared" si="235"/>
        <v>High</v>
      </c>
    </row>
    <row r="3733" spans="1:25" x14ac:dyDescent="0.2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 t="shared" si="232"/>
        <v>0</v>
      </c>
      <c r="W3733">
        <f t="shared" si="233"/>
        <v>1</v>
      </c>
      <c r="X3733" t="str">
        <f t="shared" si="234"/>
        <v>0-12 Months</v>
      </c>
      <c r="Y3733" s="1" t="str">
        <f t="shared" si="235"/>
        <v>Medium</v>
      </c>
    </row>
    <row r="3734" spans="1:25" x14ac:dyDescent="0.2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 t="shared" si="232"/>
        <v>0</v>
      </c>
      <c r="W3734">
        <f t="shared" si="233"/>
        <v>1</v>
      </c>
      <c r="X3734" t="str">
        <f t="shared" si="234"/>
        <v>13-24 Months</v>
      </c>
      <c r="Y3734" s="1" t="str">
        <f t="shared" si="235"/>
        <v>Medium</v>
      </c>
    </row>
    <row r="3735" spans="1:25" x14ac:dyDescent="0.2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 t="shared" si="232"/>
        <v>0</v>
      </c>
      <c r="W3735">
        <f t="shared" si="233"/>
        <v>1</v>
      </c>
      <c r="X3735" t="str">
        <f t="shared" si="234"/>
        <v>25-48 Months</v>
      </c>
      <c r="Y3735" s="1" t="str">
        <f t="shared" si="235"/>
        <v>Low</v>
      </c>
    </row>
    <row r="3736" spans="1:25" x14ac:dyDescent="0.2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 t="shared" si="232"/>
        <v>0</v>
      </c>
      <c r="W3736">
        <f t="shared" si="233"/>
        <v>1</v>
      </c>
      <c r="X3736" t="str">
        <f t="shared" si="234"/>
        <v>49+ Months</v>
      </c>
      <c r="Y3736" s="1" t="str">
        <f t="shared" si="235"/>
        <v>High</v>
      </c>
    </row>
    <row r="3737" spans="1:25" x14ac:dyDescent="0.2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 t="shared" si="232"/>
        <v>0</v>
      </c>
      <c r="W3737">
        <f t="shared" si="233"/>
        <v>1</v>
      </c>
      <c r="X3737" t="str">
        <f t="shared" si="234"/>
        <v>0-12 Months</v>
      </c>
      <c r="Y3737" s="1" t="str">
        <f t="shared" si="235"/>
        <v>High</v>
      </c>
    </row>
    <row r="3738" spans="1:25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 t="shared" si="232"/>
        <v>0</v>
      </c>
      <c r="W3738">
        <f t="shared" si="233"/>
        <v>1</v>
      </c>
      <c r="X3738" t="str">
        <f t="shared" si="234"/>
        <v>0-12 Months</v>
      </c>
      <c r="Y3738" s="1" t="str">
        <f t="shared" si="235"/>
        <v>Low</v>
      </c>
    </row>
    <row r="3739" spans="1:25" x14ac:dyDescent="0.2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 t="shared" si="232"/>
        <v>1</v>
      </c>
      <c r="W3739">
        <f t="shared" si="233"/>
        <v>0</v>
      </c>
      <c r="X3739" t="str">
        <f t="shared" si="234"/>
        <v>0-12 Months</v>
      </c>
      <c r="Y3739" s="1" t="str">
        <f t="shared" si="235"/>
        <v>Medium</v>
      </c>
    </row>
    <row r="3740" spans="1:25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 t="shared" si="232"/>
        <v>0</v>
      </c>
      <c r="W3740">
        <f t="shared" si="233"/>
        <v>1</v>
      </c>
      <c r="X3740" t="str">
        <f t="shared" si="234"/>
        <v>25-48 Months</v>
      </c>
      <c r="Y3740" s="1" t="str">
        <f t="shared" si="235"/>
        <v>Low</v>
      </c>
    </row>
    <row r="3741" spans="1:25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 t="shared" si="232"/>
        <v>0</v>
      </c>
      <c r="W3741">
        <f t="shared" si="233"/>
        <v>1</v>
      </c>
      <c r="X3741" t="str">
        <f t="shared" si="234"/>
        <v>13-24 Months</v>
      </c>
      <c r="Y3741" s="1" t="str">
        <f t="shared" si="235"/>
        <v>Low</v>
      </c>
    </row>
    <row r="3742" spans="1:25" x14ac:dyDescent="0.2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 t="shared" si="232"/>
        <v>0</v>
      </c>
      <c r="W3742">
        <f t="shared" si="233"/>
        <v>1</v>
      </c>
      <c r="X3742" t="str">
        <f t="shared" si="234"/>
        <v>0-12 Months</v>
      </c>
      <c r="Y3742" s="1" t="str">
        <f t="shared" si="235"/>
        <v>Medium</v>
      </c>
    </row>
    <row r="3743" spans="1:25" x14ac:dyDescent="0.2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 t="shared" si="232"/>
        <v>0</v>
      </c>
      <c r="W3743">
        <f t="shared" si="233"/>
        <v>1</v>
      </c>
      <c r="X3743" t="str">
        <f t="shared" si="234"/>
        <v>49+ Months</v>
      </c>
      <c r="Y3743" s="1" t="str">
        <f t="shared" si="235"/>
        <v>High</v>
      </c>
    </row>
    <row r="3744" spans="1:25" x14ac:dyDescent="0.2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 t="shared" si="232"/>
        <v>0</v>
      </c>
      <c r="W3744">
        <f t="shared" si="233"/>
        <v>1</v>
      </c>
      <c r="X3744" t="str">
        <f t="shared" si="234"/>
        <v>25-48 Months</v>
      </c>
      <c r="Y3744" s="1" t="str">
        <f t="shared" si="235"/>
        <v>High</v>
      </c>
    </row>
    <row r="3745" spans="1:25" x14ac:dyDescent="0.2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 t="shared" si="232"/>
        <v>1</v>
      </c>
      <c r="W3745">
        <f t="shared" si="233"/>
        <v>0</v>
      </c>
      <c r="X3745" t="str">
        <f t="shared" si="234"/>
        <v>0-12 Months</v>
      </c>
      <c r="Y3745" s="1" t="str">
        <f t="shared" si="235"/>
        <v>Low</v>
      </c>
    </row>
    <row r="3746" spans="1:25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 t="shared" si="232"/>
        <v>0</v>
      </c>
      <c r="W3746">
        <f t="shared" si="233"/>
        <v>1</v>
      </c>
      <c r="X3746" t="str">
        <f t="shared" si="234"/>
        <v>25-48 Months</v>
      </c>
      <c r="Y3746" s="1" t="str">
        <f t="shared" si="235"/>
        <v>Medium</v>
      </c>
    </row>
    <row r="3747" spans="1:25" x14ac:dyDescent="0.2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 t="shared" si="232"/>
        <v>1</v>
      </c>
      <c r="W3747">
        <f t="shared" si="233"/>
        <v>0</v>
      </c>
      <c r="X3747" t="str">
        <f t="shared" si="234"/>
        <v>0-12 Months</v>
      </c>
      <c r="Y3747" s="1" t="str">
        <f t="shared" si="235"/>
        <v>High</v>
      </c>
    </row>
    <row r="3748" spans="1:25" x14ac:dyDescent="0.2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 t="shared" si="232"/>
        <v>1</v>
      </c>
      <c r="W3748">
        <f t="shared" si="233"/>
        <v>0</v>
      </c>
      <c r="X3748" t="str">
        <f t="shared" si="234"/>
        <v>0-12 Months</v>
      </c>
      <c r="Y3748" s="1" t="str">
        <f t="shared" si="235"/>
        <v>Medium</v>
      </c>
    </row>
    <row r="3749" spans="1:25" x14ac:dyDescent="0.2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 t="shared" si="232"/>
        <v>0</v>
      </c>
      <c r="W3749">
        <f t="shared" si="233"/>
        <v>1</v>
      </c>
      <c r="X3749" t="str">
        <f t="shared" si="234"/>
        <v>0-12 Months</v>
      </c>
      <c r="Y3749" s="1" t="str">
        <f t="shared" si="235"/>
        <v>Medium</v>
      </c>
    </row>
    <row r="3750" spans="1:25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 t="shared" si="232"/>
        <v>0</v>
      </c>
      <c r="W3750">
        <f t="shared" si="233"/>
        <v>1</v>
      </c>
      <c r="X3750" t="str">
        <f t="shared" si="234"/>
        <v>25-48 Months</v>
      </c>
      <c r="Y3750" s="1" t="str">
        <f t="shared" si="235"/>
        <v>Medium</v>
      </c>
    </row>
    <row r="3751" spans="1:25" x14ac:dyDescent="0.2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 t="shared" si="232"/>
        <v>1</v>
      </c>
      <c r="W3751">
        <f t="shared" si="233"/>
        <v>0</v>
      </c>
      <c r="X3751" t="str">
        <f t="shared" si="234"/>
        <v>0-12 Months</v>
      </c>
      <c r="Y3751" s="1" t="str">
        <f t="shared" si="235"/>
        <v>High</v>
      </c>
    </row>
    <row r="3752" spans="1:25" x14ac:dyDescent="0.2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 t="shared" si="232"/>
        <v>0</v>
      </c>
      <c r="W3752">
        <f t="shared" si="233"/>
        <v>1</v>
      </c>
      <c r="X3752" t="str">
        <f t="shared" si="234"/>
        <v>0-12 Months</v>
      </c>
      <c r="Y3752" s="1" t="str">
        <f t="shared" si="235"/>
        <v>Medium</v>
      </c>
    </row>
    <row r="3753" spans="1:25" x14ac:dyDescent="0.2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 t="shared" si="232"/>
        <v>0</v>
      </c>
      <c r="W3753">
        <f t="shared" si="233"/>
        <v>1</v>
      </c>
      <c r="X3753" t="str">
        <f t="shared" si="234"/>
        <v>49+ Months</v>
      </c>
      <c r="Y3753" s="1" t="str">
        <f t="shared" si="235"/>
        <v>High</v>
      </c>
    </row>
    <row r="3754" spans="1:25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 t="shared" si="232"/>
        <v>0</v>
      </c>
      <c r="W3754">
        <f t="shared" si="233"/>
        <v>1</v>
      </c>
      <c r="X3754" t="str">
        <f t="shared" si="234"/>
        <v>49+ Months</v>
      </c>
      <c r="Y3754" s="1" t="str">
        <f t="shared" si="235"/>
        <v>Medium</v>
      </c>
    </row>
    <row r="3755" spans="1:25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 t="shared" si="232"/>
        <v>0</v>
      </c>
      <c r="W3755">
        <f t="shared" si="233"/>
        <v>1</v>
      </c>
      <c r="X3755" t="str">
        <f t="shared" si="234"/>
        <v>0-12 Months</v>
      </c>
      <c r="Y3755" s="1" t="str">
        <f t="shared" si="235"/>
        <v>Low</v>
      </c>
    </row>
    <row r="3756" spans="1:25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 t="shared" si="232"/>
        <v>0</v>
      </c>
      <c r="W3756">
        <f t="shared" si="233"/>
        <v>1</v>
      </c>
      <c r="X3756" t="str">
        <f t="shared" si="234"/>
        <v>0-12 Months</v>
      </c>
      <c r="Y3756" s="1" t="str">
        <f t="shared" si="235"/>
        <v>Low</v>
      </c>
    </row>
    <row r="3757" spans="1:25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 t="shared" si="232"/>
        <v>1</v>
      </c>
      <c r="W3757">
        <f t="shared" si="233"/>
        <v>0</v>
      </c>
      <c r="X3757" t="str">
        <f t="shared" si="234"/>
        <v>0-12 Months</v>
      </c>
      <c r="Y3757" s="1" t="str">
        <f t="shared" si="235"/>
        <v>Medium</v>
      </c>
    </row>
    <row r="3758" spans="1:25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 t="shared" si="232"/>
        <v>1</v>
      </c>
      <c r="W3758">
        <f t="shared" si="233"/>
        <v>0</v>
      </c>
      <c r="X3758" t="str">
        <f t="shared" si="234"/>
        <v>0-12 Months</v>
      </c>
      <c r="Y3758" s="1" t="str">
        <f t="shared" si="235"/>
        <v>Low</v>
      </c>
    </row>
    <row r="3759" spans="1:25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 t="shared" si="232"/>
        <v>0</v>
      </c>
      <c r="W3759">
        <f t="shared" si="233"/>
        <v>1</v>
      </c>
      <c r="X3759" t="str">
        <f t="shared" si="234"/>
        <v>25-48 Months</v>
      </c>
      <c r="Y3759" s="1" t="str">
        <f t="shared" si="235"/>
        <v>Medium</v>
      </c>
    </row>
    <row r="3760" spans="1:25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 t="shared" si="232"/>
        <v>0</v>
      </c>
      <c r="W3760">
        <f t="shared" si="233"/>
        <v>1</v>
      </c>
      <c r="X3760" t="str">
        <f t="shared" si="234"/>
        <v>0-12 Months</v>
      </c>
      <c r="Y3760" s="1" t="str">
        <f t="shared" si="235"/>
        <v>Low</v>
      </c>
    </row>
    <row r="3761" spans="1:25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 t="shared" si="232"/>
        <v>1</v>
      </c>
      <c r="W3761">
        <f t="shared" si="233"/>
        <v>0</v>
      </c>
      <c r="X3761" t="str">
        <f t="shared" si="234"/>
        <v>0-12 Months</v>
      </c>
      <c r="Y3761" s="1" t="str">
        <f t="shared" si="235"/>
        <v>High</v>
      </c>
    </row>
    <row r="3762" spans="1:25" x14ac:dyDescent="0.2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 t="shared" si="232"/>
        <v>0</v>
      </c>
      <c r="W3762">
        <f t="shared" si="233"/>
        <v>1</v>
      </c>
      <c r="X3762" t="str">
        <f t="shared" si="234"/>
        <v>0-12 Months</v>
      </c>
      <c r="Y3762" s="1" t="str">
        <f t="shared" si="235"/>
        <v>Medium</v>
      </c>
    </row>
    <row r="3763" spans="1:25" x14ac:dyDescent="0.2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 t="shared" si="232"/>
        <v>0</v>
      </c>
      <c r="W3763">
        <f t="shared" si="233"/>
        <v>1</v>
      </c>
      <c r="X3763" t="str">
        <f t="shared" si="234"/>
        <v>49+ Months</v>
      </c>
      <c r="Y3763" s="1" t="str">
        <f t="shared" si="235"/>
        <v>High</v>
      </c>
    </row>
    <row r="3764" spans="1:25" x14ac:dyDescent="0.2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 t="shared" si="232"/>
        <v>0</v>
      </c>
      <c r="W3764">
        <f t="shared" si="233"/>
        <v>1</v>
      </c>
      <c r="X3764" t="str">
        <f t="shared" si="234"/>
        <v>13-24 Months</v>
      </c>
      <c r="Y3764" s="1" t="str">
        <f t="shared" si="235"/>
        <v>Low</v>
      </c>
    </row>
    <row r="3765" spans="1:25" x14ac:dyDescent="0.2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 t="shared" si="232"/>
        <v>1</v>
      </c>
      <c r="W3765">
        <f t="shared" si="233"/>
        <v>0</v>
      </c>
      <c r="X3765" t="str">
        <f t="shared" si="234"/>
        <v>0-12 Months</v>
      </c>
      <c r="Y3765" s="1" t="str">
        <f t="shared" si="235"/>
        <v>High</v>
      </c>
    </row>
    <row r="3766" spans="1:25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 t="shared" si="232"/>
        <v>0</v>
      </c>
      <c r="W3766">
        <f t="shared" si="233"/>
        <v>1</v>
      </c>
      <c r="X3766" t="str">
        <f t="shared" si="234"/>
        <v>0-12 Months</v>
      </c>
      <c r="Y3766" s="1" t="str">
        <f t="shared" si="235"/>
        <v>Low</v>
      </c>
    </row>
    <row r="3767" spans="1:25" x14ac:dyDescent="0.2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 t="shared" si="232"/>
        <v>0</v>
      </c>
      <c r="W3767">
        <f t="shared" si="233"/>
        <v>1</v>
      </c>
      <c r="X3767" t="str">
        <f t="shared" si="234"/>
        <v>0-12 Months</v>
      </c>
      <c r="Y3767" s="1" t="str">
        <f t="shared" si="235"/>
        <v>Low</v>
      </c>
    </row>
    <row r="3768" spans="1:25" x14ac:dyDescent="0.2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 t="shared" si="232"/>
        <v>1</v>
      </c>
      <c r="W3768">
        <f t="shared" si="233"/>
        <v>0</v>
      </c>
      <c r="X3768" t="str">
        <f t="shared" si="234"/>
        <v>0-12 Months</v>
      </c>
      <c r="Y3768" s="1" t="str">
        <f t="shared" si="235"/>
        <v>Medium</v>
      </c>
    </row>
    <row r="3769" spans="1:25" x14ac:dyDescent="0.2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 t="shared" si="232"/>
        <v>0</v>
      </c>
      <c r="W3769">
        <f t="shared" si="233"/>
        <v>1</v>
      </c>
      <c r="X3769" t="str">
        <f t="shared" si="234"/>
        <v>49+ Months</v>
      </c>
      <c r="Y3769" s="1" t="str">
        <f t="shared" si="235"/>
        <v>High</v>
      </c>
    </row>
    <row r="3770" spans="1:25" x14ac:dyDescent="0.2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 t="shared" si="232"/>
        <v>0</v>
      </c>
      <c r="W3770">
        <f t="shared" si="233"/>
        <v>1</v>
      </c>
      <c r="X3770" t="str">
        <f t="shared" si="234"/>
        <v>49+ Months</v>
      </c>
      <c r="Y3770" s="1" t="str">
        <f t="shared" si="235"/>
        <v>Medium</v>
      </c>
    </row>
    <row r="3771" spans="1:25" x14ac:dyDescent="0.2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 t="shared" si="232"/>
        <v>0</v>
      </c>
      <c r="W3771">
        <f t="shared" si="233"/>
        <v>1</v>
      </c>
      <c r="X3771" t="str">
        <f t="shared" si="234"/>
        <v>25-48 Months</v>
      </c>
      <c r="Y3771" s="1" t="str">
        <f t="shared" si="235"/>
        <v>Low</v>
      </c>
    </row>
    <row r="3772" spans="1:25" x14ac:dyDescent="0.2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 t="shared" si="232"/>
        <v>0</v>
      </c>
      <c r="W3772">
        <f t="shared" si="233"/>
        <v>1</v>
      </c>
      <c r="X3772" t="str">
        <f t="shared" si="234"/>
        <v>49+ Months</v>
      </c>
      <c r="Y3772" s="1" t="str">
        <f t="shared" si="235"/>
        <v>Low</v>
      </c>
    </row>
    <row r="3773" spans="1:25" x14ac:dyDescent="0.2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 t="shared" si="232"/>
        <v>1</v>
      </c>
      <c r="W3773">
        <f t="shared" si="233"/>
        <v>0</v>
      </c>
      <c r="X3773" t="str">
        <f t="shared" si="234"/>
        <v>0-12 Months</v>
      </c>
      <c r="Y3773" s="1" t="str">
        <f t="shared" si="235"/>
        <v>Medium</v>
      </c>
    </row>
    <row r="3774" spans="1:25" x14ac:dyDescent="0.2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 t="shared" si="232"/>
        <v>1</v>
      </c>
      <c r="W3774">
        <f t="shared" si="233"/>
        <v>0</v>
      </c>
      <c r="X3774" t="str">
        <f t="shared" si="234"/>
        <v>0-12 Months</v>
      </c>
      <c r="Y3774" s="1" t="str">
        <f t="shared" si="235"/>
        <v>High</v>
      </c>
    </row>
    <row r="3775" spans="1:25" x14ac:dyDescent="0.2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 t="shared" si="232"/>
        <v>1</v>
      </c>
      <c r="W3775">
        <f t="shared" si="233"/>
        <v>0</v>
      </c>
      <c r="X3775" t="str">
        <f t="shared" si="234"/>
        <v>0-12 Months</v>
      </c>
      <c r="Y3775" s="1" t="str">
        <f t="shared" si="235"/>
        <v>Low</v>
      </c>
    </row>
    <row r="3776" spans="1:25" x14ac:dyDescent="0.2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 t="shared" si="232"/>
        <v>0</v>
      </c>
      <c r="W3776">
        <f t="shared" si="233"/>
        <v>1</v>
      </c>
      <c r="X3776" t="str">
        <f t="shared" si="234"/>
        <v>49+ Months</v>
      </c>
      <c r="Y3776" s="1" t="str">
        <f t="shared" si="235"/>
        <v>High</v>
      </c>
    </row>
    <row r="3777" spans="1:25" x14ac:dyDescent="0.2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 t="shared" si="232"/>
        <v>1</v>
      </c>
      <c r="W3777">
        <f t="shared" si="233"/>
        <v>0</v>
      </c>
      <c r="X3777" t="str">
        <f t="shared" si="234"/>
        <v>25-48 Months</v>
      </c>
      <c r="Y3777" s="1" t="str">
        <f t="shared" si="235"/>
        <v>High</v>
      </c>
    </row>
    <row r="3778" spans="1:25" x14ac:dyDescent="0.2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 t="shared" ref="V3778:V3841" si="236">IF(U3778="Yes",1,0)</f>
        <v>0</v>
      </c>
      <c r="W3778">
        <f t="shared" ref="W3778:W3841" si="237">IF(U3778="No",1,0)</f>
        <v>1</v>
      </c>
      <c r="X3778" t="str">
        <f t="shared" ref="X3778:X3841" si="238">IF(F3778&lt;=12,"0-12 Months",IF(F3778&lt;=24,"13-24 Months",IF(F3778&lt;=48,"25-48 Months","49+ Months")))</f>
        <v>25-48 Months</v>
      </c>
      <c r="Y3778" s="1" t="str">
        <f t="shared" ref="Y3778:Y3841" si="239">IF(S3778&lt;50,"Low",IF(S3778&lt;80,"Medium","High"))</f>
        <v>Medium</v>
      </c>
    </row>
    <row r="3779" spans="1:25" x14ac:dyDescent="0.2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 t="shared" si="236"/>
        <v>0</v>
      </c>
      <c r="W3779">
        <f t="shared" si="237"/>
        <v>1</v>
      </c>
      <c r="X3779" t="str">
        <f t="shared" si="238"/>
        <v>25-48 Months</v>
      </c>
      <c r="Y3779" s="1" t="str">
        <f t="shared" si="239"/>
        <v>Low</v>
      </c>
    </row>
    <row r="3780" spans="1:25" x14ac:dyDescent="0.2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 t="shared" si="236"/>
        <v>0</v>
      </c>
      <c r="W3780">
        <f t="shared" si="237"/>
        <v>1</v>
      </c>
      <c r="X3780" t="str">
        <f t="shared" si="238"/>
        <v>0-12 Months</v>
      </c>
      <c r="Y3780" s="1" t="str">
        <f t="shared" si="239"/>
        <v>Medium</v>
      </c>
    </row>
    <row r="3781" spans="1:25" x14ac:dyDescent="0.2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 t="shared" si="236"/>
        <v>1</v>
      </c>
      <c r="W3781">
        <f t="shared" si="237"/>
        <v>0</v>
      </c>
      <c r="X3781" t="str">
        <f t="shared" si="238"/>
        <v>49+ Months</v>
      </c>
      <c r="Y3781" s="1" t="str">
        <f t="shared" si="239"/>
        <v>Medium</v>
      </c>
    </row>
    <row r="3782" spans="1:25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 t="shared" si="236"/>
        <v>0</v>
      </c>
      <c r="W3782">
        <f t="shared" si="237"/>
        <v>1</v>
      </c>
      <c r="X3782" t="str">
        <f t="shared" si="238"/>
        <v>49+ Months</v>
      </c>
      <c r="Y3782" s="1" t="str">
        <f t="shared" si="239"/>
        <v>Medium</v>
      </c>
    </row>
    <row r="3783" spans="1:25" x14ac:dyDescent="0.2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 t="shared" si="236"/>
        <v>0</v>
      </c>
      <c r="W3783">
        <f t="shared" si="237"/>
        <v>1</v>
      </c>
      <c r="X3783" t="str">
        <f t="shared" si="238"/>
        <v>25-48 Months</v>
      </c>
      <c r="Y3783" s="1" t="str">
        <f t="shared" si="239"/>
        <v>Low</v>
      </c>
    </row>
    <row r="3784" spans="1:25" x14ac:dyDescent="0.2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 t="shared" si="236"/>
        <v>0</v>
      </c>
      <c r="W3784">
        <f t="shared" si="237"/>
        <v>1</v>
      </c>
      <c r="X3784" t="str">
        <f t="shared" si="238"/>
        <v>0-12 Months</v>
      </c>
      <c r="Y3784" s="1" t="str">
        <f t="shared" si="239"/>
        <v>High</v>
      </c>
    </row>
    <row r="3785" spans="1:25" x14ac:dyDescent="0.2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 t="shared" si="236"/>
        <v>0</v>
      </c>
      <c r="W3785">
        <f t="shared" si="237"/>
        <v>1</v>
      </c>
      <c r="X3785" t="str">
        <f t="shared" si="238"/>
        <v>49+ Months</v>
      </c>
      <c r="Y3785" s="1" t="str">
        <f t="shared" si="239"/>
        <v>High</v>
      </c>
    </row>
    <row r="3786" spans="1:25" x14ac:dyDescent="0.2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 t="shared" si="236"/>
        <v>1</v>
      </c>
      <c r="W3786">
        <f t="shared" si="237"/>
        <v>0</v>
      </c>
      <c r="X3786" t="str">
        <f t="shared" si="238"/>
        <v>25-48 Months</v>
      </c>
      <c r="Y3786" s="1" t="str">
        <f t="shared" si="239"/>
        <v>High</v>
      </c>
    </row>
    <row r="3787" spans="1:25" x14ac:dyDescent="0.2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 t="shared" si="236"/>
        <v>1</v>
      </c>
      <c r="W3787">
        <f t="shared" si="237"/>
        <v>0</v>
      </c>
      <c r="X3787" t="str">
        <f t="shared" si="238"/>
        <v>0-12 Months</v>
      </c>
      <c r="Y3787" s="1" t="str">
        <f t="shared" si="239"/>
        <v>High</v>
      </c>
    </row>
    <row r="3788" spans="1:25" x14ac:dyDescent="0.2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 t="shared" si="236"/>
        <v>0</v>
      </c>
      <c r="W3788">
        <f t="shared" si="237"/>
        <v>1</v>
      </c>
      <c r="X3788" t="str">
        <f t="shared" si="238"/>
        <v>25-48 Months</v>
      </c>
      <c r="Y3788" s="1" t="str">
        <f t="shared" si="239"/>
        <v>Medium</v>
      </c>
    </row>
    <row r="3789" spans="1:25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 t="shared" si="236"/>
        <v>0</v>
      </c>
      <c r="W3789">
        <f t="shared" si="237"/>
        <v>1</v>
      </c>
      <c r="X3789" t="str">
        <f t="shared" si="238"/>
        <v>49+ Months</v>
      </c>
      <c r="Y3789" s="1" t="str">
        <f t="shared" si="239"/>
        <v>High</v>
      </c>
    </row>
    <row r="3790" spans="1:25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 t="shared" si="236"/>
        <v>1</v>
      </c>
      <c r="W3790">
        <f t="shared" si="237"/>
        <v>0</v>
      </c>
      <c r="X3790" t="str">
        <f t="shared" si="238"/>
        <v>49+ Months</v>
      </c>
      <c r="Y3790" s="1" t="str">
        <f t="shared" si="239"/>
        <v>High</v>
      </c>
    </row>
    <row r="3791" spans="1:25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 t="shared" si="236"/>
        <v>0</v>
      </c>
      <c r="W3791">
        <f t="shared" si="237"/>
        <v>1</v>
      </c>
      <c r="X3791" t="str">
        <f t="shared" si="238"/>
        <v>0-12 Months</v>
      </c>
      <c r="Y3791" s="1" t="str">
        <f t="shared" si="239"/>
        <v>Low</v>
      </c>
    </row>
    <row r="3792" spans="1:25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 t="shared" si="236"/>
        <v>1</v>
      </c>
      <c r="W3792">
        <f t="shared" si="237"/>
        <v>0</v>
      </c>
      <c r="X3792" t="str">
        <f t="shared" si="238"/>
        <v>0-12 Months</v>
      </c>
      <c r="Y3792" s="1" t="str">
        <f t="shared" si="239"/>
        <v>Low</v>
      </c>
    </row>
    <row r="3793" spans="1:25" x14ac:dyDescent="0.2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 t="shared" si="236"/>
        <v>0</v>
      </c>
      <c r="W3793">
        <f t="shared" si="237"/>
        <v>1</v>
      </c>
      <c r="X3793" t="str">
        <f t="shared" si="238"/>
        <v>0-12 Months</v>
      </c>
      <c r="Y3793" s="1" t="str">
        <f t="shared" si="239"/>
        <v>Medium</v>
      </c>
    </row>
    <row r="3794" spans="1:25" x14ac:dyDescent="0.2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 t="shared" si="236"/>
        <v>1</v>
      </c>
      <c r="W3794">
        <f t="shared" si="237"/>
        <v>0</v>
      </c>
      <c r="X3794" t="str">
        <f t="shared" si="238"/>
        <v>25-48 Months</v>
      </c>
      <c r="Y3794" s="1" t="str">
        <f t="shared" si="239"/>
        <v>High</v>
      </c>
    </row>
    <row r="3795" spans="1:25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 t="shared" si="236"/>
        <v>0</v>
      </c>
      <c r="W3795">
        <f t="shared" si="237"/>
        <v>1</v>
      </c>
      <c r="X3795" t="str">
        <f t="shared" si="238"/>
        <v>0-12 Months</v>
      </c>
      <c r="Y3795" s="1" t="str">
        <f t="shared" si="239"/>
        <v>Low</v>
      </c>
    </row>
    <row r="3796" spans="1:25" x14ac:dyDescent="0.2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 t="shared" si="236"/>
        <v>0</v>
      </c>
      <c r="W3796">
        <f t="shared" si="237"/>
        <v>1</v>
      </c>
      <c r="X3796" t="str">
        <f t="shared" si="238"/>
        <v>0-12 Months</v>
      </c>
      <c r="Y3796" s="1" t="str">
        <f t="shared" si="239"/>
        <v>Medium</v>
      </c>
    </row>
    <row r="3797" spans="1:25" x14ac:dyDescent="0.2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 t="shared" si="236"/>
        <v>0</v>
      </c>
      <c r="W3797">
        <f t="shared" si="237"/>
        <v>1</v>
      </c>
      <c r="X3797" t="str">
        <f t="shared" si="238"/>
        <v>0-12 Months</v>
      </c>
      <c r="Y3797" s="1" t="str">
        <f t="shared" si="239"/>
        <v>High</v>
      </c>
    </row>
    <row r="3798" spans="1:25" x14ac:dyDescent="0.2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 t="shared" si="236"/>
        <v>1</v>
      </c>
      <c r="W3798">
        <f t="shared" si="237"/>
        <v>0</v>
      </c>
      <c r="X3798" t="str">
        <f t="shared" si="238"/>
        <v>13-24 Months</v>
      </c>
      <c r="Y3798" s="1" t="str">
        <f t="shared" si="239"/>
        <v>Low</v>
      </c>
    </row>
    <row r="3799" spans="1:25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 t="shared" si="236"/>
        <v>0</v>
      </c>
      <c r="W3799">
        <f t="shared" si="237"/>
        <v>1</v>
      </c>
      <c r="X3799" t="str">
        <f t="shared" si="238"/>
        <v>25-48 Months</v>
      </c>
      <c r="Y3799" s="1" t="str">
        <f t="shared" si="239"/>
        <v>High</v>
      </c>
    </row>
    <row r="3800" spans="1:25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 t="shared" si="236"/>
        <v>0</v>
      </c>
      <c r="W3800">
        <f t="shared" si="237"/>
        <v>1</v>
      </c>
      <c r="X3800" t="str">
        <f t="shared" si="238"/>
        <v>25-48 Months</v>
      </c>
      <c r="Y3800" s="1" t="str">
        <f t="shared" si="239"/>
        <v>High</v>
      </c>
    </row>
    <row r="3801" spans="1:25" x14ac:dyDescent="0.2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 t="shared" si="236"/>
        <v>1</v>
      </c>
      <c r="W3801">
        <f t="shared" si="237"/>
        <v>0</v>
      </c>
      <c r="X3801" t="str">
        <f t="shared" si="238"/>
        <v>25-48 Months</v>
      </c>
      <c r="Y3801" s="1" t="str">
        <f t="shared" si="239"/>
        <v>Medium</v>
      </c>
    </row>
    <row r="3802" spans="1:25" x14ac:dyDescent="0.2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 t="shared" si="236"/>
        <v>0</v>
      </c>
      <c r="W3802">
        <f t="shared" si="237"/>
        <v>1</v>
      </c>
      <c r="X3802" t="str">
        <f t="shared" si="238"/>
        <v>49+ Months</v>
      </c>
      <c r="Y3802" s="1" t="str">
        <f t="shared" si="239"/>
        <v>High</v>
      </c>
    </row>
    <row r="3803" spans="1:25" x14ac:dyDescent="0.2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 t="shared" si="236"/>
        <v>1</v>
      </c>
      <c r="W3803">
        <f t="shared" si="237"/>
        <v>0</v>
      </c>
      <c r="X3803" t="str">
        <f t="shared" si="238"/>
        <v>13-24 Months</v>
      </c>
      <c r="Y3803" s="1" t="str">
        <f t="shared" si="239"/>
        <v>High</v>
      </c>
    </row>
    <row r="3804" spans="1:25" x14ac:dyDescent="0.2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 t="shared" si="236"/>
        <v>0</v>
      </c>
      <c r="W3804">
        <f t="shared" si="237"/>
        <v>1</v>
      </c>
      <c r="X3804" t="str">
        <f t="shared" si="238"/>
        <v>0-12 Months</v>
      </c>
      <c r="Y3804" s="1" t="str">
        <f t="shared" si="239"/>
        <v>Low</v>
      </c>
    </row>
    <row r="3805" spans="1:25" x14ac:dyDescent="0.2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 t="shared" si="236"/>
        <v>1</v>
      </c>
      <c r="W3805">
        <f t="shared" si="237"/>
        <v>0</v>
      </c>
      <c r="X3805" t="str">
        <f t="shared" si="238"/>
        <v>49+ Months</v>
      </c>
      <c r="Y3805" s="1" t="str">
        <f t="shared" si="239"/>
        <v>High</v>
      </c>
    </row>
    <row r="3806" spans="1:25" x14ac:dyDescent="0.2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 t="shared" si="236"/>
        <v>0</v>
      </c>
      <c r="W3806">
        <f t="shared" si="237"/>
        <v>1</v>
      </c>
      <c r="X3806" t="str">
        <f t="shared" si="238"/>
        <v>0-12 Months</v>
      </c>
      <c r="Y3806" s="1" t="str">
        <f t="shared" si="239"/>
        <v>Medium</v>
      </c>
    </row>
    <row r="3807" spans="1:25" x14ac:dyDescent="0.2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 t="shared" si="236"/>
        <v>1</v>
      </c>
      <c r="W3807">
        <f t="shared" si="237"/>
        <v>0</v>
      </c>
      <c r="X3807" t="str">
        <f t="shared" si="238"/>
        <v>0-12 Months</v>
      </c>
      <c r="Y3807" s="1" t="str">
        <f t="shared" si="239"/>
        <v>Medium</v>
      </c>
    </row>
    <row r="3808" spans="1:25" x14ac:dyDescent="0.2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 t="shared" si="236"/>
        <v>0</v>
      </c>
      <c r="W3808">
        <f t="shared" si="237"/>
        <v>1</v>
      </c>
      <c r="X3808" t="str">
        <f t="shared" si="238"/>
        <v>13-24 Months</v>
      </c>
      <c r="Y3808" s="1" t="str">
        <f t="shared" si="239"/>
        <v>Medium</v>
      </c>
    </row>
    <row r="3809" spans="1:25" x14ac:dyDescent="0.2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 t="shared" si="236"/>
        <v>1</v>
      </c>
      <c r="W3809">
        <f t="shared" si="237"/>
        <v>0</v>
      </c>
      <c r="X3809" t="str">
        <f t="shared" si="238"/>
        <v>13-24 Months</v>
      </c>
      <c r="Y3809" s="1" t="str">
        <f t="shared" si="239"/>
        <v>High</v>
      </c>
    </row>
    <row r="3810" spans="1:25" x14ac:dyDescent="0.2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 t="shared" si="236"/>
        <v>0</v>
      </c>
      <c r="W3810">
        <f t="shared" si="237"/>
        <v>1</v>
      </c>
      <c r="X3810" t="str">
        <f t="shared" si="238"/>
        <v>0-12 Months</v>
      </c>
      <c r="Y3810" s="1" t="str">
        <f t="shared" si="239"/>
        <v>Low</v>
      </c>
    </row>
    <row r="3811" spans="1:25" x14ac:dyDescent="0.2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 t="shared" si="236"/>
        <v>0</v>
      </c>
      <c r="W3811">
        <f t="shared" si="237"/>
        <v>1</v>
      </c>
      <c r="X3811" t="str">
        <f t="shared" si="238"/>
        <v>49+ Months</v>
      </c>
      <c r="Y3811" s="1" t="str">
        <f t="shared" si="239"/>
        <v>Low</v>
      </c>
    </row>
    <row r="3812" spans="1:25" x14ac:dyDescent="0.2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 t="shared" si="236"/>
        <v>0</v>
      </c>
      <c r="W3812">
        <f t="shared" si="237"/>
        <v>1</v>
      </c>
      <c r="X3812" t="str">
        <f t="shared" si="238"/>
        <v>0-12 Months</v>
      </c>
      <c r="Y3812" s="1" t="str">
        <f t="shared" si="239"/>
        <v>Low</v>
      </c>
    </row>
    <row r="3813" spans="1:25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 t="shared" si="236"/>
        <v>0</v>
      </c>
      <c r="W3813">
        <f t="shared" si="237"/>
        <v>1</v>
      </c>
      <c r="X3813" t="str">
        <f t="shared" si="238"/>
        <v>0-12 Months</v>
      </c>
      <c r="Y3813" s="1" t="str">
        <f t="shared" si="239"/>
        <v>Medium</v>
      </c>
    </row>
    <row r="3814" spans="1:25" x14ac:dyDescent="0.2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 t="shared" si="236"/>
        <v>0</v>
      </c>
      <c r="W3814">
        <f t="shared" si="237"/>
        <v>1</v>
      </c>
      <c r="X3814" t="str">
        <f t="shared" si="238"/>
        <v>13-24 Months</v>
      </c>
      <c r="Y3814" s="1" t="str">
        <f t="shared" si="239"/>
        <v>Low</v>
      </c>
    </row>
    <row r="3815" spans="1:25" x14ac:dyDescent="0.2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 t="shared" si="236"/>
        <v>0</v>
      </c>
      <c r="W3815">
        <f t="shared" si="237"/>
        <v>1</v>
      </c>
      <c r="X3815" t="str">
        <f t="shared" si="238"/>
        <v>49+ Months</v>
      </c>
      <c r="Y3815" s="1" t="str">
        <f t="shared" si="239"/>
        <v>High</v>
      </c>
    </row>
    <row r="3816" spans="1:25" x14ac:dyDescent="0.2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 t="shared" si="236"/>
        <v>0</v>
      </c>
      <c r="W3816">
        <f t="shared" si="237"/>
        <v>1</v>
      </c>
      <c r="X3816" t="str">
        <f t="shared" si="238"/>
        <v>49+ Months</v>
      </c>
      <c r="Y3816" s="1" t="str">
        <f t="shared" si="239"/>
        <v>High</v>
      </c>
    </row>
    <row r="3817" spans="1:25" x14ac:dyDescent="0.2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 t="shared" si="236"/>
        <v>1</v>
      </c>
      <c r="W3817">
        <f t="shared" si="237"/>
        <v>0</v>
      </c>
      <c r="X3817" t="str">
        <f t="shared" si="238"/>
        <v>0-12 Months</v>
      </c>
      <c r="Y3817" s="1" t="str">
        <f t="shared" si="239"/>
        <v>Medium</v>
      </c>
    </row>
    <row r="3818" spans="1:25" x14ac:dyDescent="0.2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 t="shared" si="236"/>
        <v>0</v>
      </c>
      <c r="W3818">
        <f t="shared" si="237"/>
        <v>1</v>
      </c>
      <c r="X3818" t="str">
        <f t="shared" si="238"/>
        <v>49+ Months</v>
      </c>
      <c r="Y3818" s="1" t="str">
        <f t="shared" si="239"/>
        <v>Medium</v>
      </c>
    </row>
    <row r="3819" spans="1:25" x14ac:dyDescent="0.2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 t="shared" si="236"/>
        <v>0</v>
      </c>
      <c r="W3819">
        <f t="shared" si="237"/>
        <v>1</v>
      </c>
      <c r="X3819" t="str">
        <f t="shared" si="238"/>
        <v>49+ Months</v>
      </c>
      <c r="Y3819" s="1" t="str">
        <f t="shared" si="239"/>
        <v>Low</v>
      </c>
    </row>
    <row r="3820" spans="1:25" x14ac:dyDescent="0.2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 t="shared" si="236"/>
        <v>0</v>
      </c>
      <c r="W3820">
        <f t="shared" si="237"/>
        <v>1</v>
      </c>
      <c r="X3820" t="str">
        <f t="shared" si="238"/>
        <v>49+ Months</v>
      </c>
      <c r="Y3820" s="1" t="str">
        <f t="shared" si="239"/>
        <v>High</v>
      </c>
    </row>
    <row r="3821" spans="1:25" x14ac:dyDescent="0.2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 t="shared" si="236"/>
        <v>0</v>
      </c>
      <c r="W3821">
        <f t="shared" si="237"/>
        <v>1</v>
      </c>
      <c r="X3821" t="str">
        <f t="shared" si="238"/>
        <v>25-48 Months</v>
      </c>
      <c r="Y3821" s="1" t="str">
        <f t="shared" si="239"/>
        <v>Low</v>
      </c>
    </row>
    <row r="3822" spans="1:25" x14ac:dyDescent="0.2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 t="shared" si="236"/>
        <v>0</v>
      </c>
      <c r="W3822">
        <f t="shared" si="237"/>
        <v>1</v>
      </c>
      <c r="X3822" t="str">
        <f t="shared" si="238"/>
        <v>49+ Months</v>
      </c>
      <c r="Y3822" s="1" t="str">
        <f t="shared" si="239"/>
        <v>High</v>
      </c>
    </row>
    <row r="3823" spans="1:25" x14ac:dyDescent="0.2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 t="shared" si="236"/>
        <v>1</v>
      </c>
      <c r="W3823">
        <f t="shared" si="237"/>
        <v>0</v>
      </c>
      <c r="X3823" t="str">
        <f t="shared" si="238"/>
        <v>0-12 Months</v>
      </c>
      <c r="Y3823" s="1" t="str">
        <f t="shared" si="239"/>
        <v>Medium</v>
      </c>
    </row>
    <row r="3824" spans="1:25" x14ac:dyDescent="0.2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 t="shared" si="236"/>
        <v>0</v>
      </c>
      <c r="W3824">
        <f t="shared" si="237"/>
        <v>1</v>
      </c>
      <c r="X3824" t="str">
        <f t="shared" si="238"/>
        <v>0-12 Months</v>
      </c>
      <c r="Y3824" s="1" t="str">
        <f t="shared" si="239"/>
        <v>High</v>
      </c>
    </row>
    <row r="3825" spans="1:25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 t="shared" si="236"/>
        <v>0</v>
      </c>
      <c r="W3825">
        <f t="shared" si="237"/>
        <v>1</v>
      </c>
      <c r="X3825" t="str">
        <f t="shared" si="238"/>
        <v>49+ Months</v>
      </c>
      <c r="Y3825" s="1" t="str">
        <f t="shared" si="239"/>
        <v>Medium</v>
      </c>
    </row>
    <row r="3826" spans="1:25" x14ac:dyDescent="0.2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 t="shared" si="236"/>
        <v>0</v>
      </c>
      <c r="W3826">
        <f t="shared" si="237"/>
        <v>1</v>
      </c>
      <c r="X3826" t="str">
        <f t="shared" si="238"/>
        <v>0-12 Months</v>
      </c>
      <c r="Y3826" s="1" t="str">
        <f t="shared" si="239"/>
        <v>Medium</v>
      </c>
    </row>
    <row r="3827" spans="1:25" x14ac:dyDescent="0.2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 t="shared" si="236"/>
        <v>0</v>
      </c>
      <c r="W3827">
        <f t="shared" si="237"/>
        <v>1</v>
      </c>
      <c r="X3827" t="str">
        <f t="shared" si="238"/>
        <v>49+ Months</v>
      </c>
      <c r="Y3827" s="1" t="str">
        <f t="shared" si="239"/>
        <v>Low</v>
      </c>
    </row>
    <row r="3828" spans="1:25" x14ac:dyDescent="0.2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>
        <f t="shared" si="236"/>
        <v>0</v>
      </c>
      <c r="W3828">
        <f t="shared" si="237"/>
        <v>1</v>
      </c>
      <c r="X3828" t="str">
        <f t="shared" si="238"/>
        <v>0-12 Months</v>
      </c>
      <c r="Y3828" s="1" t="str">
        <f t="shared" si="239"/>
        <v>Low</v>
      </c>
    </row>
    <row r="3829" spans="1:25" x14ac:dyDescent="0.2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 t="shared" si="236"/>
        <v>0</v>
      </c>
      <c r="W3829">
        <f t="shared" si="237"/>
        <v>1</v>
      </c>
      <c r="X3829" t="str">
        <f t="shared" si="238"/>
        <v>0-12 Months</v>
      </c>
      <c r="Y3829" s="1" t="str">
        <f t="shared" si="239"/>
        <v>Low</v>
      </c>
    </row>
    <row r="3830" spans="1:25" x14ac:dyDescent="0.2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 t="shared" si="236"/>
        <v>0</v>
      </c>
      <c r="W3830">
        <f t="shared" si="237"/>
        <v>1</v>
      </c>
      <c r="X3830" t="str">
        <f t="shared" si="238"/>
        <v>49+ Months</v>
      </c>
      <c r="Y3830" s="1" t="str">
        <f t="shared" si="239"/>
        <v>Low</v>
      </c>
    </row>
    <row r="3831" spans="1:25" x14ac:dyDescent="0.2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 t="shared" si="236"/>
        <v>1</v>
      </c>
      <c r="W3831">
        <f t="shared" si="237"/>
        <v>0</v>
      </c>
      <c r="X3831" t="str">
        <f t="shared" si="238"/>
        <v>25-48 Months</v>
      </c>
      <c r="Y3831" s="1" t="str">
        <f t="shared" si="239"/>
        <v>High</v>
      </c>
    </row>
    <row r="3832" spans="1:25" x14ac:dyDescent="0.2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 t="shared" si="236"/>
        <v>1</v>
      </c>
      <c r="W3832">
        <f t="shared" si="237"/>
        <v>0</v>
      </c>
      <c r="X3832" t="str">
        <f t="shared" si="238"/>
        <v>0-12 Months</v>
      </c>
      <c r="Y3832" s="1" t="str">
        <f t="shared" si="239"/>
        <v>High</v>
      </c>
    </row>
    <row r="3833" spans="1:25" x14ac:dyDescent="0.2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 t="shared" si="236"/>
        <v>1</v>
      </c>
      <c r="W3833">
        <f t="shared" si="237"/>
        <v>0</v>
      </c>
      <c r="X3833" t="str">
        <f t="shared" si="238"/>
        <v>25-48 Months</v>
      </c>
      <c r="Y3833" s="1" t="str">
        <f t="shared" si="239"/>
        <v>High</v>
      </c>
    </row>
    <row r="3834" spans="1:25" x14ac:dyDescent="0.2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 t="shared" si="236"/>
        <v>0</v>
      </c>
      <c r="W3834">
        <f t="shared" si="237"/>
        <v>1</v>
      </c>
      <c r="X3834" t="str">
        <f t="shared" si="238"/>
        <v>49+ Months</v>
      </c>
      <c r="Y3834" s="1" t="str">
        <f t="shared" si="239"/>
        <v>Medium</v>
      </c>
    </row>
    <row r="3835" spans="1:25" x14ac:dyDescent="0.2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 t="shared" si="236"/>
        <v>0</v>
      </c>
      <c r="W3835">
        <f t="shared" si="237"/>
        <v>1</v>
      </c>
      <c r="X3835" t="str">
        <f t="shared" si="238"/>
        <v>0-12 Months</v>
      </c>
      <c r="Y3835" s="1" t="str">
        <f t="shared" si="239"/>
        <v>Medium</v>
      </c>
    </row>
    <row r="3836" spans="1:25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 t="shared" si="236"/>
        <v>1</v>
      </c>
      <c r="W3836">
        <f t="shared" si="237"/>
        <v>0</v>
      </c>
      <c r="X3836" t="str">
        <f t="shared" si="238"/>
        <v>49+ Months</v>
      </c>
      <c r="Y3836" s="1" t="str">
        <f t="shared" si="239"/>
        <v>Medium</v>
      </c>
    </row>
    <row r="3837" spans="1:25" x14ac:dyDescent="0.2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 t="shared" si="236"/>
        <v>0</v>
      </c>
      <c r="W3837">
        <f t="shared" si="237"/>
        <v>1</v>
      </c>
      <c r="X3837" t="str">
        <f t="shared" si="238"/>
        <v>13-24 Months</v>
      </c>
      <c r="Y3837" s="1" t="str">
        <f t="shared" si="239"/>
        <v>Low</v>
      </c>
    </row>
    <row r="3838" spans="1:25" x14ac:dyDescent="0.2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 t="shared" si="236"/>
        <v>0</v>
      </c>
      <c r="W3838">
        <f t="shared" si="237"/>
        <v>1</v>
      </c>
      <c r="X3838" t="str">
        <f t="shared" si="238"/>
        <v>49+ Months</v>
      </c>
      <c r="Y3838" s="1" t="str">
        <f t="shared" si="239"/>
        <v>Medium</v>
      </c>
    </row>
    <row r="3839" spans="1:25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 t="shared" si="236"/>
        <v>1</v>
      </c>
      <c r="W3839">
        <f t="shared" si="237"/>
        <v>0</v>
      </c>
      <c r="X3839" t="str">
        <f t="shared" si="238"/>
        <v>0-12 Months</v>
      </c>
      <c r="Y3839" s="1" t="str">
        <f t="shared" si="239"/>
        <v>High</v>
      </c>
    </row>
    <row r="3840" spans="1:25" x14ac:dyDescent="0.2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 t="shared" si="236"/>
        <v>0</v>
      </c>
      <c r="W3840">
        <f t="shared" si="237"/>
        <v>1</v>
      </c>
      <c r="X3840" t="str">
        <f t="shared" si="238"/>
        <v>25-48 Months</v>
      </c>
      <c r="Y3840" s="1" t="str">
        <f t="shared" si="239"/>
        <v>High</v>
      </c>
    </row>
    <row r="3841" spans="1:25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 t="shared" si="236"/>
        <v>0</v>
      </c>
      <c r="W3841">
        <f t="shared" si="237"/>
        <v>1</v>
      </c>
      <c r="X3841" t="str">
        <f t="shared" si="238"/>
        <v>13-24 Months</v>
      </c>
      <c r="Y3841" s="1" t="str">
        <f t="shared" si="239"/>
        <v>Low</v>
      </c>
    </row>
    <row r="3842" spans="1:25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 t="shared" ref="V3842:V3905" si="240">IF(U3842="Yes",1,0)</f>
        <v>0</v>
      </c>
      <c r="W3842">
        <f t="shared" ref="W3842:W3905" si="241">IF(U3842="No",1,0)</f>
        <v>1</v>
      </c>
      <c r="X3842" t="str">
        <f t="shared" ref="X3842:X3905" si="242">IF(F3842&lt;=12,"0-12 Months",IF(F3842&lt;=24,"13-24 Months",IF(F3842&lt;=48,"25-48 Months","49+ Months")))</f>
        <v>49+ Months</v>
      </c>
      <c r="Y3842" s="1" t="str">
        <f t="shared" ref="Y3842:Y3905" si="243">IF(S3842&lt;50,"Low",IF(S3842&lt;80,"Medium","High"))</f>
        <v>Low</v>
      </c>
    </row>
    <row r="3843" spans="1:25" x14ac:dyDescent="0.2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 t="shared" si="240"/>
        <v>1</v>
      </c>
      <c r="W3843">
        <f t="shared" si="241"/>
        <v>0</v>
      </c>
      <c r="X3843" t="str">
        <f t="shared" si="242"/>
        <v>25-48 Months</v>
      </c>
      <c r="Y3843" s="1" t="str">
        <f t="shared" si="243"/>
        <v>High</v>
      </c>
    </row>
    <row r="3844" spans="1:25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 t="shared" si="240"/>
        <v>0</v>
      </c>
      <c r="W3844">
        <f t="shared" si="241"/>
        <v>1</v>
      </c>
      <c r="X3844" t="str">
        <f t="shared" si="242"/>
        <v>25-48 Months</v>
      </c>
      <c r="Y3844" s="1" t="str">
        <f t="shared" si="243"/>
        <v>High</v>
      </c>
    </row>
    <row r="3845" spans="1:25" x14ac:dyDescent="0.2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 t="shared" si="240"/>
        <v>1</v>
      </c>
      <c r="W3845">
        <f t="shared" si="241"/>
        <v>0</v>
      </c>
      <c r="X3845" t="str">
        <f t="shared" si="242"/>
        <v>0-12 Months</v>
      </c>
      <c r="Y3845" s="1" t="str">
        <f t="shared" si="243"/>
        <v>Medium</v>
      </c>
    </row>
    <row r="3846" spans="1:25" x14ac:dyDescent="0.2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 t="shared" si="240"/>
        <v>1</v>
      </c>
      <c r="W3846">
        <f t="shared" si="241"/>
        <v>0</v>
      </c>
      <c r="X3846" t="str">
        <f t="shared" si="242"/>
        <v>25-48 Months</v>
      </c>
      <c r="Y3846" s="1" t="str">
        <f t="shared" si="243"/>
        <v>High</v>
      </c>
    </row>
    <row r="3847" spans="1:25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 t="shared" si="240"/>
        <v>1</v>
      </c>
      <c r="W3847">
        <f t="shared" si="241"/>
        <v>0</v>
      </c>
      <c r="X3847" t="str">
        <f t="shared" si="242"/>
        <v>0-12 Months</v>
      </c>
      <c r="Y3847" s="1" t="str">
        <f t="shared" si="243"/>
        <v>Medium</v>
      </c>
    </row>
    <row r="3848" spans="1:25" x14ac:dyDescent="0.2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 t="shared" si="240"/>
        <v>0</v>
      </c>
      <c r="W3848">
        <f t="shared" si="241"/>
        <v>1</v>
      </c>
      <c r="X3848" t="str">
        <f t="shared" si="242"/>
        <v>0-12 Months</v>
      </c>
      <c r="Y3848" s="1" t="str">
        <f t="shared" si="243"/>
        <v>Low</v>
      </c>
    </row>
    <row r="3849" spans="1:25" x14ac:dyDescent="0.2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 t="shared" si="240"/>
        <v>0</v>
      </c>
      <c r="W3849">
        <f t="shared" si="241"/>
        <v>1</v>
      </c>
      <c r="X3849" t="str">
        <f t="shared" si="242"/>
        <v>0-12 Months</v>
      </c>
      <c r="Y3849" s="1" t="str">
        <f t="shared" si="243"/>
        <v>Low</v>
      </c>
    </row>
    <row r="3850" spans="1:25" x14ac:dyDescent="0.2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 t="shared" si="240"/>
        <v>0</v>
      </c>
      <c r="W3850">
        <f t="shared" si="241"/>
        <v>1</v>
      </c>
      <c r="X3850" t="str">
        <f t="shared" si="242"/>
        <v>0-12 Months</v>
      </c>
      <c r="Y3850" s="1" t="str">
        <f t="shared" si="243"/>
        <v>Low</v>
      </c>
    </row>
    <row r="3851" spans="1:25" x14ac:dyDescent="0.2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 t="shared" si="240"/>
        <v>1</v>
      </c>
      <c r="W3851">
        <f t="shared" si="241"/>
        <v>0</v>
      </c>
      <c r="X3851" t="str">
        <f t="shared" si="242"/>
        <v>49+ Months</v>
      </c>
      <c r="Y3851" s="1" t="str">
        <f t="shared" si="243"/>
        <v>High</v>
      </c>
    </row>
    <row r="3852" spans="1:25" x14ac:dyDescent="0.2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 t="shared" si="240"/>
        <v>0</v>
      </c>
      <c r="W3852">
        <f t="shared" si="241"/>
        <v>1</v>
      </c>
      <c r="X3852" t="str">
        <f t="shared" si="242"/>
        <v>49+ Months</v>
      </c>
      <c r="Y3852" s="1" t="str">
        <f t="shared" si="243"/>
        <v>High</v>
      </c>
    </row>
    <row r="3853" spans="1:25" x14ac:dyDescent="0.2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 t="shared" si="240"/>
        <v>0</v>
      </c>
      <c r="W3853">
        <f t="shared" si="241"/>
        <v>1</v>
      </c>
      <c r="X3853" t="str">
        <f t="shared" si="242"/>
        <v>25-48 Months</v>
      </c>
      <c r="Y3853" s="1" t="str">
        <f t="shared" si="243"/>
        <v>Low</v>
      </c>
    </row>
    <row r="3854" spans="1:25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 t="shared" si="240"/>
        <v>0</v>
      </c>
      <c r="W3854">
        <f t="shared" si="241"/>
        <v>1</v>
      </c>
      <c r="X3854" t="str">
        <f t="shared" si="242"/>
        <v>0-12 Months</v>
      </c>
      <c r="Y3854" s="1" t="str">
        <f t="shared" si="243"/>
        <v>Low</v>
      </c>
    </row>
    <row r="3855" spans="1:25" x14ac:dyDescent="0.2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 t="shared" si="240"/>
        <v>0</v>
      </c>
      <c r="W3855">
        <f t="shared" si="241"/>
        <v>1</v>
      </c>
      <c r="X3855" t="str">
        <f t="shared" si="242"/>
        <v>25-48 Months</v>
      </c>
      <c r="Y3855" s="1" t="str">
        <f t="shared" si="243"/>
        <v>Medium</v>
      </c>
    </row>
    <row r="3856" spans="1:25" x14ac:dyDescent="0.2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 t="shared" si="240"/>
        <v>0</v>
      </c>
      <c r="W3856">
        <f t="shared" si="241"/>
        <v>1</v>
      </c>
      <c r="X3856" t="str">
        <f t="shared" si="242"/>
        <v>49+ Months</v>
      </c>
      <c r="Y3856" s="1" t="str">
        <f t="shared" si="243"/>
        <v>High</v>
      </c>
    </row>
    <row r="3857" spans="1:25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 t="shared" si="240"/>
        <v>0</v>
      </c>
      <c r="W3857">
        <f t="shared" si="241"/>
        <v>1</v>
      </c>
      <c r="X3857" t="str">
        <f t="shared" si="242"/>
        <v>49+ Months</v>
      </c>
      <c r="Y3857" s="1" t="str">
        <f t="shared" si="243"/>
        <v>Medium</v>
      </c>
    </row>
    <row r="3858" spans="1:25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 t="shared" si="240"/>
        <v>0</v>
      </c>
      <c r="W3858">
        <f t="shared" si="241"/>
        <v>1</v>
      </c>
      <c r="X3858" t="str">
        <f t="shared" si="242"/>
        <v>49+ Months</v>
      </c>
      <c r="Y3858" s="1" t="str">
        <f t="shared" si="243"/>
        <v>High</v>
      </c>
    </row>
    <row r="3859" spans="1:25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 t="shared" si="240"/>
        <v>0</v>
      </c>
      <c r="W3859">
        <f t="shared" si="241"/>
        <v>1</v>
      </c>
      <c r="X3859" t="str">
        <f t="shared" si="242"/>
        <v>0-12 Months</v>
      </c>
      <c r="Y3859" s="1" t="str">
        <f t="shared" si="243"/>
        <v>Low</v>
      </c>
    </row>
    <row r="3860" spans="1:25" x14ac:dyDescent="0.2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 t="shared" si="240"/>
        <v>0</v>
      </c>
      <c r="W3860">
        <f t="shared" si="241"/>
        <v>1</v>
      </c>
      <c r="X3860" t="str">
        <f t="shared" si="242"/>
        <v>25-48 Months</v>
      </c>
      <c r="Y3860" s="1" t="str">
        <f t="shared" si="243"/>
        <v>High</v>
      </c>
    </row>
    <row r="3861" spans="1:25" x14ac:dyDescent="0.2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 t="shared" si="240"/>
        <v>0</v>
      </c>
      <c r="W3861">
        <f t="shared" si="241"/>
        <v>1</v>
      </c>
      <c r="X3861" t="str">
        <f t="shared" si="242"/>
        <v>49+ Months</v>
      </c>
      <c r="Y3861" s="1" t="str">
        <f t="shared" si="243"/>
        <v>High</v>
      </c>
    </row>
    <row r="3862" spans="1:25" x14ac:dyDescent="0.2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 t="shared" si="240"/>
        <v>0</v>
      </c>
      <c r="W3862">
        <f t="shared" si="241"/>
        <v>1</v>
      </c>
      <c r="X3862" t="str">
        <f t="shared" si="242"/>
        <v>13-24 Months</v>
      </c>
      <c r="Y3862" s="1" t="str">
        <f t="shared" si="243"/>
        <v>Low</v>
      </c>
    </row>
    <row r="3863" spans="1:25" x14ac:dyDescent="0.2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 t="shared" si="240"/>
        <v>0</v>
      </c>
      <c r="W3863">
        <f t="shared" si="241"/>
        <v>1</v>
      </c>
      <c r="X3863" t="str">
        <f t="shared" si="242"/>
        <v>25-48 Months</v>
      </c>
      <c r="Y3863" s="1" t="str">
        <f t="shared" si="243"/>
        <v>High</v>
      </c>
    </row>
    <row r="3864" spans="1:25" x14ac:dyDescent="0.2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 t="shared" si="240"/>
        <v>0</v>
      </c>
      <c r="W3864">
        <f t="shared" si="241"/>
        <v>1</v>
      </c>
      <c r="X3864" t="str">
        <f t="shared" si="242"/>
        <v>49+ Months</v>
      </c>
      <c r="Y3864" s="1" t="str">
        <f t="shared" si="243"/>
        <v>Low</v>
      </c>
    </row>
    <row r="3865" spans="1:25" x14ac:dyDescent="0.2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 t="shared" si="240"/>
        <v>0</v>
      </c>
      <c r="W3865">
        <f t="shared" si="241"/>
        <v>1</v>
      </c>
      <c r="X3865" t="str">
        <f t="shared" si="242"/>
        <v>13-24 Months</v>
      </c>
      <c r="Y3865" s="1" t="str">
        <f t="shared" si="243"/>
        <v>High</v>
      </c>
    </row>
    <row r="3866" spans="1:25" x14ac:dyDescent="0.2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 t="shared" si="240"/>
        <v>1</v>
      </c>
      <c r="W3866">
        <f t="shared" si="241"/>
        <v>0</v>
      </c>
      <c r="X3866" t="str">
        <f t="shared" si="242"/>
        <v>25-48 Months</v>
      </c>
      <c r="Y3866" s="1" t="str">
        <f t="shared" si="243"/>
        <v>High</v>
      </c>
    </row>
    <row r="3867" spans="1:25" x14ac:dyDescent="0.2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 t="shared" si="240"/>
        <v>0</v>
      </c>
      <c r="W3867">
        <f t="shared" si="241"/>
        <v>1</v>
      </c>
      <c r="X3867" t="str">
        <f t="shared" si="242"/>
        <v>0-12 Months</v>
      </c>
      <c r="Y3867" s="1" t="str">
        <f t="shared" si="243"/>
        <v>Low</v>
      </c>
    </row>
    <row r="3868" spans="1:25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 t="shared" si="240"/>
        <v>0</v>
      </c>
      <c r="W3868">
        <f t="shared" si="241"/>
        <v>1</v>
      </c>
      <c r="X3868" t="str">
        <f t="shared" si="242"/>
        <v>13-24 Months</v>
      </c>
      <c r="Y3868" s="1" t="str">
        <f t="shared" si="243"/>
        <v>Low</v>
      </c>
    </row>
    <row r="3869" spans="1:25" x14ac:dyDescent="0.2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 t="shared" si="240"/>
        <v>0</v>
      </c>
      <c r="W3869">
        <f t="shared" si="241"/>
        <v>1</v>
      </c>
      <c r="X3869" t="str">
        <f t="shared" si="242"/>
        <v>25-48 Months</v>
      </c>
      <c r="Y3869" s="1" t="str">
        <f t="shared" si="243"/>
        <v>Medium</v>
      </c>
    </row>
    <row r="3870" spans="1:25" x14ac:dyDescent="0.2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 t="shared" si="240"/>
        <v>1</v>
      </c>
      <c r="W3870">
        <f t="shared" si="241"/>
        <v>0</v>
      </c>
      <c r="X3870" t="str">
        <f t="shared" si="242"/>
        <v>13-24 Months</v>
      </c>
      <c r="Y3870" s="1" t="str">
        <f t="shared" si="243"/>
        <v>Medium</v>
      </c>
    </row>
    <row r="3871" spans="1:25" x14ac:dyDescent="0.2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 t="shared" si="240"/>
        <v>0</v>
      </c>
      <c r="W3871">
        <f t="shared" si="241"/>
        <v>1</v>
      </c>
      <c r="X3871" t="str">
        <f t="shared" si="242"/>
        <v>49+ Months</v>
      </c>
      <c r="Y3871" s="1" t="str">
        <f t="shared" si="243"/>
        <v>High</v>
      </c>
    </row>
    <row r="3872" spans="1:25" x14ac:dyDescent="0.2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 t="shared" si="240"/>
        <v>0</v>
      </c>
      <c r="W3872">
        <f t="shared" si="241"/>
        <v>1</v>
      </c>
      <c r="X3872" t="str">
        <f t="shared" si="242"/>
        <v>49+ Months</v>
      </c>
      <c r="Y3872" s="1" t="str">
        <f t="shared" si="243"/>
        <v>Medium</v>
      </c>
    </row>
    <row r="3873" spans="1:25" x14ac:dyDescent="0.2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 t="shared" si="240"/>
        <v>1</v>
      </c>
      <c r="W3873">
        <f t="shared" si="241"/>
        <v>0</v>
      </c>
      <c r="X3873" t="str">
        <f t="shared" si="242"/>
        <v>0-12 Months</v>
      </c>
      <c r="Y3873" s="1" t="str">
        <f t="shared" si="243"/>
        <v>High</v>
      </c>
    </row>
    <row r="3874" spans="1:25" x14ac:dyDescent="0.2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 t="shared" si="240"/>
        <v>0</v>
      </c>
      <c r="W3874">
        <f t="shared" si="241"/>
        <v>1</v>
      </c>
      <c r="X3874" t="str">
        <f t="shared" si="242"/>
        <v>0-12 Months</v>
      </c>
      <c r="Y3874" s="1" t="str">
        <f t="shared" si="243"/>
        <v>High</v>
      </c>
    </row>
    <row r="3875" spans="1:25" x14ac:dyDescent="0.2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 t="shared" si="240"/>
        <v>0</v>
      </c>
      <c r="W3875">
        <f t="shared" si="241"/>
        <v>1</v>
      </c>
      <c r="X3875" t="str">
        <f t="shared" si="242"/>
        <v>49+ Months</v>
      </c>
      <c r="Y3875" s="1" t="str">
        <f t="shared" si="243"/>
        <v>Low</v>
      </c>
    </row>
    <row r="3876" spans="1:25" x14ac:dyDescent="0.2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 t="shared" si="240"/>
        <v>0</v>
      </c>
      <c r="W3876">
        <f t="shared" si="241"/>
        <v>1</v>
      </c>
      <c r="X3876" t="str">
        <f t="shared" si="242"/>
        <v>0-12 Months</v>
      </c>
      <c r="Y3876" s="1" t="str">
        <f t="shared" si="243"/>
        <v>Low</v>
      </c>
    </row>
    <row r="3877" spans="1:25" x14ac:dyDescent="0.2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 t="shared" si="240"/>
        <v>1</v>
      </c>
      <c r="W3877">
        <f t="shared" si="241"/>
        <v>0</v>
      </c>
      <c r="X3877" t="str">
        <f t="shared" si="242"/>
        <v>25-48 Months</v>
      </c>
      <c r="Y3877" s="1" t="str">
        <f t="shared" si="243"/>
        <v>High</v>
      </c>
    </row>
    <row r="3878" spans="1:25" x14ac:dyDescent="0.2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 t="shared" si="240"/>
        <v>0</v>
      </c>
      <c r="W3878">
        <f t="shared" si="241"/>
        <v>1</v>
      </c>
      <c r="X3878" t="str">
        <f t="shared" si="242"/>
        <v>13-24 Months</v>
      </c>
      <c r="Y3878" s="1" t="str">
        <f t="shared" si="243"/>
        <v>High</v>
      </c>
    </row>
    <row r="3879" spans="1:25" x14ac:dyDescent="0.2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 t="shared" si="240"/>
        <v>1</v>
      </c>
      <c r="W3879">
        <f t="shared" si="241"/>
        <v>0</v>
      </c>
      <c r="X3879" t="str">
        <f t="shared" si="242"/>
        <v>13-24 Months</v>
      </c>
      <c r="Y3879" s="1" t="str">
        <f t="shared" si="243"/>
        <v>Medium</v>
      </c>
    </row>
    <row r="3880" spans="1:25" x14ac:dyDescent="0.2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 t="shared" si="240"/>
        <v>0</v>
      </c>
      <c r="W3880">
        <f t="shared" si="241"/>
        <v>1</v>
      </c>
      <c r="X3880" t="str">
        <f t="shared" si="242"/>
        <v>49+ Months</v>
      </c>
      <c r="Y3880" s="1" t="str">
        <f t="shared" si="243"/>
        <v>High</v>
      </c>
    </row>
    <row r="3881" spans="1:25" x14ac:dyDescent="0.2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 t="shared" si="240"/>
        <v>1</v>
      </c>
      <c r="W3881">
        <f t="shared" si="241"/>
        <v>0</v>
      </c>
      <c r="X3881" t="str">
        <f t="shared" si="242"/>
        <v>0-12 Months</v>
      </c>
      <c r="Y3881" s="1" t="str">
        <f t="shared" si="243"/>
        <v>Low</v>
      </c>
    </row>
    <row r="3882" spans="1:25" x14ac:dyDescent="0.2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 t="shared" si="240"/>
        <v>0</v>
      </c>
      <c r="W3882">
        <f t="shared" si="241"/>
        <v>1</v>
      </c>
      <c r="X3882" t="str">
        <f t="shared" si="242"/>
        <v>25-48 Months</v>
      </c>
      <c r="Y3882" s="1" t="str">
        <f t="shared" si="243"/>
        <v>High</v>
      </c>
    </row>
    <row r="3883" spans="1:25" x14ac:dyDescent="0.2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 t="shared" si="240"/>
        <v>0</v>
      </c>
      <c r="W3883">
        <f t="shared" si="241"/>
        <v>1</v>
      </c>
      <c r="X3883" t="str">
        <f t="shared" si="242"/>
        <v>49+ Months</v>
      </c>
      <c r="Y3883" s="1" t="str">
        <f t="shared" si="243"/>
        <v>Medium</v>
      </c>
    </row>
    <row r="3884" spans="1:25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 t="shared" si="240"/>
        <v>0</v>
      </c>
      <c r="W3884">
        <f t="shared" si="241"/>
        <v>1</v>
      </c>
      <c r="X3884" t="str">
        <f t="shared" si="242"/>
        <v>0-12 Months</v>
      </c>
      <c r="Y3884" s="1" t="str">
        <f t="shared" si="243"/>
        <v>Low</v>
      </c>
    </row>
    <row r="3885" spans="1:25" x14ac:dyDescent="0.2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 t="shared" si="240"/>
        <v>0</v>
      </c>
      <c r="W3885">
        <f t="shared" si="241"/>
        <v>1</v>
      </c>
      <c r="X3885" t="str">
        <f t="shared" si="242"/>
        <v>0-12 Months</v>
      </c>
      <c r="Y3885" s="1" t="str">
        <f t="shared" si="243"/>
        <v>Medium</v>
      </c>
    </row>
    <row r="3886" spans="1:25" x14ac:dyDescent="0.2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 t="shared" si="240"/>
        <v>0</v>
      </c>
      <c r="W3886">
        <f t="shared" si="241"/>
        <v>1</v>
      </c>
      <c r="X3886" t="str">
        <f t="shared" si="242"/>
        <v>13-24 Months</v>
      </c>
      <c r="Y3886" s="1" t="str">
        <f t="shared" si="243"/>
        <v>High</v>
      </c>
    </row>
    <row r="3887" spans="1:25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 t="shared" si="240"/>
        <v>0</v>
      </c>
      <c r="W3887">
        <f t="shared" si="241"/>
        <v>1</v>
      </c>
      <c r="X3887" t="str">
        <f t="shared" si="242"/>
        <v>0-12 Months</v>
      </c>
      <c r="Y3887" s="1" t="str">
        <f t="shared" si="243"/>
        <v>Medium</v>
      </c>
    </row>
    <row r="3888" spans="1:25" x14ac:dyDescent="0.2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 t="shared" si="240"/>
        <v>0</v>
      </c>
      <c r="W3888">
        <f t="shared" si="241"/>
        <v>1</v>
      </c>
      <c r="X3888" t="str">
        <f t="shared" si="242"/>
        <v>49+ Months</v>
      </c>
      <c r="Y3888" s="1" t="str">
        <f t="shared" si="243"/>
        <v>High</v>
      </c>
    </row>
    <row r="3889" spans="1:25" x14ac:dyDescent="0.2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 t="shared" si="240"/>
        <v>1</v>
      </c>
      <c r="W3889">
        <f t="shared" si="241"/>
        <v>0</v>
      </c>
      <c r="X3889" t="str">
        <f t="shared" si="242"/>
        <v>0-12 Months</v>
      </c>
      <c r="Y3889" s="1" t="str">
        <f t="shared" si="243"/>
        <v>Medium</v>
      </c>
    </row>
    <row r="3890" spans="1:25" x14ac:dyDescent="0.2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 t="shared" si="240"/>
        <v>1</v>
      </c>
      <c r="W3890">
        <f t="shared" si="241"/>
        <v>0</v>
      </c>
      <c r="X3890" t="str">
        <f t="shared" si="242"/>
        <v>0-12 Months</v>
      </c>
      <c r="Y3890" s="1" t="str">
        <f t="shared" si="243"/>
        <v>High</v>
      </c>
    </row>
    <row r="3891" spans="1:25" x14ac:dyDescent="0.2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 t="shared" si="240"/>
        <v>0</v>
      </c>
      <c r="W3891">
        <f t="shared" si="241"/>
        <v>1</v>
      </c>
      <c r="X3891" t="str">
        <f t="shared" si="242"/>
        <v>13-24 Months</v>
      </c>
      <c r="Y3891" s="1" t="str">
        <f t="shared" si="243"/>
        <v>Low</v>
      </c>
    </row>
    <row r="3892" spans="1:25" x14ac:dyDescent="0.2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 t="shared" si="240"/>
        <v>1</v>
      </c>
      <c r="W3892">
        <f t="shared" si="241"/>
        <v>0</v>
      </c>
      <c r="X3892" t="str">
        <f t="shared" si="242"/>
        <v>49+ Months</v>
      </c>
      <c r="Y3892" s="1" t="str">
        <f t="shared" si="243"/>
        <v>High</v>
      </c>
    </row>
    <row r="3893" spans="1:25" x14ac:dyDescent="0.2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 t="shared" si="240"/>
        <v>0</v>
      </c>
      <c r="W3893">
        <f t="shared" si="241"/>
        <v>1</v>
      </c>
      <c r="X3893" t="str">
        <f t="shared" si="242"/>
        <v>25-48 Months</v>
      </c>
      <c r="Y3893" s="1" t="str">
        <f t="shared" si="243"/>
        <v>Medium</v>
      </c>
    </row>
    <row r="3894" spans="1:25" x14ac:dyDescent="0.2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 t="shared" si="240"/>
        <v>0</v>
      </c>
      <c r="W3894">
        <f t="shared" si="241"/>
        <v>1</v>
      </c>
      <c r="X3894" t="str">
        <f t="shared" si="242"/>
        <v>13-24 Months</v>
      </c>
      <c r="Y3894" s="1" t="str">
        <f t="shared" si="243"/>
        <v>Low</v>
      </c>
    </row>
    <row r="3895" spans="1:25" x14ac:dyDescent="0.2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 t="shared" si="240"/>
        <v>0</v>
      </c>
      <c r="W3895">
        <f t="shared" si="241"/>
        <v>1</v>
      </c>
      <c r="X3895" t="str">
        <f t="shared" si="242"/>
        <v>0-12 Months</v>
      </c>
      <c r="Y3895" s="1" t="str">
        <f t="shared" si="243"/>
        <v>Medium</v>
      </c>
    </row>
    <row r="3896" spans="1:25" x14ac:dyDescent="0.2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 t="shared" si="240"/>
        <v>0</v>
      </c>
      <c r="W3896">
        <f t="shared" si="241"/>
        <v>1</v>
      </c>
      <c r="X3896" t="str">
        <f t="shared" si="242"/>
        <v>49+ Months</v>
      </c>
      <c r="Y3896" s="1" t="str">
        <f t="shared" si="243"/>
        <v>High</v>
      </c>
    </row>
    <row r="3897" spans="1:25" x14ac:dyDescent="0.2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 t="shared" si="240"/>
        <v>0</v>
      </c>
      <c r="W3897">
        <f t="shared" si="241"/>
        <v>1</v>
      </c>
      <c r="X3897" t="str">
        <f t="shared" si="242"/>
        <v>49+ Months</v>
      </c>
      <c r="Y3897" s="1" t="str">
        <f t="shared" si="243"/>
        <v>Low</v>
      </c>
    </row>
    <row r="3898" spans="1:25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 t="shared" si="240"/>
        <v>0</v>
      </c>
      <c r="W3898">
        <f t="shared" si="241"/>
        <v>1</v>
      </c>
      <c r="X3898" t="str">
        <f t="shared" si="242"/>
        <v>25-48 Months</v>
      </c>
      <c r="Y3898" s="1" t="str">
        <f t="shared" si="243"/>
        <v>Low</v>
      </c>
    </row>
    <row r="3899" spans="1:25" x14ac:dyDescent="0.2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 t="shared" si="240"/>
        <v>0</v>
      </c>
      <c r="W3899">
        <f t="shared" si="241"/>
        <v>1</v>
      </c>
      <c r="X3899" t="str">
        <f t="shared" si="242"/>
        <v>49+ Months</v>
      </c>
      <c r="Y3899" s="1" t="str">
        <f t="shared" si="243"/>
        <v>High</v>
      </c>
    </row>
    <row r="3900" spans="1:25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 t="shared" si="240"/>
        <v>0</v>
      </c>
      <c r="W3900">
        <f t="shared" si="241"/>
        <v>1</v>
      </c>
      <c r="X3900" t="str">
        <f t="shared" si="242"/>
        <v>25-48 Months</v>
      </c>
      <c r="Y3900" s="1" t="str">
        <f t="shared" si="243"/>
        <v>Low</v>
      </c>
    </row>
    <row r="3901" spans="1:25" x14ac:dyDescent="0.2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 t="shared" si="240"/>
        <v>0</v>
      </c>
      <c r="W3901">
        <f t="shared" si="241"/>
        <v>1</v>
      </c>
      <c r="X3901" t="str">
        <f t="shared" si="242"/>
        <v>49+ Months</v>
      </c>
      <c r="Y3901" s="1" t="str">
        <f t="shared" si="243"/>
        <v>High</v>
      </c>
    </row>
    <row r="3902" spans="1:25" x14ac:dyDescent="0.2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 t="shared" si="240"/>
        <v>0</v>
      </c>
      <c r="W3902">
        <f t="shared" si="241"/>
        <v>1</v>
      </c>
      <c r="X3902" t="str">
        <f t="shared" si="242"/>
        <v>25-48 Months</v>
      </c>
      <c r="Y3902" s="1" t="str">
        <f t="shared" si="243"/>
        <v>Low</v>
      </c>
    </row>
    <row r="3903" spans="1:25" x14ac:dyDescent="0.2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 t="shared" si="240"/>
        <v>0</v>
      </c>
      <c r="W3903">
        <f t="shared" si="241"/>
        <v>1</v>
      </c>
      <c r="X3903" t="str">
        <f t="shared" si="242"/>
        <v>49+ Months</v>
      </c>
      <c r="Y3903" s="1" t="str">
        <f t="shared" si="243"/>
        <v>High</v>
      </c>
    </row>
    <row r="3904" spans="1:25" x14ac:dyDescent="0.2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 t="shared" si="240"/>
        <v>0</v>
      </c>
      <c r="W3904">
        <f t="shared" si="241"/>
        <v>1</v>
      </c>
      <c r="X3904" t="str">
        <f t="shared" si="242"/>
        <v>0-12 Months</v>
      </c>
      <c r="Y3904" s="1" t="str">
        <f t="shared" si="243"/>
        <v>Low</v>
      </c>
    </row>
    <row r="3905" spans="1:25" x14ac:dyDescent="0.2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 t="shared" si="240"/>
        <v>0</v>
      </c>
      <c r="W3905">
        <f t="shared" si="241"/>
        <v>1</v>
      </c>
      <c r="X3905" t="str">
        <f t="shared" si="242"/>
        <v>49+ Months</v>
      </c>
      <c r="Y3905" s="1" t="str">
        <f t="shared" si="243"/>
        <v>High</v>
      </c>
    </row>
    <row r="3906" spans="1:25" x14ac:dyDescent="0.2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 t="shared" ref="V3906:V3969" si="244">IF(U3906="Yes",1,0)</f>
        <v>0</v>
      </c>
      <c r="W3906">
        <f t="shared" ref="W3906:W3969" si="245">IF(U3906="No",1,0)</f>
        <v>1</v>
      </c>
      <c r="X3906" t="str">
        <f t="shared" ref="X3906:X3969" si="246">IF(F3906&lt;=12,"0-12 Months",IF(F3906&lt;=24,"13-24 Months",IF(F3906&lt;=48,"25-48 Months","49+ Months")))</f>
        <v>25-48 Months</v>
      </c>
      <c r="Y3906" s="1" t="str">
        <f t="shared" ref="Y3906:Y3969" si="247">IF(S3906&lt;50,"Low",IF(S3906&lt;80,"Medium","High"))</f>
        <v>Low</v>
      </c>
    </row>
    <row r="3907" spans="1:25" x14ac:dyDescent="0.2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 t="shared" si="244"/>
        <v>1</v>
      </c>
      <c r="W3907">
        <f t="shared" si="245"/>
        <v>0</v>
      </c>
      <c r="X3907" t="str">
        <f t="shared" si="246"/>
        <v>0-12 Months</v>
      </c>
      <c r="Y3907" s="1" t="str">
        <f t="shared" si="247"/>
        <v>Low</v>
      </c>
    </row>
    <row r="3908" spans="1:25" x14ac:dyDescent="0.2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 t="shared" si="244"/>
        <v>1</v>
      </c>
      <c r="W3908">
        <f t="shared" si="245"/>
        <v>0</v>
      </c>
      <c r="X3908" t="str">
        <f t="shared" si="246"/>
        <v>0-12 Months</v>
      </c>
      <c r="Y3908" s="1" t="str">
        <f t="shared" si="247"/>
        <v>Medium</v>
      </c>
    </row>
    <row r="3909" spans="1:25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 t="shared" si="244"/>
        <v>0</v>
      </c>
      <c r="W3909">
        <f t="shared" si="245"/>
        <v>1</v>
      </c>
      <c r="X3909" t="str">
        <f t="shared" si="246"/>
        <v>13-24 Months</v>
      </c>
      <c r="Y3909" s="1" t="str">
        <f t="shared" si="247"/>
        <v>High</v>
      </c>
    </row>
    <row r="3910" spans="1:25" x14ac:dyDescent="0.2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 t="shared" si="244"/>
        <v>0</v>
      </c>
      <c r="W3910">
        <f t="shared" si="245"/>
        <v>1</v>
      </c>
      <c r="X3910" t="str">
        <f t="shared" si="246"/>
        <v>49+ Months</v>
      </c>
      <c r="Y3910" s="1" t="str">
        <f t="shared" si="247"/>
        <v>High</v>
      </c>
    </row>
    <row r="3911" spans="1:25" x14ac:dyDescent="0.2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 t="shared" si="244"/>
        <v>0</v>
      </c>
      <c r="W3911">
        <f t="shared" si="245"/>
        <v>1</v>
      </c>
      <c r="X3911" t="str">
        <f t="shared" si="246"/>
        <v>0-12 Months</v>
      </c>
      <c r="Y3911" s="1" t="str">
        <f t="shared" si="247"/>
        <v>Low</v>
      </c>
    </row>
    <row r="3912" spans="1:25" x14ac:dyDescent="0.2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 t="shared" si="244"/>
        <v>1</v>
      </c>
      <c r="W3912">
        <f t="shared" si="245"/>
        <v>0</v>
      </c>
      <c r="X3912" t="str">
        <f t="shared" si="246"/>
        <v>25-48 Months</v>
      </c>
      <c r="Y3912" s="1" t="str">
        <f t="shared" si="247"/>
        <v>High</v>
      </c>
    </row>
    <row r="3913" spans="1:25" x14ac:dyDescent="0.2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 t="shared" si="244"/>
        <v>1</v>
      </c>
      <c r="W3913">
        <f t="shared" si="245"/>
        <v>0</v>
      </c>
      <c r="X3913" t="str">
        <f t="shared" si="246"/>
        <v>13-24 Months</v>
      </c>
      <c r="Y3913" s="1" t="str">
        <f t="shared" si="247"/>
        <v>Low</v>
      </c>
    </row>
    <row r="3914" spans="1:25" x14ac:dyDescent="0.2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 t="shared" si="244"/>
        <v>0</v>
      </c>
      <c r="W3914">
        <f t="shared" si="245"/>
        <v>1</v>
      </c>
      <c r="X3914" t="str">
        <f t="shared" si="246"/>
        <v>49+ Months</v>
      </c>
      <c r="Y3914" s="1" t="str">
        <f t="shared" si="247"/>
        <v>High</v>
      </c>
    </row>
    <row r="3915" spans="1:25" x14ac:dyDescent="0.2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 t="shared" si="244"/>
        <v>0</v>
      </c>
      <c r="W3915">
        <f t="shared" si="245"/>
        <v>1</v>
      </c>
      <c r="X3915" t="str">
        <f t="shared" si="246"/>
        <v>49+ Months</v>
      </c>
      <c r="Y3915" s="1" t="str">
        <f t="shared" si="247"/>
        <v>Low</v>
      </c>
    </row>
    <row r="3916" spans="1:25" x14ac:dyDescent="0.2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 t="shared" si="244"/>
        <v>0</v>
      </c>
      <c r="W3916">
        <f t="shared" si="245"/>
        <v>1</v>
      </c>
      <c r="X3916" t="str">
        <f t="shared" si="246"/>
        <v>25-48 Months</v>
      </c>
      <c r="Y3916" s="1" t="str">
        <f t="shared" si="247"/>
        <v>Low</v>
      </c>
    </row>
    <row r="3917" spans="1:25" x14ac:dyDescent="0.2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 t="shared" si="244"/>
        <v>0</v>
      </c>
      <c r="W3917">
        <f t="shared" si="245"/>
        <v>1</v>
      </c>
      <c r="X3917" t="str">
        <f t="shared" si="246"/>
        <v>49+ Months</v>
      </c>
      <c r="Y3917" s="1" t="str">
        <f t="shared" si="247"/>
        <v>High</v>
      </c>
    </row>
    <row r="3918" spans="1:25" x14ac:dyDescent="0.2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 t="shared" si="244"/>
        <v>0</v>
      </c>
      <c r="W3918">
        <f t="shared" si="245"/>
        <v>1</v>
      </c>
      <c r="X3918" t="str">
        <f t="shared" si="246"/>
        <v>0-12 Months</v>
      </c>
      <c r="Y3918" s="1" t="str">
        <f t="shared" si="247"/>
        <v>Medium</v>
      </c>
    </row>
    <row r="3919" spans="1:25" x14ac:dyDescent="0.2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 t="shared" si="244"/>
        <v>1</v>
      </c>
      <c r="W3919">
        <f t="shared" si="245"/>
        <v>0</v>
      </c>
      <c r="X3919" t="str">
        <f t="shared" si="246"/>
        <v>0-12 Months</v>
      </c>
      <c r="Y3919" s="1" t="str">
        <f t="shared" si="247"/>
        <v>Medium</v>
      </c>
    </row>
    <row r="3920" spans="1:25" x14ac:dyDescent="0.2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 t="shared" si="244"/>
        <v>1</v>
      </c>
      <c r="W3920">
        <f t="shared" si="245"/>
        <v>0</v>
      </c>
      <c r="X3920" t="str">
        <f t="shared" si="246"/>
        <v>13-24 Months</v>
      </c>
      <c r="Y3920" s="1" t="str">
        <f t="shared" si="247"/>
        <v>High</v>
      </c>
    </row>
    <row r="3921" spans="1:25" x14ac:dyDescent="0.2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 t="shared" si="244"/>
        <v>1</v>
      </c>
      <c r="W3921">
        <f t="shared" si="245"/>
        <v>0</v>
      </c>
      <c r="X3921" t="str">
        <f t="shared" si="246"/>
        <v>0-12 Months</v>
      </c>
      <c r="Y3921" s="1" t="str">
        <f t="shared" si="247"/>
        <v>High</v>
      </c>
    </row>
    <row r="3922" spans="1:25" x14ac:dyDescent="0.2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 t="shared" si="244"/>
        <v>0</v>
      </c>
      <c r="W3922">
        <f t="shared" si="245"/>
        <v>1</v>
      </c>
      <c r="X3922" t="str">
        <f t="shared" si="246"/>
        <v>49+ Months</v>
      </c>
      <c r="Y3922" s="1" t="str">
        <f t="shared" si="247"/>
        <v>High</v>
      </c>
    </row>
    <row r="3923" spans="1:25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 t="shared" si="244"/>
        <v>0</v>
      </c>
      <c r="W3923">
        <f t="shared" si="245"/>
        <v>1</v>
      </c>
      <c r="X3923" t="str">
        <f t="shared" si="246"/>
        <v>13-24 Months</v>
      </c>
      <c r="Y3923" s="1" t="str">
        <f t="shared" si="247"/>
        <v>Medium</v>
      </c>
    </row>
    <row r="3924" spans="1:25" x14ac:dyDescent="0.2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 t="shared" si="244"/>
        <v>0</v>
      </c>
      <c r="W3924">
        <f t="shared" si="245"/>
        <v>1</v>
      </c>
      <c r="X3924" t="str">
        <f t="shared" si="246"/>
        <v>49+ Months</v>
      </c>
      <c r="Y3924" s="1" t="str">
        <f t="shared" si="247"/>
        <v>High</v>
      </c>
    </row>
    <row r="3925" spans="1:25" x14ac:dyDescent="0.2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 t="shared" si="244"/>
        <v>1</v>
      </c>
      <c r="W3925">
        <f t="shared" si="245"/>
        <v>0</v>
      </c>
      <c r="X3925" t="str">
        <f t="shared" si="246"/>
        <v>0-12 Months</v>
      </c>
      <c r="Y3925" s="1" t="str">
        <f t="shared" si="247"/>
        <v>High</v>
      </c>
    </row>
    <row r="3926" spans="1:25" x14ac:dyDescent="0.2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 t="shared" si="244"/>
        <v>1</v>
      </c>
      <c r="W3926">
        <f t="shared" si="245"/>
        <v>0</v>
      </c>
      <c r="X3926" t="str">
        <f t="shared" si="246"/>
        <v>25-48 Months</v>
      </c>
      <c r="Y3926" s="1" t="str">
        <f t="shared" si="247"/>
        <v>High</v>
      </c>
    </row>
    <row r="3927" spans="1:25" x14ac:dyDescent="0.2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 t="shared" si="244"/>
        <v>0</v>
      </c>
      <c r="W3927">
        <f t="shared" si="245"/>
        <v>1</v>
      </c>
      <c r="X3927" t="str">
        <f t="shared" si="246"/>
        <v>25-48 Months</v>
      </c>
      <c r="Y3927" s="1" t="str">
        <f t="shared" si="247"/>
        <v>Medium</v>
      </c>
    </row>
    <row r="3928" spans="1:25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 t="shared" si="244"/>
        <v>0</v>
      </c>
      <c r="W3928">
        <f t="shared" si="245"/>
        <v>1</v>
      </c>
      <c r="X3928" t="str">
        <f t="shared" si="246"/>
        <v>0-12 Months</v>
      </c>
      <c r="Y3928" s="1" t="str">
        <f t="shared" si="247"/>
        <v>Low</v>
      </c>
    </row>
    <row r="3929" spans="1:25" x14ac:dyDescent="0.2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 t="shared" si="244"/>
        <v>1</v>
      </c>
      <c r="W3929">
        <f t="shared" si="245"/>
        <v>0</v>
      </c>
      <c r="X3929" t="str">
        <f t="shared" si="246"/>
        <v>0-12 Months</v>
      </c>
      <c r="Y3929" s="1" t="str">
        <f t="shared" si="247"/>
        <v>Low</v>
      </c>
    </row>
    <row r="3930" spans="1:25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 t="shared" si="244"/>
        <v>0</v>
      </c>
      <c r="W3930">
        <f t="shared" si="245"/>
        <v>1</v>
      </c>
      <c r="X3930" t="str">
        <f t="shared" si="246"/>
        <v>13-24 Months</v>
      </c>
      <c r="Y3930" s="1" t="str">
        <f t="shared" si="247"/>
        <v>High</v>
      </c>
    </row>
    <row r="3931" spans="1:25" x14ac:dyDescent="0.2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 t="shared" si="244"/>
        <v>0</v>
      </c>
      <c r="W3931">
        <f t="shared" si="245"/>
        <v>1</v>
      </c>
      <c r="X3931" t="str">
        <f t="shared" si="246"/>
        <v>49+ Months</v>
      </c>
      <c r="Y3931" s="1" t="str">
        <f t="shared" si="247"/>
        <v>Low</v>
      </c>
    </row>
    <row r="3932" spans="1:25" x14ac:dyDescent="0.2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 t="shared" si="244"/>
        <v>0</v>
      </c>
      <c r="W3932">
        <f t="shared" si="245"/>
        <v>1</v>
      </c>
      <c r="X3932" t="str">
        <f t="shared" si="246"/>
        <v>49+ Months</v>
      </c>
      <c r="Y3932" s="1" t="str">
        <f t="shared" si="247"/>
        <v>High</v>
      </c>
    </row>
    <row r="3933" spans="1:25" x14ac:dyDescent="0.2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 t="shared" si="244"/>
        <v>0</v>
      </c>
      <c r="W3933">
        <f t="shared" si="245"/>
        <v>1</v>
      </c>
      <c r="X3933" t="str">
        <f t="shared" si="246"/>
        <v>25-48 Months</v>
      </c>
      <c r="Y3933" s="1" t="str">
        <f t="shared" si="247"/>
        <v>Medium</v>
      </c>
    </row>
    <row r="3934" spans="1:25" x14ac:dyDescent="0.2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 t="shared" si="244"/>
        <v>1</v>
      </c>
      <c r="W3934">
        <f t="shared" si="245"/>
        <v>0</v>
      </c>
      <c r="X3934" t="str">
        <f t="shared" si="246"/>
        <v>0-12 Months</v>
      </c>
      <c r="Y3934" s="1" t="str">
        <f t="shared" si="247"/>
        <v>Medium</v>
      </c>
    </row>
    <row r="3935" spans="1:25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 t="shared" si="244"/>
        <v>0</v>
      </c>
      <c r="W3935">
        <f t="shared" si="245"/>
        <v>1</v>
      </c>
      <c r="X3935" t="str">
        <f t="shared" si="246"/>
        <v>0-12 Months</v>
      </c>
      <c r="Y3935" s="1" t="str">
        <f t="shared" si="247"/>
        <v>Low</v>
      </c>
    </row>
    <row r="3936" spans="1:25" x14ac:dyDescent="0.2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 t="shared" si="244"/>
        <v>0</v>
      </c>
      <c r="W3936">
        <f t="shared" si="245"/>
        <v>1</v>
      </c>
      <c r="X3936" t="str">
        <f t="shared" si="246"/>
        <v>0-12 Months</v>
      </c>
      <c r="Y3936" s="1" t="str">
        <f t="shared" si="247"/>
        <v>Low</v>
      </c>
    </row>
    <row r="3937" spans="1:25" x14ac:dyDescent="0.2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 t="shared" si="244"/>
        <v>0</v>
      </c>
      <c r="W3937">
        <f t="shared" si="245"/>
        <v>1</v>
      </c>
      <c r="X3937" t="str">
        <f t="shared" si="246"/>
        <v>49+ Months</v>
      </c>
      <c r="Y3937" s="1" t="str">
        <f t="shared" si="247"/>
        <v>Low</v>
      </c>
    </row>
    <row r="3938" spans="1:25" x14ac:dyDescent="0.2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 t="shared" si="244"/>
        <v>0</v>
      </c>
      <c r="W3938">
        <f t="shared" si="245"/>
        <v>1</v>
      </c>
      <c r="X3938" t="str">
        <f t="shared" si="246"/>
        <v>0-12 Months</v>
      </c>
      <c r="Y3938" s="1" t="str">
        <f t="shared" si="247"/>
        <v>Medium</v>
      </c>
    </row>
    <row r="3939" spans="1:25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 t="shared" si="244"/>
        <v>0</v>
      </c>
      <c r="W3939">
        <f t="shared" si="245"/>
        <v>1</v>
      </c>
      <c r="X3939" t="str">
        <f t="shared" si="246"/>
        <v>0-12 Months</v>
      </c>
      <c r="Y3939" s="1" t="str">
        <f t="shared" si="247"/>
        <v>Low</v>
      </c>
    </row>
    <row r="3940" spans="1:25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 t="shared" si="244"/>
        <v>0</v>
      </c>
      <c r="W3940">
        <f t="shared" si="245"/>
        <v>1</v>
      </c>
      <c r="X3940" t="str">
        <f t="shared" si="246"/>
        <v>0-12 Months</v>
      </c>
      <c r="Y3940" s="1" t="str">
        <f t="shared" si="247"/>
        <v>Medium</v>
      </c>
    </row>
    <row r="3941" spans="1:25" x14ac:dyDescent="0.2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 t="shared" si="244"/>
        <v>1</v>
      </c>
      <c r="W3941">
        <f t="shared" si="245"/>
        <v>0</v>
      </c>
      <c r="X3941" t="str">
        <f t="shared" si="246"/>
        <v>0-12 Months</v>
      </c>
      <c r="Y3941" s="1" t="str">
        <f t="shared" si="247"/>
        <v>Medium</v>
      </c>
    </row>
    <row r="3942" spans="1:25" x14ac:dyDescent="0.2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 t="shared" si="244"/>
        <v>0</v>
      </c>
      <c r="W3942">
        <f t="shared" si="245"/>
        <v>1</v>
      </c>
      <c r="X3942" t="str">
        <f t="shared" si="246"/>
        <v>13-24 Months</v>
      </c>
      <c r="Y3942" s="1" t="str">
        <f t="shared" si="247"/>
        <v>Low</v>
      </c>
    </row>
    <row r="3943" spans="1:25" x14ac:dyDescent="0.2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 t="shared" si="244"/>
        <v>0</v>
      </c>
      <c r="W3943">
        <f t="shared" si="245"/>
        <v>1</v>
      </c>
      <c r="X3943" t="str">
        <f t="shared" si="246"/>
        <v>0-12 Months</v>
      </c>
      <c r="Y3943" s="1" t="str">
        <f t="shared" si="247"/>
        <v>Low</v>
      </c>
    </row>
    <row r="3944" spans="1:25" x14ac:dyDescent="0.2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 t="shared" si="244"/>
        <v>1</v>
      </c>
      <c r="W3944">
        <f t="shared" si="245"/>
        <v>0</v>
      </c>
      <c r="X3944" t="str">
        <f t="shared" si="246"/>
        <v>0-12 Months</v>
      </c>
      <c r="Y3944" s="1" t="str">
        <f t="shared" si="247"/>
        <v>Low</v>
      </c>
    </row>
    <row r="3945" spans="1:25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 t="shared" si="244"/>
        <v>0</v>
      </c>
      <c r="W3945">
        <f t="shared" si="245"/>
        <v>1</v>
      </c>
      <c r="X3945" t="str">
        <f t="shared" si="246"/>
        <v>0-12 Months</v>
      </c>
      <c r="Y3945" s="1" t="str">
        <f t="shared" si="247"/>
        <v>Low</v>
      </c>
    </row>
    <row r="3946" spans="1:25" x14ac:dyDescent="0.2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 t="shared" si="244"/>
        <v>0</v>
      </c>
      <c r="W3946">
        <f t="shared" si="245"/>
        <v>1</v>
      </c>
      <c r="X3946" t="str">
        <f t="shared" si="246"/>
        <v>0-12 Months</v>
      </c>
      <c r="Y3946" s="1" t="str">
        <f t="shared" si="247"/>
        <v>Low</v>
      </c>
    </row>
    <row r="3947" spans="1:25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 t="shared" si="244"/>
        <v>1</v>
      </c>
      <c r="W3947">
        <f t="shared" si="245"/>
        <v>0</v>
      </c>
      <c r="X3947" t="str">
        <f t="shared" si="246"/>
        <v>0-12 Months</v>
      </c>
      <c r="Y3947" s="1" t="str">
        <f t="shared" si="247"/>
        <v>Low</v>
      </c>
    </row>
    <row r="3948" spans="1:25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 t="shared" si="244"/>
        <v>1</v>
      </c>
      <c r="W3948">
        <f t="shared" si="245"/>
        <v>0</v>
      </c>
      <c r="X3948" t="str">
        <f t="shared" si="246"/>
        <v>0-12 Months</v>
      </c>
      <c r="Y3948" s="1" t="str">
        <f t="shared" si="247"/>
        <v>Medium</v>
      </c>
    </row>
    <row r="3949" spans="1:25" x14ac:dyDescent="0.2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 t="shared" si="244"/>
        <v>0</v>
      </c>
      <c r="W3949">
        <f t="shared" si="245"/>
        <v>1</v>
      </c>
      <c r="X3949" t="str">
        <f t="shared" si="246"/>
        <v>0-12 Months</v>
      </c>
      <c r="Y3949" s="1" t="str">
        <f t="shared" si="247"/>
        <v>Medium</v>
      </c>
    </row>
    <row r="3950" spans="1:25" x14ac:dyDescent="0.2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 t="shared" si="244"/>
        <v>0</v>
      </c>
      <c r="W3950">
        <f t="shared" si="245"/>
        <v>1</v>
      </c>
      <c r="X3950" t="str">
        <f t="shared" si="246"/>
        <v>49+ Months</v>
      </c>
      <c r="Y3950" s="1" t="str">
        <f t="shared" si="247"/>
        <v>High</v>
      </c>
    </row>
    <row r="3951" spans="1:25" x14ac:dyDescent="0.2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 t="shared" si="244"/>
        <v>0</v>
      </c>
      <c r="W3951">
        <f t="shared" si="245"/>
        <v>1</v>
      </c>
      <c r="X3951" t="str">
        <f t="shared" si="246"/>
        <v>13-24 Months</v>
      </c>
      <c r="Y3951" s="1" t="str">
        <f t="shared" si="247"/>
        <v>Medium</v>
      </c>
    </row>
    <row r="3952" spans="1:25" x14ac:dyDescent="0.2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 t="shared" si="244"/>
        <v>1</v>
      </c>
      <c r="W3952">
        <f t="shared" si="245"/>
        <v>0</v>
      </c>
      <c r="X3952" t="str">
        <f t="shared" si="246"/>
        <v>49+ Months</v>
      </c>
      <c r="Y3952" s="1" t="str">
        <f t="shared" si="247"/>
        <v>High</v>
      </c>
    </row>
    <row r="3953" spans="1:25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 t="shared" si="244"/>
        <v>0</v>
      </c>
      <c r="W3953">
        <f t="shared" si="245"/>
        <v>1</v>
      </c>
      <c r="X3953" t="str">
        <f t="shared" si="246"/>
        <v>49+ Months</v>
      </c>
      <c r="Y3953" s="1" t="str">
        <f t="shared" si="247"/>
        <v>Medium</v>
      </c>
    </row>
    <row r="3954" spans="1:25" x14ac:dyDescent="0.2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 t="shared" si="244"/>
        <v>0</v>
      </c>
      <c r="W3954">
        <f t="shared" si="245"/>
        <v>1</v>
      </c>
      <c r="X3954" t="str">
        <f t="shared" si="246"/>
        <v>49+ Months</v>
      </c>
      <c r="Y3954" s="1" t="str">
        <f t="shared" si="247"/>
        <v>High</v>
      </c>
    </row>
    <row r="3955" spans="1:25" x14ac:dyDescent="0.2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 t="shared" si="244"/>
        <v>1</v>
      </c>
      <c r="W3955">
        <f t="shared" si="245"/>
        <v>0</v>
      </c>
      <c r="X3955" t="str">
        <f t="shared" si="246"/>
        <v>0-12 Months</v>
      </c>
      <c r="Y3955" s="1" t="str">
        <f t="shared" si="247"/>
        <v>Medium</v>
      </c>
    </row>
    <row r="3956" spans="1:25" x14ac:dyDescent="0.2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 t="shared" si="244"/>
        <v>0</v>
      </c>
      <c r="W3956">
        <f t="shared" si="245"/>
        <v>1</v>
      </c>
      <c r="X3956" t="str">
        <f t="shared" si="246"/>
        <v>13-24 Months</v>
      </c>
      <c r="Y3956" s="1" t="str">
        <f t="shared" si="247"/>
        <v>High</v>
      </c>
    </row>
    <row r="3957" spans="1:25" x14ac:dyDescent="0.2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 t="shared" si="244"/>
        <v>0</v>
      </c>
      <c r="W3957">
        <f t="shared" si="245"/>
        <v>1</v>
      </c>
      <c r="X3957" t="str">
        <f t="shared" si="246"/>
        <v>25-48 Months</v>
      </c>
      <c r="Y3957" s="1" t="str">
        <f t="shared" si="247"/>
        <v>Low</v>
      </c>
    </row>
    <row r="3958" spans="1:25" x14ac:dyDescent="0.2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 t="shared" si="244"/>
        <v>1</v>
      </c>
      <c r="W3958">
        <f t="shared" si="245"/>
        <v>0</v>
      </c>
      <c r="X3958" t="str">
        <f t="shared" si="246"/>
        <v>0-12 Months</v>
      </c>
      <c r="Y3958" s="1" t="str">
        <f t="shared" si="247"/>
        <v>High</v>
      </c>
    </row>
    <row r="3959" spans="1:25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 t="shared" si="244"/>
        <v>0</v>
      </c>
      <c r="W3959">
        <f t="shared" si="245"/>
        <v>1</v>
      </c>
      <c r="X3959" t="str">
        <f t="shared" si="246"/>
        <v>49+ Months</v>
      </c>
      <c r="Y3959" s="1" t="str">
        <f t="shared" si="247"/>
        <v>High</v>
      </c>
    </row>
    <row r="3960" spans="1:25" x14ac:dyDescent="0.2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 t="shared" si="244"/>
        <v>1</v>
      </c>
      <c r="W3960">
        <f t="shared" si="245"/>
        <v>0</v>
      </c>
      <c r="X3960" t="str">
        <f t="shared" si="246"/>
        <v>13-24 Months</v>
      </c>
      <c r="Y3960" s="1" t="str">
        <f t="shared" si="247"/>
        <v>Medium</v>
      </c>
    </row>
    <row r="3961" spans="1:25" x14ac:dyDescent="0.2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 t="shared" si="244"/>
        <v>0</v>
      </c>
      <c r="W3961">
        <f t="shared" si="245"/>
        <v>1</v>
      </c>
      <c r="X3961" t="str">
        <f t="shared" si="246"/>
        <v>49+ Months</v>
      </c>
      <c r="Y3961" s="1" t="str">
        <f t="shared" si="247"/>
        <v>Medium</v>
      </c>
    </row>
    <row r="3962" spans="1:25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 t="shared" si="244"/>
        <v>0</v>
      </c>
      <c r="W3962">
        <f t="shared" si="245"/>
        <v>1</v>
      </c>
      <c r="X3962" t="str">
        <f t="shared" si="246"/>
        <v>0-12 Months</v>
      </c>
      <c r="Y3962" s="1" t="str">
        <f t="shared" si="247"/>
        <v>Medium</v>
      </c>
    </row>
    <row r="3963" spans="1:25" x14ac:dyDescent="0.2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 t="shared" si="244"/>
        <v>0</v>
      </c>
      <c r="W3963">
        <f t="shared" si="245"/>
        <v>1</v>
      </c>
      <c r="X3963" t="str">
        <f t="shared" si="246"/>
        <v>0-12 Months</v>
      </c>
      <c r="Y3963" s="1" t="str">
        <f t="shared" si="247"/>
        <v>Low</v>
      </c>
    </row>
    <row r="3964" spans="1:25" x14ac:dyDescent="0.2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 t="shared" si="244"/>
        <v>1</v>
      </c>
      <c r="W3964">
        <f t="shared" si="245"/>
        <v>0</v>
      </c>
      <c r="X3964" t="str">
        <f t="shared" si="246"/>
        <v>0-12 Months</v>
      </c>
      <c r="Y3964" s="1" t="str">
        <f t="shared" si="247"/>
        <v>High</v>
      </c>
    </row>
    <row r="3965" spans="1:25" x14ac:dyDescent="0.2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 t="shared" si="244"/>
        <v>0</v>
      </c>
      <c r="W3965">
        <f t="shared" si="245"/>
        <v>1</v>
      </c>
      <c r="X3965" t="str">
        <f t="shared" si="246"/>
        <v>49+ Months</v>
      </c>
      <c r="Y3965" s="1" t="str">
        <f t="shared" si="247"/>
        <v>Low</v>
      </c>
    </row>
    <row r="3966" spans="1:25" x14ac:dyDescent="0.2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 t="shared" si="244"/>
        <v>0</v>
      </c>
      <c r="W3966">
        <f t="shared" si="245"/>
        <v>1</v>
      </c>
      <c r="X3966" t="str">
        <f t="shared" si="246"/>
        <v>49+ Months</v>
      </c>
      <c r="Y3966" s="1" t="str">
        <f t="shared" si="247"/>
        <v>High</v>
      </c>
    </row>
    <row r="3967" spans="1:25" x14ac:dyDescent="0.2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 t="shared" si="244"/>
        <v>0</v>
      </c>
      <c r="W3967">
        <f t="shared" si="245"/>
        <v>1</v>
      </c>
      <c r="X3967" t="str">
        <f t="shared" si="246"/>
        <v>49+ Months</v>
      </c>
      <c r="Y3967" s="1" t="str">
        <f t="shared" si="247"/>
        <v>High</v>
      </c>
    </row>
    <row r="3968" spans="1:25" x14ac:dyDescent="0.2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 t="shared" si="244"/>
        <v>0</v>
      </c>
      <c r="W3968">
        <f t="shared" si="245"/>
        <v>1</v>
      </c>
      <c r="X3968" t="str">
        <f t="shared" si="246"/>
        <v>49+ Months</v>
      </c>
      <c r="Y3968" s="1" t="str">
        <f t="shared" si="247"/>
        <v>High</v>
      </c>
    </row>
    <row r="3969" spans="1:25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 t="shared" si="244"/>
        <v>0</v>
      </c>
      <c r="W3969">
        <f t="shared" si="245"/>
        <v>1</v>
      </c>
      <c r="X3969" t="str">
        <f t="shared" si="246"/>
        <v>25-48 Months</v>
      </c>
      <c r="Y3969" s="1" t="str">
        <f t="shared" si="247"/>
        <v>Low</v>
      </c>
    </row>
    <row r="3970" spans="1:25" x14ac:dyDescent="0.2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 t="shared" ref="V3970:V4033" si="248">IF(U3970="Yes",1,0)</f>
        <v>0</v>
      </c>
      <c r="W3970">
        <f t="shared" ref="W3970:W4033" si="249">IF(U3970="No",1,0)</f>
        <v>1</v>
      </c>
      <c r="X3970" t="str">
        <f t="shared" ref="X3970:X4033" si="250">IF(F3970&lt;=12,"0-12 Months",IF(F3970&lt;=24,"13-24 Months",IF(F3970&lt;=48,"25-48 Months","49+ Months")))</f>
        <v>49+ Months</v>
      </c>
      <c r="Y3970" s="1" t="str">
        <f t="shared" ref="Y3970:Y4033" si="251">IF(S3970&lt;50,"Low",IF(S3970&lt;80,"Medium","High"))</f>
        <v>Low</v>
      </c>
    </row>
    <row r="3971" spans="1:25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 t="shared" si="248"/>
        <v>0</v>
      </c>
      <c r="W3971">
        <f t="shared" si="249"/>
        <v>1</v>
      </c>
      <c r="X3971" t="str">
        <f t="shared" si="250"/>
        <v>0-12 Months</v>
      </c>
      <c r="Y3971" s="1" t="str">
        <f t="shared" si="251"/>
        <v>Medium</v>
      </c>
    </row>
    <row r="3972" spans="1:25" x14ac:dyDescent="0.2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 t="shared" si="248"/>
        <v>0</v>
      </c>
      <c r="W3972">
        <f t="shared" si="249"/>
        <v>1</v>
      </c>
      <c r="X3972" t="str">
        <f t="shared" si="250"/>
        <v>25-48 Months</v>
      </c>
      <c r="Y3972" s="1" t="str">
        <f t="shared" si="251"/>
        <v>Medium</v>
      </c>
    </row>
    <row r="3973" spans="1:25" x14ac:dyDescent="0.2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 t="shared" si="248"/>
        <v>1</v>
      </c>
      <c r="W3973">
        <f t="shared" si="249"/>
        <v>0</v>
      </c>
      <c r="X3973" t="str">
        <f t="shared" si="250"/>
        <v>25-48 Months</v>
      </c>
      <c r="Y3973" s="1" t="str">
        <f t="shared" si="251"/>
        <v>Low</v>
      </c>
    </row>
    <row r="3974" spans="1:25" x14ac:dyDescent="0.2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 t="shared" si="248"/>
        <v>0</v>
      </c>
      <c r="W3974">
        <f t="shared" si="249"/>
        <v>1</v>
      </c>
      <c r="X3974" t="str">
        <f t="shared" si="250"/>
        <v>25-48 Months</v>
      </c>
      <c r="Y3974" s="1" t="str">
        <f t="shared" si="251"/>
        <v>Medium</v>
      </c>
    </row>
    <row r="3975" spans="1:25" x14ac:dyDescent="0.2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 t="shared" si="248"/>
        <v>0</v>
      </c>
      <c r="W3975">
        <f t="shared" si="249"/>
        <v>1</v>
      </c>
      <c r="X3975" t="str">
        <f t="shared" si="250"/>
        <v>25-48 Months</v>
      </c>
      <c r="Y3975" s="1" t="str">
        <f t="shared" si="251"/>
        <v>Medium</v>
      </c>
    </row>
    <row r="3976" spans="1:25" x14ac:dyDescent="0.2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 t="shared" si="248"/>
        <v>0</v>
      </c>
      <c r="W3976">
        <f t="shared" si="249"/>
        <v>1</v>
      </c>
      <c r="X3976" t="str">
        <f t="shared" si="250"/>
        <v>25-48 Months</v>
      </c>
      <c r="Y3976" s="1" t="str">
        <f t="shared" si="251"/>
        <v>Medium</v>
      </c>
    </row>
    <row r="3977" spans="1:25" x14ac:dyDescent="0.2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 t="shared" si="248"/>
        <v>1</v>
      </c>
      <c r="W3977">
        <f t="shared" si="249"/>
        <v>0</v>
      </c>
      <c r="X3977" t="str">
        <f t="shared" si="250"/>
        <v>13-24 Months</v>
      </c>
      <c r="Y3977" s="1" t="str">
        <f t="shared" si="251"/>
        <v>High</v>
      </c>
    </row>
    <row r="3978" spans="1:25" x14ac:dyDescent="0.2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 t="shared" si="248"/>
        <v>1</v>
      </c>
      <c r="W3978">
        <f t="shared" si="249"/>
        <v>0</v>
      </c>
      <c r="X3978" t="str">
        <f t="shared" si="250"/>
        <v>0-12 Months</v>
      </c>
      <c r="Y3978" s="1" t="str">
        <f t="shared" si="251"/>
        <v>Low</v>
      </c>
    </row>
    <row r="3979" spans="1:25" x14ac:dyDescent="0.2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 t="shared" si="248"/>
        <v>0</v>
      </c>
      <c r="W3979">
        <f t="shared" si="249"/>
        <v>1</v>
      </c>
      <c r="X3979" t="str">
        <f t="shared" si="250"/>
        <v>49+ Months</v>
      </c>
      <c r="Y3979" s="1" t="str">
        <f t="shared" si="251"/>
        <v>High</v>
      </c>
    </row>
    <row r="3980" spans="1:25" x14ac:dyDescent="0.2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 t="shared" si="248"/>
        <v>0</v>
      </c>
      <c r="W3980">
        <f t="shared" si="249"/>
        <v>1</v>
      </c>
      <c r="X3980" t="str">
        <f t="shared" si="250"/>
        <v>0-12 Months</v>
      </c>
      <c r="Y3980" s="1" t="str">
        <f t="shared" si="251"/>
        <v>High</v>
      </c>
    </row>
    <row r="3981" spans="1:25" x14ac:dyDescent="0.2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 t="shared" si="248"/>
        <v>0</v>
      </c>
      <c r="W3981">
        <f t="shared" si="249"/>
        <v>1</v>
      </c>
      <c r="X3981" t="str">
        <f t="shared" si="250"/>
        <v>49+ Months</v>
      </c>
      <c r="Y3981" s="1" t="str">
        <f t="shared" si="251"/>
        <v>Low</v>
      </c>
    </row>
    <row r="3982" spans="1:25" x14ac:dyDescent="0.2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 t="shared" si="248"/>
        <v>1</v>
      </c>
      <c r="W3982">
        <f t="shared" si="249"/>
        <v>0</v>
      </c>
      <c r="X3982" t="str">
        <f t="shared" si="250"/>
        <v>25-48 Months</v>
      </c>
      <c r="Y3982" s="1" t="str">
        <f t="shared" si="251"/>
        <v>High</v>
      </c>
    </row>
    <row r="3983" spans="1:25" x14ac:dyDescent="0.2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 t="shared" si="248"/>
        <v>0</v>
      </c>
      <c r="W3983">
        <f t="shared" si="249"/>
        <v>1</v>
      </c>
      <c r="X3983" t="str">
        <f t="shared" si="250"/>
        <v>0-12 Months</v>
      </c>
      <c r="Y3983" s="1" t="str">
        <f t="shared" si="251"/>
        <v>High</v>
      </c>
    </row>
    <row r="3984" spans="1:25" x14ac:dyDescent="0.2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 t="shared" si="248"/>
        <v>0</v>
      </c>
      <c r="W3984">
        <f t="shared" si="249"/>
        <v>1</v>
      </c>
      <c r="X3984" t="str">
        <f t="shared" si="250"/>
        <v>49+ Months</v>
      </c>
      <c r="Y3984" s="1" t="str">
        <f t="shared" si="251"/>
        <v>Low</v>
      </c>
    </row>
    <row r="3985" spans="1:25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 t="shared" si="248"/>
        <v>1</v>
      </c>
      <c r="W3985">
        <f t="shared" si="249"/>
        <v>0</v>
      </c>
      <c r="X3985" t="str">
        <f t="shared" si="250"/>
        <v>0-12 Months</v>
      </c>
      <c r="Y3985" s="1" t="str">
        <f t="shared" si="251"/>
        <v>Low</v>
      </c>
    </row>
    <row r="3986" spans="1:25" x14ac:dyDescent="0.2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 t="shared" si="248"/>
        <v>0</v>
      </c>
      <c r="W3986">
        <f t="shared" si="249"/>
        <v>1</v>
      </c>
      <c r="X3986" t="str">
        <f t="shared" si="250"/>
        <v>49+ Months</v>
      </c>
      <c r="Y3986" s="1" t="str">
        <f t="shared" si="251"/>
        <v>Low</v>
      </c>
    </row>
    <row r="3987" spans="1:25" x14ac:dyDescent="0.2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 t="shared" si="248"/>
        <v>0</v>
      </c>
      <c r="W3987">
        <f t="shared" si="249"/>
        <v>1</v>
      </c>
      <c r="X3987" t="str">
        <f t="shared" si="250"/>
        <v>13-24 Months</v>
      </c>
      <c r="Y3987" s="1" t="str">
        <f t="shared" si="251"/>
        <v>Medium</v>
      </c>
    </row>
    <row r="3988" spans="1:25" x14ac:dyDescent="0.2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 t="shared" si="248"/>
        <v>0</v>
      </c>
      <c r="W3988">
        <f t="shared" si="249"/>
        <v>1</v>
      </c>
      <c r="X3988" t="str">
        <f t="shared" si="250"/>
        <v>49+ Months</v>
      </c>
      <c r="Y3988" s="1" t="str">
        <f t="shared" si="251"/>
        <v>High</v>
      </c>
    </row>
    <row r="3989" spans="1:25" x14ac:dyDescent="0.2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 t="shared" si="248"/>
        <v>1</v>
      </c>
      <c r="W3989">
        <f t="shared" si="249"/>
        <v>0</v>
      </c>
      <c r="X3989" t="str">
        <f t="shared" si="250"/>
        <v>0-12 Months</v>
      </c>
      <c r="Y3989" s="1" t="str">
        <f t="shared" si="251"/>
        <v>Medium</v>
      </c>
    </row>
    <row r="3990" spans="1:25" x14ac:dyDescent="0.2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 t="shared" si="248"/>
        <v>0</v>
      </c>
      <c r="W3990">
        <f t="shared" si="249"/>
        <v>1</v>
      </c>
      <c r="X3990" t="str">
        <f t="shared" si="250"/>
        <v>49+ Months</v>
      </c>
      <c r="Y3990" s="1" t="str">
        <f t="shared" si="251"/>
        <v>High</v>
      </c>
    </row>
    <row r="3991" spans="1:25" x14ac:dyDescent="0.2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 t="shared" si="248"/>
        <v>0</v>
      </c>
      <c r="W3991">
        <f t="shared" si="249"/>
        <v>1</v>
      </c>
      <c r="X3991" t="str">
        <f t="shared" si="250"/>
        <v>0-12 Months</v>
      </c>
      <c r="Y3991" s="1" t="str">
        <f t="shared" si="251"/>
        <v>Low</v>
      </c>
    </row>
    <row r="3992" spans="1:25" x14ac:dyDescent="0.2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 t="shared" si="248"/>
        <v>0</v>
      </c>
      <c r="W3992">
        <f t="shared" si="249"/>
        <v>1</v>
      </c>
      <c r="X3992" t="str">
        <f t="shared" si="250"/>
        <v>13-24 Months</v>
      </c>
      <c r="Y3992" s="1" t="str">
        <f t="shared" si="251"/>
        <v>High</v>
      </c>
    </row>
    <row r="3993" spans="1:25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 t="shared" si="248"/>
        <v>1</v>
      </c>
      <c r="W3993">
        <f t="shared" si="249"/>
        <v>0</v>
      </c>
      <c r="X3993" t="str">
        <f t="shared" si="250"/>
        <v>0-12 Months</v>
      </c>
      <c r="Y3993" s="1" t="str">
        <f t="shared" si="251"/>
        <v>High</v>
      </c>
    </row>
    <row r="3994" spans="1:25" x14ac:dyDescent="0.2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 t="shared" si="248"/>
        <v>0</v>
      </c>
      <c r="W3994">
        <f t="shared" si="249"/>
        <v>1</v>
      </c>
      <c r="X3994" t="str">
        <f t="shared" si="250"/>
        <v>49+ Months</v>
      </c>
      <c r="Y3994" s="1" t="str">
        <f t="shared" si="251"/>
        <v>High</v>
      </c>
    </row>
    <row r="3995" spans="1:25" x14ac:dyDescent="0.2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 t="shared" si="248"/>
        <v>0</v>
      </c>
      <c r="W3995">
        <f t="shared" si="249"/>
        <v>1</v>
      </c>
      <c r="X3995" t="str">
        <f t="shared" si="250"/>
        <v>49+ Months</v>
      </c>
      <c r="Y3995" s="1" t="str">
        <f t="shared" si="251"/>
        <v>Medium</v>
      </c>
    </row>
    <row r="3996" spans="1:25" x14ac:dyDescent="0.2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 t="shared" si="248"/>
        <v>1</v>
      </c>
      <c r="W3996">
        <f t="shared" si="249"/>
        <v>0</v>
      </c>
      <c r="X3996" t="str">
        <f t="shared" si="250"/>
        <v>49+ Months</v>
      </c>
      <c r="Y3996" s="1" t="str">
        <f t="shared" si="251"/>
        <v>High</v>
      </c>
    </row>
    <row r="3997" spans="1:25" x14ac:dyDescent="0.2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 t="shared" si="248"/>
        <v>1</v>
      </c>
      <c r="W3997">
        <f t="shared" si="249"/>
        <v>0</v>
      </c>
      <c r="X3997" t="str">
        <f t="shared" si="250"/>
        <v>25-48 Months</v>
      </c>
      <c r="Y3997" s="1" t="str">
        <f t="shared" si="251"/>
        <v>Medium</v>
      </c>
    </row>
    <row r="3998" spans="1:25" x14ac:dyDescent="0.2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 t="shared" si="248"/>
        <v>0</v>
      </c>
      <c r="W3998">
        <f t="shared" si="249"/>
        <v>1</v>
      </c>
      <c r="X3998" t="str">
        <f t="shared" si="250"/>
        <v>13-24 Months</v>
      </c>
      <c r="Y3998" s="1" t="str">
        <f t="shared" si="251"/>
        <v>Low</v>
      </c>
    </row>
    <row r="3999" spans="1:25" x14ac:dyDescent="0.2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 t="shared" si="248"/>
        <v>0</v>
      </c>
      <c r="W3999">
        <f t="shared" si="249"/>
        <v>1</v>
      </c>
      <c r="X3999" t="str">
        <f t="shared" si="250"/>
        <v>49+ Months</v>
      </c>
      <c r="Y3999" s="1" t="str">
        <f t="shared" si="251"/>
        <v>Medium</v>
      </c>
    </row>
    <row r="4000" spans="1:25" x14ac:dyDescent="0.2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 t="shared" si="248"/>
        <v>0</v>
      </c>
      <c r="W4000">
        <f t="shared" si="249"/>
        <v>1</v>
      </c>
      <c r="X4000" t="str">
        <f t="shared" si="250"/>
        <v>25-48 Months</v>
      </c>
      <c r="Y4000" s="1" t="str">
        <f t="shared" si="251"/>
        <v>Medium</v>
      </c>
    </row>
    <row r="4001" spans="1:25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 t="shared" si="248"/>
        <v>1</v>
      </c>
      <c r="W4001">
        <f t="shared" si="249"/>
        <v>0</v>
      </c>
      <c r="X4001" t="str">
        <f t="shared" si="250"/>
        <v>0-12 Months</v>
      </c>
      <c r="Y4001" s="1" t="str">
        <f t="shared" si="251"/>
        <v>Medium</v>
      </c>
    </row>
    <row r="4002" spans="1:25" x14ac:dyDescent="0.2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 t="shared" si="248"/>
        <v>0</v>
      </c>
      <c r="W4002">
        <f t="shared" si="249"/>
        <v>1</v>
      </c>
      <c r="X4002" t="str">
        <f t="shared" si="250"/>
        <v>25-48 Months</v>
      </c>
      <c r="Y4002" s="1" t="str">
        <f t="shared" si="251"/>
        <v>High</v>
      </c>
    </row>
    <row r="4003" spans="1:25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 t="shared" si="248"/>
        <v>0</v>
      </c>
      <c r="W4003">
        <f t="shared" si="249"/>
        <v>1</v>
      </c>
      <c r="X4003" t="str">
        <f t="shared" si="250"/>
        <v>25-48 Months</v>
      </c>
      <c r="Y4003" s="1" t="str">
        <f t="shared" si="251"/>
        <v>High</v>
      </c>
    </row>
    <row r="4004" spans="1:25" x14ac:dyDescent="0.2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 t="shared" si="248"/>
        <v>0</v>
      </c>
      <c r="W4004">
        <f t="shared" si="249"/>
        <v>1</v>
      </c>
      <c r="X4004" t="str">
        <f t="shared" si="250"/>
        <v>49+ Months</v>
      </c>
      <c r="Y4004" s="1" t="str">
        <f t="shared" si="251"/>
        <v>High</v>
      </c>
    </row>
    <row r="4005" spans="1:25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 t="shared" si="248"/>
        <v>0</v>
      </c>
      <c r="W4005">
        <f t="shared" si="249"/>
        <v>1</v>
      </c>
      <c r="X4005" t="str">
        <f t="shared" si="250"/>
        <v>25-48 Months</v>
      </c>
      <c r="Y4005" s="1" t="str">
        <f t="shared" si="251"/>
        <v>Low</v>
      </c>
    </row>
    <row r="4006" spans="1:25" x14ac:dyDescent="0.2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 t="shared" si="248"/>
        <v>0</v>
      </c>
      <c r="W4006">
        <f t="shared" si="249"/>
        <v>1</v>
      </c>
      <c r="X4006" t="str">
        <f t="shared" si="250"/>
        <v>49+ Months</v>
      </c>
      <c r="Y4006" s="1" t="str">
        <f t="shared" si="251"/>
        <v>Medium</v>
      </c>
    </row>
    <row r="4007" spans="1:25" x14ac:dyDescent="0.2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 t="shared" si="248"/>
        <v>1</v>
      </c>
      <c r="W4007">
        <f t="shared" si="249"/>
        <v>0</v>
      </c>
      <c r="X4007" t="str">
        <f t="shared" si="250"/>
        <v>0-12 Months</v>
      </c>
      <c r="Y4007" s="1" t="str">
        <f t="shared" si="251"/>
        <v>Low</v>
      </c>
    </row>
    <row r="4008" spans="1:25" x14ac:dyDescent="0.2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 t="shared" si="248"/>
        <v>0</v>
      </c>
      <c r="W4008">
        <f t="shared" si="249"/>
        <v>1</v>
      </c>
      <c r="X4008" t="str">
        <f t="shared" si="250"/>
        <v>49+ Months</v>
      </c>
      <c r="Y4008" s="1" t="str">
        <f t="shared" si="251"/>
        <v>Low</v>
      </c>
    </row>
    <row r="4009" spans="1:25" x14ac:dyDescent="0.2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 t="shared" si="248"/>
        <v>0</v>
      </c>
      <c r="W4009">
        <f t="shared" si="249"/>
        <v>1</v>
      </c>
      <c r="X4009" t="str">
        <f t="shared" si="250"/>
        <v>49+ Months</v>
      </c>
      <c r="Y4009" s="1" t="str">
        <f t="shared" si="251"/>
        <v>Low</v>
      </c>
    </row>
    <row r="4010" spans="1:25" x14ac:dyDescent="0.2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 t="shared" si="248"/>
        <v>0</v>
      </c>
      <c r="W4010">
        <f t="shared" si="249"/>
        <v>1</v>
      </c>
      <c r="X4010" t="str">
        <f t="shared" si="250"/>
        <v>49+ Months</v>
      </c>
      <c r="Y4010" s="1" t="str">
        <f t="shared" si="251"/>
        <v>Medium</v>
      </c>
    </row>
    <row r="4011" spans="1:25" x14ac:dyDescent="0.2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 t="shared" si="248"/>
        <v>0</v>
      </c>
      <c r="W4011">
        <f t="shared" si="249"/>
        <v>1</v>
      </c>
      <c r="X4011" t="str">
        <f t="shared" si="250"/>
        <v>49+ Months</v>
      </c>
      <c r="Y4011" s="1" t="str">
        <f t="shared" si="251"/>
        <v>High</v>
      </c>
    </row>
    <row r="4012" spans="1:25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 t="shared" si="248"/>
        <v>0</v>
      </c>
      <c r="W4012">
        <f t="shared" si="249"/>
        <v>1</v>
      </c>
      <c r="X4012" t="str">
        <f t="shared" si="250"/>
        <v>0-12 Months</v>
      </c>
      <c r="Y4012" s="1" t="str">
        <f t="shared" si="251"/>
        <v>Low</v>
      </c>
    </row>
    <row r="4013" spans="1:25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 t="shared" si="248"/>
        <v>0</v>
      </c>
      <c r="W4013">
        <f t="shared" si="249"/>
        <v>1</v>
      </c>
      <c r="X4013" t="str">
        <f t="shared" si="250"/>
        <v>13-24 Months</v>
      </c>
      <c r="Y4013" s="1" t="str">
        <f t="shared" si="251"/>
        <v>Low</v>
      </c>
    </row>
    <row r="4014" spans="1:25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 t="shared" si="248"/>
        <v>1</v>
      </c>
      <c r="W4014">
        <f t="shared" si="249"/>
        <v>0</v>
      </c>
      <c r="X4014" t="str">
        <f t="shared" si="250"/>
        <v>0-12 Months</v>
      </c>
      <c r="Y4014" s="1" t="str">
        <f t="shared" si="251"/>
        <v>Medium</v>
      </c>
    </row>
    <row r="4015" spans="1:25" x14ac:dyDescent="0.2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 t="shared" si="248"/>
        <v>0</v>
      </c>
      <c r="W4015">
        <f t="shared" si="249"/>
        <v>1</v>
      </c>
      <c r="X4015" t="str">
        <f t="shared" si="250"/>
        <v>0-12 Months</v>
      </c>
      <c r="Y4015" s="1" t="str">
        <f t="shared" si="251"/>
        <v>Medium</v>
      </c>
    </row>
    <row r="4016" spans="1:25" x14ac:dyDescent="0.2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 t="shared" si="248"/>
        <v>0</v>
      </c>
      <c r="W4016">
        <f t="shared" si="249"/>
        <v>1</v>
      </c>
      <c r="X4016" t="str">
        <f t="shared" si="250"/>
        <v>49+ Months</v>
      </c>
      <c r="Y4016" s="1" t="str">
        <f t="shared" si="251"/>
        <v>High</v>
      </c>
    </row>
    <row r="4017" spans="1:25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 t="shared" si="248"/>
        <v>0</v>
      </c>
      <c r="W4017">
        <f t="shared" si="249"/>
        <v>1</v>
      </c>
      <c r="X4017" t="str">
        <f t="shared" si="250"/>
        <v>25-48 Months</v>
      </c>
      <c r="Y4017" s="1" t="str">
        <f t="shared" si="251"/>
        <v>Medium</v>
      </c>
    </row>
    <row r="4018" spans="1:25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 t="shared" si="248"/>
        <v>0</v>
      </c>
      <c r="W4018">
        <f t="shared" si="249"/>
        <v>1</v>
      </c>
      <c r="X4018" t="str">
        <f t="shared" si="250"/>
        <v>0-12 Months</v>
      </c>
      <c r="Y4018" s="1" t="str">
        <f t="shared" si="251"/>
        <v>Low</v>
      </c>
    </row>
    <row r="4019" spans="1:25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 t="shared" si="248"/>
        <v>0</v>
      </c>
      <c r="W4019">
        <f t="shared" si="249"/>
        <v>1</v>
      </c>
      <c r="X4019" t="str">
        <f t="shared" si="250"/>
        <v>25-48 Months</v>
      </c>
      <c r="Y4019" s="1" t="str">
        <f t="shared" si="251"/>
        <v>Medium</v>
      </c>
    </row>
    <row r="4020" spans="1:25" x14ac:dyDescent="0.2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 t="shared" si="248"/>
        <v>0</v>
      </c>
      <c r="W4020">
        <f t="shared" si="249"/>
        <v>1</v>
      </c>
      <c r="X4020" t="str">
        <f t="shared" si="250"/>
        <v>0-12 Months</v>
      </c>
      <c r="Y4020" s="1" t="str">
        <f t="shared" si="251"/>
        <v>Medium</v>
      </c>
    </row>
    <row r="4021" spans="1:25" x14ac:dyDescent="0.2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 t="shared" si="248"/>
        <v>1</v>
      </c>
      <c r="W4021">
        <f t="shared" si="249"/>
        <v>0</v>
      </c>
      <c r="X4021" t="str">
        <f t="shared" si="250"/>
        <v>13-24 Months</v>
      </c>
      <c r="Y4021" s="1" t="str">
        <f t="shared" si="251"/>
        <v>High</v>
      </c>
    </row>
    <row r="4022" spans="1:25" x14ac:dyDescent="0.2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 t="shared" si="248"/>
        <v>0</v>
      </c>
      <c r="W4022">
        <f t="shared" si="249"/>
        <v>1</v>
      </c>
      <c r="X4022" t="str">
        <f t="shared" si="250"/>
        <v>49+ Months</v>
      </c>
      <c r="Y4022" s="1" t="str">
        <f t="shared" si="251"/>
        <v>Medium</v>
      </c>
    </row>
    <row r="4023" spans="1:25" x14ac:dyDescent="0.2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 t="shared" si="248"/>
        <v>1</v>
      </c>
      <c r="W4023">
        <f t="shared" si="249"/>
        <v>0</v>
      </c>
      <c r="X4023" t="str">
        <f t="shared" si="250"/>
        <v>0-12 Months</v>
      </c>
      <c r="Y4023" s="1" t="str">
        <f t="shared" si="251"/>
        <v>Low</v>
      </c>
    </row>
    <row r="4024" spans="1:25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 t="shared" si="248"/>
        <v>0</v>
      </c>
      <c r="W4024">
        <f t="shared" si="249"/>
        <v>1</v>
      </c>
      <c r="X4024" t="str">
        <f t="shared" si="250"/>
        <v>0-12 Months</v>
      </c>
      <c r="Y4024" s="1" t="str">
        <f t="shared" si="251"/>
        <v>Low</v>
      </c>
    </row>
    <row r="4025" spans="1:25" x14ac:dyDescent="0.2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 t="shared" si="248"/>
        <v>0</v>
      </c>
      <c r="W4025">
        <f t="shared" si="249"/>
        <v>1</v>
      </c>
      <c r="X4025" t="str">
        <f t="shared" si="250"/>
        <v>25-48 Months</v>
      </c>
      <c r="Y4025" s="1" t="str">
        <f t="shared" si="251"/>
        <v>Low</v>
      </c>
    </row>
    <row r="4026" spans="1:25" x14ac:dyDescent="0.2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 t="shared" si="248"/>
        <v>0</v>
      </c>
      <c r="W4026">
        <f t="shared" si="249"/>
        <v>1</v>
      </c>
      <c r="X4026" t="str">
        <f t="shared" si="250"/>
        <v>0-12 Months</v>
      </c>
      <c r="Y4026" s="1" t="str">
        <f t="shared" si="251"/>
        <v>Low</v>
      </c>
    </row>
    <row r="4027" spans="1:25" x14ac:dyDescent="0.2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 t="shared" si="248"/>
        <v>1</v>
      </c>
      <c r="W4027">
        <f t="shared" si="249"/>
        <v>0</v>
      </c>
      <c r="X4027" t="str">
        <f t="shared" si="250"/>
        <v>0-12 Months</v>
      </c>
      <c r="Y4027" s="1" t="str">
        <f t="shared" si="251"/>
        <v>Medium</v>
      </c>
    </row>
    <row r="4028" spans="1:25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 t="shared" si="248"/>
        <v>0</v>
      </c>
      <c r="W4028">
        <f t="shared" si="249"/>
        <v>1</v>
      </c>
      <c r="X4028" t="str">
        <f t="shared" si="250"/>
        <v>49+ Months</v>
      </c>
      <c r="Y4028" s="1" t="str">
        <f t="shared" si="251"/>
        <v>High</v>
      </c>
    </row>
    <row r="4029" spans="1:25" x14ac:dyDescent="0.2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 t="shared" si="248"/>
        <v>1</v>
      </c>
      <c r="W4029">
        <f t="shared" si="249"/>
        <v>0</v>
      </c>
      <c r="X4029" t="str">
        <f t="shared" si="250"/>
        <v>13-24 Months</v>
      </c>
      <c r="Y4029" s="1" t="str">
        <f t="shared" si="251"/>
        <v>Low</v>
      </c>
    </row>
    <row r="4030" spans="1:25" x14ac:dyDescent="0.2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 t="shared" si="248"/>
        <v>0</v>
      </c>
      <c r="W4030">
        <f t="shared" si="249"/>
        <v>1</v>
      </c>
      <c r="X4030" t="str">
        <f t="shared" si="250"/>
        <v>49+ Months</v>
      </c>
      <c r="Y4030" s="1" t="str">
        <f t="shared" si="251"/>
        <v>High</v>
      </c>
    </row>
    <row r="4031" spans="1:25" x14ac:dyDescent="0.2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 t="shared" si="248"/>
        <v>0</v>
      </c>
      <c r="W4031">
        <f t="shared" si="249"/>
        <v>1</v>
      </c>
      <c r="X4031" t="str">
        <f t="shared" si="250"/>
        <v>49+ Months</v>
      </c>
      <c r="Y4031" s="1" t="str">
        <f t="shared" si="251"/>
        <v>Low</v>
      </c>
    </row>
    <row r="4032" spans="1:25" x14ac:dyDescent="0.2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 t="shared" si="248"/>
        <v>0</v>
      </c>
      <c r="W4032">
        <f t="shared" si="249"/>
        <v>1</v>
      </c>
      <c r="X4032" t="str">
        <f t="shared" si="250"/>
        <v>0-12 Months</v>
      </c>
      <c r="Y4032" s="1" t="str">
        <f t="shared" si="251"/>
        <v>Medium</v>
      </c>
    </row>
    <row r="4033" spans="1:25" x14ac:dyDescent="0.2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 t="shared" si="248"/>
        <v>0</v>
      </c>
      <c r="W4033">
        <f t="shared" si="249"/>
        <v>1</v>
      </c>
      <c r="X4033" t="str">
        <f t="shared" si="250"/>
        <v>49+ Months</v>
      </c>
      <c r="Y4033" s="1" t="str">
        <f t="shared" si="251"/>
        <v>High</v>
      </c>
    </row>
    <row r="4034" spans="1:25" x14ac:dyDescent="0.2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 t="shared" ref="V4034:V4097" si="252">IF(U4034="Yes",1,0)</f>
        <v>0</v>
      </c>
      <c r="W4034">
        <f t="shared" ref="W4034:W4097" si="253">IF(U4034="No",1,0)</f>
        <v>1</v>
      </c>
      <c r="X4034" t="str">
        <f t="shared" ref="X4034:X4097" si="254">IF(F4034&lt;=12,"0-12 Months",IF(F4034&lt;=24,"13-24 Months",IF(F4034&lt;=48,"25-48 Months","49+ Months")))</f>
        <v>49+ Months</v>
      </c>
      <c r="Y4034" s="1" t="str">
        <f t="shared" ref="Y4034:Y4097" si="255">IF(S4034&lt;50,"Low",IF(S4034&lt;80,"Medium","High"))</f>
        <v>High</v>
      </c>
    </row>
    <row r="4035" spans="1:25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 t="shared" si="252"/>
        <v>0</v>
      </c>
      <c r="W4035">
        <f t="shared" si="253"/>
        <v>1</v>
      </c>
      <c r="X4035" t="str">
        <f t="shared" si="254"/>
        <v>49+ Months</v>
      </c>
      <c r="Y4035" s="1" t="str">
        <f t="shared" si="255"/>
        <v>Medium</v>
      </c>
    </row>
    <row r="4036" spans="1:25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 t="shared" si="252"/>
        <v>0</v>
      </c>
      <c r="W4036">
        <f t="shared" si="253"/>
        <v>1</v>
      </c>
      <c r="X4036" t="str">
        <f t="shared" si="254"/>
        <v>0-12 Months</v>
      </c>
      <c r="Y4036" s="1" t="str">
        <f t="shared" si="255"/>
        <v>Low</v>
      </c>
    </row>
    <row r="4037" spans="1:25" x14ac:dyDescent="0.2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 t="shared" si="252"/>
        <v>0</v>
      </c>
      <c r="W4037">
        <f t="shared" si="253"/>
        <v>1</v>
      </c>
      <c r="X4037" t="str">
        <f t="shared" si="254"/>
        <v>49+ Months</v>
      </c>
      <c r="Y4037" s="1" t="str">
        <f t="shared" si="255"/>
        <v>High</v>
      </c>
    </row>
    <row r="4038" spans="1:25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 t="shared" si="252"/>
        <v>0</v>
      </c>
      <c r="W4038">
        <f t="shared" si="253"/>
        <v>1</v>
      </c>
      <c r="X4038" t="str">
        <f t="shared" si="254"/>
        <v>13-24 Months</v>
      </c>
      <c r="Y4038" s="1" t="str">
        <f t="shared" si="255"/>
        <v>Low</v>
      </c>
    </row>
    <row r="4039" spans="1:25" x14ac:dyDescent="0.2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 t="shared" si="252"/>
        <v>0</v>
      </c>
      <c r="W4039">
        <f t="shared" si="253"/>
        <v>1</v>
      </c>
      <c r="X4039" t="str">
        <f t="shared" si="254"/>
        <v>49+ Months</v>
      </c>
      <c r="Y4039" s="1" t="str">
        <f t="shared" si="255"/>
        <v>Low</v>
      </c>
    </row>
    <row r="4040" spans="1:25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 t="shared" si="252"/>
        <v>0</v>
      </c>
      <c r="W4040">
        <f t="shared" si="253"/>
        <v>1</v>
      </c>
      <c r="X4040" t="str">
        <f t="shared" si="254"/>
        <v>49+ Months</v>
      </c>
      <c r="Y4040" s="1" t="str">
        <f t="shared" si="255"/>
        <v>Low</v>
      </c>
    </row>
    <row r="4041" spans="1:25" x14ac:dyDescent="0.2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 t="shared" si="252"/>
        <v>0</v>
      </c>
      <c r="W4041">
        <f t="shared" si="253"/>
        <v>1</v>
      </c>
      <c r="X4041" t="str">
        <f t="shared" si="254"/>
        <v>0-12 Months</v>
      </c>
      <c r="Y4041" s="1" t="str">
        <f t="shared" si="255"/>
        <v>High</v>
      </c>
    </row>
    <row r="4042" spans="1:25" x14ac:dyDescent="0.2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 t="shared" si="252"/>
        <v>0</v>
      </c>
      <c r="W4042">
        <f t="shared" si="253"/>
        <v>1</v>
      </c>
      <c r="X4042" t="str">
        <f t="shared" si="254"/>
        <v>49+ Months</v>
      </c>
      <c r="Y4042" s="1" t="str">
        <f t="shared" si="255"/>
        <v>Low</v>
      </c>
    </row>
    <row r="4043" spans="1:25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 t="shared" si="252"/>
        <v>0</v>
      </c>
      <c r="W4043">
        <f t="shared" si="253"/>
        <v>1</v>
      </c>
      <c r="X4043" t="str">
        <f t="shared" si="254"/>
        <v>25-48 Months</v>
      </c>
      <c r="Y4043" s="1" t="str">
        <f t="shared" si="255"/>
        <v>Medium</v>
      </c>
    </row>
    <row r="4044" spans="1:25" x14ac:dyDescent="0.2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 t="shared" si="252"/>
        <v>0</v>
      </c>
      <c r="W4044">
        <f t="shared" si="253"/>
        <v>1</v>
      </c>
      <c r="X4044" t="str">
        <f t="shared" si="254"/>
        <v>0-12 Months</v>
      </c>
      <c r="Y4044" s="1" t="str">
        <f t="shared" si="255"/>
        <v>Medium</v>
      </c>
    </row>
    <row r="4045" spans="1:25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 t="shared" si="252"/>
        <v>0</v>
      </c>
      <c r="W4045">
        <f t="shared" si="253"/>
        <v>1</v>
      </c>
      <c r="X4045" t="str">
        <f t="shared" si="254"/>
        <v>49+ Months</v>
      </c>
      <c r="Y4045" s="1" t="str">
        <f t="shared" si="255"/>
        <v>Medium</v>
      </c>
    </row>
    <row r="4046" spans="1:25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 t="shared" si="252"/>
        <v>0</v>
      </c>
      <c r="W4046">
        <f t="shared" si="253"/>
        <v>1</v>
      </c>
      <c r="X4046" t="str">
        <f t="shared" si="254"/>
        <v>49+ Months</v>
      </c>
      <c r="Y4046" s="1" t="str">
        <f t="shared" si="255"/>
        <v>High</v>
      </c>
    </row>
    <row r="4047" spans="1:25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 t="shared" si="252"/>
        <v>1</v>
      </c>
      <c r="W4047">
        <f t="shared" si="253"/>
        <v>0</v>
      </c>
      <c r="X4047" t="str">
        <f t="shared" si="254"/>
        <v>13-24 Months</v>
      </c>
      <c r="Y4047" s="1" t="str">
        <f t="shared" si="255"/>
        <v>Medium</v>
      </c>
    </row>
    <row r="4048" spans="1:25" x14ac:dyDescent="0.2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 t="shared" si="252"/>
        <v>0</v>
      </c>
      <c r="W4048">
        <f t="shared" si="253"/>
        <v>1</v>
      </c>
      <c r="X4048" t="str">
        <f t="shared" si="254"/>
        <v>25-48 Months</v>
      </c>
      <c r="Y4048" s="1" t="str">
        <f t="shared" si="255"/>
        <v>Medium</v>
      </c>
    </row>
    <row r="4049" spans="1:25" x14ac:dyDescent="0.2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 t="shared" si="252"/>
        <v>0</v>
      </c>
      <c r="W4049">
        <f t="shared" si="253"/>
        <v>1</v>
      </c>
      <c r="X4049" t="str">
        <f t="shared" si="254"/>
        <v>49+ Months</v>
      </c>
      <c r="Y4049" s="1" t="str">
        <f t="shared" si="255"/>
        <v>High</v>
      </c>
    </row>
    <row r="4050" spans="1:25" x14ac:dyDescent="0.2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 t="shared" si="252"/>
        <v>0</v>
      </c>
      <c r="W4050">
        <f t="shared" si="253"/>
        <v>1</v>
      </c>
      <c r="X4050" t="str">
        <f t="shared" si="254"/>
        <v>49+ Months</v>
      </c>
      <c r="Y4050" s="1" t="str">
        <f t="shared" si="255"/>
        <v>Medium</v>
      </c>
    </row>
    <row r="4051" spans="1:25" x14ac:dyDescent="0.2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 t="shared" si="252"/>
        <v>0</v>
      </c>
      <c r="W4051">
        <f t="shared" si="253"/>
        <v>1</v>
      </c>
      <c r="X4051" t="str">
        <f t="shared" si="254"/>
        <v>25-48 Months</v>
      </c>
      <c r="Y4051" s="1" t="str">
        <f t="shared" si="255"/>
        <v>High</v>
      </c>
    </row>
    <row r="4052" spans="1:25" x14ac:dyDescent="0.2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 t="shared" si="252"/>
        <v>0</v>
      </c>
      <c r="W4052">
        <f t="shared" si="253"/>
        <v>1</v>
      </c>
      <c r="X4052" t="str">
        <f t="shared" si="254"/>
        <v>49+ Months</v>
      </c>
      <c r="Y4052" s="1" t="str">
        <f t="shared" si="255"/>
        <v>High</v>
      </c>
    </row>
    <row r="4053" spans="1:25" x14ac:dyDescent="0.2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 t="shared" si="252"/>
        <v>0</v>
      </c>
      <c r="W4053">
        <f t="shared" si="253"/>
        <v>1</v>
      </c>
      <c r="X4053" t="str">
        <f t="shared" si="254"/>
        <v>49+ Months</v>
      </c>
      <c r="Y4053" s="1" t="str">
        <f t="shared" si="255"/>
        <v>High</v>
      </c>
    </row>
    <row r="4054" spans="1:25" x14ac:dyDescent="0.2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 t="shared" si="252"/>
        <v>1</v>
      </c>
      <c r="W4054">
        <f t="shared" si="253"/>
        <v>0</v>
      </c>
      <c r="X4054" t="str">
        <f t="shared" si="254"/>
        <v>25-48 Months</v>
      </c>
      <c r="Y4054" s="1" t="str">
        <f t="shared" si="255"/>
        <v>Low</v>
      </c>
    </row>
    <row r="4055" spans="1:25" x14ac:dyDescent="0.2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 t="shared" si="252"/>
        <v>0</v>
      </c>
      <c r="W4055">
        <f t="shared" si="253"/>
        <v>1</v>
      </c>
      <c r="X4055" t="str">
        <f t="shared" si="254"/>
        <v>0-12 Months</v>
      </c>
      <c r="Y4055" s="1" t="str">
        <f t="shared" si="255"/>
        <v>Medium</v>
      </c>
    </row>
    <row r="4056" spans="1:25" x14ac:dyDescent="0.2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 t="shared" si="252"/>
        <v>0</v>
      </c>
      <c r="W4056">
        <f t="shared" si="253"/>
        <v>1</v>
      </c>
      <c r="X4056" t="str">
        <f t="shared" si="254"/>
        <v>25-48 Months</v>
      </c>
      <c r="Y4056" s="1" t="str">
        <f t="shared" si="255"/>
        <v>Medium</v>
      </c>
    </row>
    <row r="4057" spans="1:25" x14ac:dyDescent="0.2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 t="shared" si="252"/>
        <v>0</v>
      </c>
      <c r="W4057">
        <f t="shared" si="253"/>
        <v>1</v>
      </c>
      <c r="X4057" t="str">
        <f t="shared" si="254"/>
        <v>49+ Months</v>
      </c>
      <c r="Y4057" s="1" t="str">
        <f t="shared" si="255"/>
        <v>Low</v>
      </c>
    </row>
    <row r="4058" spans="1:25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 t="shared" si="252"/>
        <v>1</v>
      </c>
      <c r="W4058">
        <f t="shared" si="253"/>
        <v>0</v>
      </c>
      <c r="X4058" t="str">
        <f t="shared" si="254"/>
        <v>0-12 Months</v>
      </c>
      <c r="Y4058" s="1" t="str">
        <f t="shared" si="255"/>
        <v>Medium</v>
      </c>
    </row>
    <row r="4059" spans="1:25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 t="shared" si="252"/>
        <v>0</v>
      </c>
      <c r="W4059">
        <f t="shared" si="253"/>
        <v>1</v>
      </c>
      <c r="X4059" t="str">
        <f t="shared" si="254"/>
        <v>49+ Months</v>
      </c>
      <c r="Y4059" s="1" t="str">
        <f t="shared" si="255"/>
        <v>Low</v>
      </c>
    </row>
    <row r="4060" spans="1:25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 t="shared" si="252"/>
        <v>1</v>
      </c>
      <c r="W4060">
        <f t="shared" si="253"/>
        <v>0</v>
      </c>
      <c r="X4060" t="str">
        <f t="shared" si="254"/>
        <v>25-48 Months</v>
      </c>
      <c r="Y4060" s="1" t="str">
        <f t="shared" si="255"/>
        <v>High</v>
      </c>
    </row>
    <row r="4061" spans="1:25" x14ac:dyDescent="0.2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 t="shared" si="252"/>
        <v>1</v>
      </c>
      <c r="W4061">
        <f t="shared" si="253"/>
        <v>0</v>
      </c>
      <c r="X4061" t="str">
        <f t="shared" si="254"/>
        <v>0-12 Months</v>
      </c>
      <c r="Y4061" s="1" t="str">
        <f t="shared" si="255"/>
        <v>Medium</v>
      </c>
    </row>
    <row r="4062" spans="1:25" x14ac:dyDescent="0.2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 t="shared" si="252"/>
        <v>0</v>
      </c>
      <c r="W4062">
        <f t="shared" si="253"/>
        <v>1</v>
      </c>
      <c r="X4062" t="str">
        <f t="shared" si="254"/>
        <v>49+ Months</v>
      </c>
      <c r="Y4062" s="1" t="str">
        <f t="shared" si="255"/>
        <v>Medium</v>
      </c>
    </row>
    <row r="4063" spans="1:25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 t="shared" si="252"/>
        <v>0</v>
      </c>
      <c r="W4063">
        <f t="shared" si="253"/>
        <v>1</v>
      </c>
      <c r="X4063" t="str">
        <f t="shared" si="254"/>
        <v>13-24 Months</v>
      </c>
      <c r="Y4063" s="1" t="str">
        <f t="shared" si="255"/>
        <v>Medium</v>
      </c>
    </row>
    <row r="4064" spans="1:25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 t="shared" si="252"/>
        <v>1</v>
      </c>
      <c r="W4064">
        <f t="shared" si="253"/>
        <v>0</v>
      </c>
      <c r="X4064" t="str">
        <f t="shared" si="254"/>
        <v>0-12 Months</v>
      </c>
      <c r="Y4064" s="1" t="str">
        <f t="shared" si="255"/>
        <v>Medium</v>
      </c>
    </row>
    <row r="4065" spans="1:25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 t="shared" si="252"/>
        <v>1</v>
      </c>
      <c r="W4065">
        <f t="shared" si="253"/>
        <v>0</v>
      </c>
      <c r="X4065" t="str">
        <f t="shared" si="254"/>
        <v>0-12 Months</v>
      </c>
      <c r="Y4065" s="1" t="str">
        <f t="shared" si="255"/>
        <v>High</v>
      </c>
    </row>
    <row r="4066" spans="1:25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 t="shared" si="252"/>
        <v>0</v>
      </c>
      <c r="W4066">
        <f t="shared" si="253"/>
        <v>1</v>
      </c>
      <c r="X4066" t="str">
        <f t="shared" si="254"/>
        <v>0-12 Months</v>
      </c>
      <c r="Y4066" s="1" t="str">
        <f t="shared" si="255"/>
        <v>Medium</v>
      </c>
    </row>
    <row r="4067" spans="1:25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 t="shared" si="252"/>
        <v>1</v>
      </c>
      <c r="W4067">
        <f t="shared" si="253"/>
        <v>0</v>
      </c>
      <c r="X4067" t="str">
        <f t="shared" si="254"/>
        <v>0-12 Months</v>
      </c>
      <c r="Y4067" s="1" t="str">
        <f t="shared" si="255"/>
        <v>Low</v>
      </c>
    </row>
    <row r="4068" spans="1:25" x14ac:dyDescent="0.2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 t="shared" si="252"/>
        <v>0</v>
      </c>
      <c r="W4068">
        <f t="shared" si="253"/>
        <v>1</v>
      </c>
      <c r="X4068" t="str">
        <f t="shared" si="254"/>
        <v>49+ Months</v>
      </c>
      <c r="Y4068" s="1" t="str">
        <f t="shared" si="255"/>
        <v>Medium</v>
      </c>
    </row>
    <row r="4069" spans="1:25" x14ac:dyDescent="0.2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 t="shared" si="252"/>
        <v>0</v>
      </c>
      <c r="W4069">
        <f t="shared" si="253"/>
        <v>1</v>
      </c>
      <c r="X4069" t="str">
        <f t="shared" si="254"/>
        <v>49+ Months</v>
      </c>
      <c r="Y4069" s="1" t="str">
        <f t="shared" si="255"/>
        <v>Medium</v>
      </c>
    </row>
    <row r="4070" spans="1:25" x14ac:dyDescent="0.2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 t="shared" si="252"/>
        <v>0</v>
      </c>
      <c r="W4070">
        <f t="shared" si="253"/>
        <v>1</v>
      </c>
      <c r="X4070" t="str">
        <f t="shared" si="254"/>
        <v>13-24 Months</v>
      </c>
      <c r="Y4070" s="1" t="str">
        <f t="shared" si="255"/>
        <v>Low</v>
      </c>
    </row>
    <row r="4071" spans="1:25" x14ac:dyDescent="0.2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 t="shared" si="252"/>
        <v>0</v>
      </c>
      <c r="W4071">
        <f t="shared" si="253"/>
        <v>1</v>
      </c>
      <c r="X4071" t="str">
        <f t="shared" si="254"/>
        <v>49+ Months</v>
      </c>
      <c r="Y4071" s="1" t="str">
        <f t="shared" si="255"/>
        <v>High</v>
      </c>
    </row>
    <row r="4072" spans="1:25" x14ac:dyDescent="0.2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 t="shared" si="252"/>
        <v>0</v>
      </c>
      <c r="W4072">
        <f t="shared" si="253"/>
        <v>1</v>
      </c>
      <c r="X4072" t="str">
        <f t="shared" si="254"/>
        <v>49+ Months</v>
      </c>
      <c r="Y4072" s="1" t="str">
        <f t="shared" si="255"/>
        <v>Medium</v>
      </c>
    </row>
    <row r="4073" spans="1:25" x14ac:dyDescent="0.2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 t="shared" si="252"/>
        <v>0</v>
      </c>
      <c r="W4073">
        <f t="shared" si="253"/>
        <v>1</v>
      </c>
      <c r="X4073" t="str">
        <f t="shared" si="254"/>
        <v>13-24 Months</v>
      </c>
      <c r="Y4073" s="1" t="str">
        <f t="shared" si="255"/>
        <v>Low</v>
      </c>
    </row>
    <row r="4074" spans="1:25" x14ac:dyDescent="0.2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 t="shared" si="252"/>
        <v>0</v>
      </c>
      <c r="W4074">
        <f t="shared" si="253"/>
        <v>1</v>
      </c>
      <c r="X4074" t="str">
        <f t="shared" si="254"/>
        <v>0-12 Months</v>
      </c>
      <c r="Y4074" s="1" t="str">
        <f t="shared" si="255"/>
        <v>Medium</v>
      </c>
    </row>
    <row r="4075" spans="1:25" x14ac:dyDescent="0.2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 t="shared" si="252"/>
        <v>1</v>
      </c>
      <c r="W4075">
        <f t="shared" si="253"/>
        <v>0</v>
      </c>
      <c r="X4075" t="str">
        <f t="shared" si="254"/>
        <v>13-24 Months</v>
      </c>
      <c r="Y4075" s="1" t="str">
        <f t="shared" si="255"/>
        <v>Medium</v>
      </c>
    </row>
    <row r="4076" spans="1:25" x14ac:dyDescent="0.2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 t="shared" si="252"/>
        <v>1</v>
      </c>
      <c r="W4076">
        <f t="shared" si="253"/>
        <v>0</v>
      </c>
      <c r="X4076" t="str">
        <f t="shared" si="254"/>
        <v>49+ Months</v>
      </c>
      <c r="Y4076" s="1" t="str">
        <f t="shared" si="255"/>
        <v>High</v>
      </c>
    </row>
    <row r="4077" spans="1:25" x14ac:dyDescent="0.2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 t="shared" si="252"/>
        <v>0</v>
      </c>
      <c r="W4077">
        <f t="shared" si="253"/>
        <v>1</v>
      </c>
      <c r="X4077" t="str">
        <f t="shared" si="254"/>
        <v>49+ Months</v>
      </c>
      <c r="Y4077" s="1" t="str">
        <f t="shared" si="255"/>
        <v>Low</v>
      </c>
    </row>
    <row r="4078" spans="1:25" x14ac:dyDescent="0.2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 t="shared" si="252"/>
        <v>0</v>
      </c>
      <c r="W4078">
        <f t="shared" si="253"/>
        <v>1</v>
      </c>
      <c r="X4078" t="str">
        <f t="shared" si="254"/>
        <v>49+ Months</v>
      </c>
      <c r="Y4078" s="1" t="str">
        <f t="shared" si="255"/>
        <v>High</v>
      </c>
    </row>
    <row r="4079" spans="1:25" x14ac:dyDescent="0.2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 t="shared" si="252"/>
        <v>0</v>
      </c>
      <c r="W4079">
        <f t="shared" si="253"/>
        <v>1</v>
      </c>
      <c r="X4079" t="str">
        <f t="shared" si="254"/>
        <v>13-24 Months</v>
      </c>
      <c r="Y4079" s="1" t="str">
        <f t="shared" si="255"/>
        <v>High</v>
      </c>
    </row>
    <row r="4080" spans="1:25" x14ac:dyDescent="0.2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 t="shared" si="252"/>
        <v>1</v>
      </c>
      <c r="W4080">
        <f t="shared" si="253"/>
        <v>0</v>
      </c>
      <c r="X4080" t="str">
        <f t="shared" si="254"/>
        <v>13-24 Months</v>
      </c>
      <c r="Y4080" s="1" t="str">
        <f t="shared" si="255"/>
        <v>Medium</v>
      </c>
    </row>
    <row r="4081" spans="1:25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 t="shared" si="252"/>
        <v>0</v>
      </c>
      <c r="W4081">
        <f t="shared" si="253"/>
        <v>1</v>
      </c>
      <c r="X4081" t="str">
        <f t="shared" si="254"/>
        <v>0-12 Months</v>
      </c>
      <c r="Y4081" s="1" t="str">
        <f t="shared" si="255"/>
        <v>Medium</v>
      </c>
    </row>
    <row r="4082" spans="1:25" x14ac:dyDescent="0.2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 t="shared" si="252"/>
        <v>0</v>
      </c>
      <c r="W4082">
        <f t="shared" si="253"/>
        <v>1</v>
      </c>
      <c r="X4082" t="str">
        <f t="shared" si="254"/>
        <v>25-48 Months</v>
      </c>
      <c r="Y4082" s="1" t="str">
        <f t="shared" si="255"/>
        <v>Low</v>
      </c>
    </row>
    <row r="4083" spans="1:25" x14ac:dyDescent="0.2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 t="shared" si="252"/>
        <v>1</v>
      </c>
      <c r="W4083">
        <f t="shared" si="253"/>
        <v>0</v>
      </c>
      <c r="X4083" t="str">
        <f t="shared" si="254"/>
        <v>0-12 Months</v>
      </c>
      <c r="Y4083" s="1" t="str">
        <f t="shared" si="255"/>
        <v>Medium</v>
      </c>
    </row>
    <row r="4084" spans="1:25" x14ac:dyDescent="0.2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 t="shared" si="252"/>
        <v>1</v>
      </c>
      <c r="W4084">
        <f t="shared" si="253"/>
        <v>0</v>
      </c>
      <c r="X4084" t="str">
        <f t="shared" si="254"/>
        <v>49+ Months</v>
      </c>
      <c r="Y4084" s="1" t="str">
        <f t="shared" si="255"/>
        <v>High</v>
      </c>
    </row>
    <row r="4085" spans="1:25" x14ac:dyDescent="0.2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 t="shared" si="252"/>
        <v>1</v>
      </c>
      <c r="W4085">
        <f t="shared" si="253"/>
        <v>0</v>
      </c>
      <c r="X4085" t="str">
        <f t="shared" si="254"/>
        <v>49+ Months</v>
      </c>
      <c r="Y4085" s="1" t="str">
        <f t="shared" si="255"/>
        <v>High</v>
      </c>
    </row>
    <row r="4086" spans="1:25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 t="shared" si="252"/>
        <v>1</v>
      </c>
      <c r="W4086">
        <f t="shared" si="253"/>
        <v>0</v>
      </c>
      <c r="X4086" t="str">
        <f t="shared" si="254"/>
        <v>0-12 Months</v>
      </c>
      <c r="Y4086" s="1" t="str">
        <f t="shared" si="255"/>
        <v>Medium</v>
      </c>
    </row>
    <row r="4087" spans="1:25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 t="shared" si="252"/>
        <v>0</v>
      </c>
      <c r="W4087">
        <f t="shared" si="253"/>
        <v>1</v>
      </c>
      <c r="X4087" t="str">
        <f t="shared" si="254"/>
        <v>25-48 Months</v>
      </c>
      <c r="Y4087" s="1" t="str">
        <f t="shared" si="255"/>
        <v>Low</v>
      </c>
    </row>
    <row r="4088" spans="1:25" x14ac:dyDescent="0.2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 t="shared" si="252"/>
        <v>0</v>
      </c>
      <c r="W4088">
        <f t="shared" si="253"/>
        <v>1</v>
      </c>
      <c r="X4088" t="str">
        <f t="shared" si="254"/>
        <v>49+ Months</v>
      </c>
      <c r="Y4088" s="1" t="str">
        <f t="shared" si="255"/>
        <v>Medium</v>
      </c>
    </row>
    <row r="4089" spans="1:25" x14ac:dyDescent="0.2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 t="shared" si="252"/>
        <v>0</v>
      </c>
      <c r="W4089">
        <f t="shared" si="253"/>
        <v>1</v>
      </c>
      <c r="X4089" t="str">
        <f t="shared" si="254"/>
        <v>0-12 Months</v>
      </c>
      <c r="Y4089" s="1" t="str">
        <f t="shared" si="255"/>
        <v>Low</v>
      </c>
    </row>
    <row r="4090" spans="1:25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 t="shared" si="252"/>
        <v>1</v>
      </c>
      <c r="W4090">
        <f t="shared" si="253"/>
        <v>0</v>
      </c>
      <c r="X4090" t="str">
        <f t="shared" si="254"/>
        <v>0-12 Months</v>
      </c>
      <c r="Y4090" s="1" t="str">
        <f t="shared" si="255"/>
        <v>Medium</v>
      </c>
    </row>
    <row r="4091" spans="1:25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 t="shared" si="252"/>
        <v>1</v>
      </c>
      <c r="W4091">
        <f t="shared" si="253"/>
        <v>0</v>
      </c>
      <c r="X4091" t="str">
        <f t="shared" si="254"/>
        <v>0-12 Months</v>
      </c>
      <c r="Y4091" s="1" t="str">
        <f t="shared" si="255"/>
        <v>Medium</v>
      </c>
    </row>
    <row r="4092" spans="1:25" x14ac:dyDescent="0.2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 t="shared" si="252"/>
        <v>0</v>
      </c>
      <c r="W4092">
        <f t="shared" si="253"/>
        <v>1</v>
      </c>
      <c r="X4092" t="str">
        <f t="shared" si="254"/>
        <v>0-12 Months</v>
      </c>
      <c r="Y4092" s="1" t="str">
        <f t="shared" si="255"/>
        <v>Low</v>
      </c>
    </row>
    <row r="4093" spans="1:25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 t="shared" si="252"/>
        <v>0</v>
      </c>
      <c r="W4093">
        <f t="shared" si="253"/>
        <v>1</v>
      </c>
      <c r="X4093" t="str">
        <f t="shared" si="254"/>
        <v>13-24 Months</v>
      </c>
      <c r="Y4093" s="1" t="str">
        <f t="shared" si="255"/>
        <v>Medium</v>
      </c>
    </row>
    <row r="4094" spans="1:25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 t="shared" si="252"/>
        <v>0</v>
      </c>
      <c r="W4094">
        <f t="shared" si="253"/>
        <v>1</v>
      </c>
      <c r="X4094" t="str">
        <f t="shared" si="254"/>
        <v>0-12 Months</v>
      </c>
      <c r="Y4094" s="1" t="str">
        <f t="shared" si="255"/>
        <v>Low</v>
      </c>
    </row>
    <row r="4095" spans="1:25" x14ac:dyDescent="0.2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 t="shared" si="252"/>
        <v>0</v>
      </c>
      <c r="W4095">
        <f t="shared" si="253"/>
        <v>1</v>
      </c>
      <c r="X4095" t="str">
        <f t="shared" si="254"/>
        <v>25-48 Months</v>
      </c>
      <c r="Y4095" s="1" t="str">
        <f t="shared" si="255"/>
        <v>Medium</v>
      </c>
    </row>
    <row r="4096" spans="1:25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 t="shared" si="252"/>
        <v>0</v>
      </c>
      <c r="W4096">
        <f t="shared" si="253"/>
        <v>1</v>
      </c>
      <c r="X4096" t="str">
        <f t="shared" si="254"/>
        <v>0-12 Months</v>
      </c>
      <c r="Y4096" s="1" t="str">
        <f t="shared" si="255"/>
        <v>Medium</v>
      </c>
    </row>
    <row r="4097" spans="1:25" x14ac:dyDescent="0.2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 t="shared" si="252"/>
        <v>0</v>
      </c>
      <c r="W4097">
        <f t="shared" si="253"/>
        <v>1</v>
      </c>
      <c r="X4097" t="str">
        <f t="shared" si="254"/>
        <v>0-12 Months</v>
      </c>
      <c r="Y4097" s="1" t="str">
        <f t="shared" si="255"/>
        <v>High</v>
      </c>
    </row>
    <row r="4098" spans="1:25" x14ac:dyDescent="0.2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 t="shared" ref="V4098:V4161" si="256">IF(U4098="Yes",1,0)</f>
        <v>0</v>
      </c>
      <c r="W4098">
        <f t="shared" ref="W4098:W4161" si="257">IF(U4098="No",1,0)</f>
        <v>1</v>
      </c>
      <c r="X4098" t="str">
        <f t="shared" ref="X4098:X4161" si="258">IF(F4098&lt;=12,"0-12 Months",IF(F4098&lt;=24,"13-24 Months",IF(F4098&lt;=48,"25-48 Months","49+ Months")))</f>
        <v>13-24 Months</v>
      </c>
      <c r="Y4098" s="1" t="str">
        <f t="shared" ref="Y4098:Y4161" si="259">IF(S4098&lt;50,"Low",IF(S4098&lt;80,"Medium","High"))</f>
        <v>High</v>
      </c>
    </row>
    <row r="4099" spans="1:25" x14ac:dyDescent="0.2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 t="shared" si="256"/>
        <v>0</v>
      </c>
      <c r="W4099">
        <f t="shared" si="257"/>
        <v>1</v>
      </c>
      <c r="X4099" t="str">
        <f t="shared" si="258"/>
        <v>49+ Months</v>
      </c>
      <c r="Y4099" s="1" t="str">
        <f t="shared" si="259"/>
        <v>High</v>
      </c>
    </row>
    <row r="4100" spans="1:25" x14ac:dyDescent="0.2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 t="shared" si="256"/>
        <v>1</v>
      </c>
      <c r="W4100">
        <f t="shared" si="257"/>
        <v>0</v>
      </c>
      <c r="X4100" t="str">
        <f t="shared" si="258"/>
        <v>0-12 Months</v>
      </c>
      <c r="Y4100" s="1" t="str">
        <f t="shared" si="259"/>
        <v>Low</v>
      </c>
    </row>
    <row r="4101" spans="1:25" x14ac:dyDescent="0.2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 t="shared" si="256"/>
        <v>0</v>
      </c>
      <c r="W4101">
        <f t="shared" si="257"/>
        <v>1</v>
      </c>
      <c r="X4101" t="str">
        <f t="shared" si="258"/>
        <v>0-12 Months</v>
      </c>
      <c r="Y4101" s="1" t="str">
        <f t="shared" si="259"/>
        <v>Low</v>
      </c>
    </row>
    <row r="4102" spans="1:25" x14ac:dyDescent="0.2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 t="shared" si="256"/>
        <v>0</v>
      </c>
      <c r="W4102">
        <f t="shared" si="257"/>
        <v>1</v>
      </c>
      <c r="X4102" t="str">
        <f t="shared" si="258"/>
        <v>49+ Months</v>
      </c>
      <c r="Y4102" s="1" t="str">
        <f t="shared" si="259"/>
        <v>Low</v>
      </c>
    </row>
    <row r="4103" spans="1:25" x14ac:dyDescent="0.2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 t="shared" si="256"/>
        <v>0</v>
      </c>
      <c r="W4103">
        <f t="shared" si="257"/>
        <v>1</v>
      </c>
      <c r="X4103" t="str">
        <f t="shared" si="258"/>
        <v>0-12 Months</v>
      </c>
      <c r="Y4103" s="1" t="str">
        <f t="shared" si="259"/>
        <v>Medium</v>
      </c>
    </row>
    <row r="4104" spans="1:25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 t="shared" si="256"/>
        <v>0</v>
      </c>
      <c r="W4104">
        <f t="shared" si="257"/>
        <v>1</v>
      </c>
      <c r="X4104" t="str">
        <f t="shared" si="258"/>
        <v>0-12 Months</v>
      </c>
      <c r="Y4104" s="1" t="str">
        <f t="shared" si="259"/>
        <v>Low</v>
      </c>
    </row>
    <row r="4105" spans="1:25" x14ac:dyDescent="0.2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 t="shared" si="256"/>
        <v>0</v>
      </c>
      <c r="W4105">
        <f t="shared" si="257"/>
        <v>1</v>
      </c>
      <c r="X4105" t="str">
        <f t="shared" si="258"/>
        <v>49+ Months</v>
      </c>
      <c r="Y4105" s="1" t="str">
        <f t="shared" si="259"/>
        <v>High</v>
      </c>
    </row>
    <row r="4106" spans="1:25" x14ac:dyDescent="0.2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 t="shared" si="256"/>
        <v>0</v>
      </c>
      <c r="W4106">
        <f t="shared" si="257"/>
        <v>1</v>
      </c>
      <c r="X4106" t="str">
        <f t="shared" si="258"/>
        <v>0-12 Months</v>
      </c>
      <c r="Y4106" s="1" t="str">
        <f t="shared" si="259"/>
        <v>Low</v>
      </c>
    </row>
    <row r="4107" spans="1:25" x14ac:dyDescent="0.2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 t="shared" si="256"/>
        <v>0</v>
      </c>
      <c r="W4107">
        <f t="shared" si="257"/>
        <v>1</v>
      </c>
      <c r="X4107" t="str">
        <f t="shared" si="258"/>
        <v>49+ Months</v>
      </c>
      <c r="Y4107" s="1" t="str">
        <f t="shared" si="259"/>
        <v>High</v>
      </c>
    </row>
    <row r="4108" spans="1:25" x14ac:dyDescent="0.2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 t="shared" si="256"/>
        <v>1</v>
      </c>
      <c r="W4108">
        <f t="shared" si="257"/>
        <v>0</v>
      </c>
      <c r="X4108" t="str">
        <f t="shared" si="258"/>
        <v>13-24 Months</v>
      </c>
      <c r="Y4108" s="1" t="str">
        <f t="shared" si="259"/>
        <v>High</v>
      </c>
    </row>
    <row r="4109" spans="1:25" x14ac:dyDescent="0.2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 t="shared" si="256"/>
        <v>0</v>
      </c>
      <c r="W4109">
        <f t="shared" si="257"/>
        <v>1</v>
      </c>
      <c r="X4109" t="str">
        <f t="shared" si="258"/>
        <v>49+ Months</v>
      </c>
      <c r="Y4109" s="1" t="str">
        <f t="shared" si="259"/>
        <v>High</v>
      </c>
    </row>
    <row r="4110" spans="1:25" x14ac:dyDescent="0.2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 t="shared" si="256"/>
        <v>0</v>
      </c>
      <c r="W4110">
        <f t="shared" si="257"/>
        <v>1</v>
      </c>
      <c r="X4110" t="str">
        <f t="shared" si="258"/>
        <v>25-48 Months</v>
      </c>
      <c r="Y4110" s="1" t="str">
        <f t="shared" si="259"/>
        <v>Low</v>
      </c>
    </row>
    <row r="4111" spans="1:25" x14ac:dyDescent="0.2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 t="shared" si="256"/>
        <v>1</v>
      </c>
      <c r="W4111">
        <f t="shared" si="257"/>
        <v>0</v>
      </c>
      <c r="X4111" t="str">
        <f t="shared" si="258"/>
        <v>0-12 Months</v>
      </c>
      <c r="Y4111" s="1" t="str">
        <f t="shared" si="259"/>
        <v>Low</v>
      </c>
    </row>
    <row r="4112" spans="1:25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 t="shared" si="256"/>
        <v>0</v>
      </c>
      <c r="W4112">
        <f t="shared" si="257"/>
        <v>1</v>
      </c>
      <c r="X4112" t="str">
        <f t="shared" si="258"/>
        <v>49+ Months</v>
      </c>
      <c r="Y4112" s="1" t="str">
        <f t="shared" si="259"/>
        <v>Medium</v>
      </c>
    </row>
    <row r="4113" spans="1:25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 t="shared" si="256"/>
        <v>0</v>
      </c>
      <c r="W4113">
        <f t="shared" si="257"/>
        <v>1</v>
      </c>
      <c r="X4113" t="str">
        <f t="shared" si="258"/>
        <v>13-24 Months</v>
      </c>
      <c r="Y4113" s="1" t="str">
        <f t="shared" si="259"/>
        <v>Medium</v>
      </c>
    </row>
    <row r="4114" spans="1:25" x14ac:dyDescent="0.2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 t="shared" si="256"/>
        <v>0</v>
      </c>
      <c r="W4114">
        <f t="shared" si="257"/>
        <v>1</v>
      </c>
      <c r="X4114" t="str">
        <f t="shared" si="258"/>
        <v>49+ Months</v>
      </c>
      <c r="Y4114" s="1" t="str">
        <f t="shared" si="259"/>
        <v>High</v>
      </c>
    </row>
    <row r="4115" spans="1:25" x14ac:dyDescent="0.2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 t="shared" si="256"/>
        <v>0</v>
      </c>
      <c r="W4115">
        <f t="shared" si="257"/>
        <v>1</v>
      </c>
      <c r="X4115" t="str">
        <f t="shared" si="258"/>
        <v>25-48 Months</v>
      </c>
      <c r="Y4115" s="1" t="str">
        <f t="shared" si="259"/>
        <v>Low</v>
      </c>
    </row>
    <row r="4116" spans="1:25" x14ac:dyDescent="0.2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 t="shared" si="256"/>
        <v>0</v>
      </c>
      <c r="W4116">
        <f t="shared" si="257"/>
        <v>1</v>
      </c>
      <c r="X4116" t="str">
        <f t="shared" si="258"/>
        <v>49+ Months</v>
      </c>
      <c r="Y4116" s="1" t="str">
        <f t="shared" si="259"/>
        <v>Low</v>
      </c>
    </row>
    <row r="4117" spans="1:25" x14ac:dyDescent="0.2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 t="shared" si="256"/>
        <v>0</v>
      </c>
      <c r="W4117">
        <f t="shared" si="257"/>
        <v>1</v>
      </c>
      <c r="X4117" t="str">
        <f t="shared" si="258"/>
        <v>49+ Months</v>
      </c>
      <c r="Y4117" s="1" t="str">
        <f t="shared" si="259"/>
        <v>Medium</v>
      </c>
    </row>
    <row r="4118" spans="1:25" x14ac:dyDescent="0.2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 t="shared" si="256"/>
        <v>0</v>
      </c>
      <c r="W4118">
        <f t="shared" si="257"/>
        <v>1</v>
      </c>
      <c r="X4118" t="str">
        <f t="shared" si="258"/>
        <v>13-24 Months</v>
      </c>
      <c r="Y4118" s="1" t="str">
        <f t="shared" si="259"/>
        <v>Low</v>
      </c>
    </row>
    <row r="4119" spans="1:25" x14ac:dyDescent="0.2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 t="shared" si="256"/>
        <v>0</v>
      </c>
      <c r="W4119">
        <f t="shared" si="257"/>
        <v>1</v>
      </c>
      <c r="X4119" t="str">
        <f t="shared" si="258"/>
        <v>49+ Months</v>
      </c>
      <c r="Y4119" s="1" t="str">
        <f t="shared" si="259"/>
        <v>High</v>
      </c>
    </row>
    <row r="4120" spans="1:25" x14ac:dyDescent="0.2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 t="shared" si="256"/>
        <v>0</v>
      </c>
      <c r="W4120">
        <f t="shared" si="257"/>
        <v>1</v>
      </c>
      <c r="X4120" t="str">
        <f t="shared" si="258"/>
        <v>25-48 Months</v>
      </c>
      <c r="Y4120" s="1" t="str">
        <f t="shared" si="259"/>
        <v>Medium</v>
      </c>
    </row>
    <row r="4121" spans="1:25" x14ac:dyDescent="0.2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 t="shared" si="256"/>
        <v>0</v>
      </c>
      <c r="W4121">
        <f t="shared" si="257"/>
        <v>1</v>
      </c>
      <c r="X4121" t="str">
        <f t="shared" si="258"/>
        <v>25-48 Months</v>
      </c>
      <c r="Y4121" s="1" t="str">
        <f t="shared" si="259"/>
        <v>Low</v>
      </c>
    </row>
    <row r="4122" spans="1:25" x14ac:dyDescent="0.2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 t="shared" si="256"/>
        <v>0</v>
      </c>
      <c r="W4122">
        <f t="shared" si="257"/>
        <v>1</v>
      </c>
      <c r="X4122" t="str">
        <f t="shared" si="258"/>
        <v>25-48 Months</v>
      </c>
      <c r="Y4122" s="1" t="str">
        <f t="shared" si="259"/>
        <v>Medium</v>
      </c>
    </row>
    <row r="4123" spans="1:25" x14ac:dyDescent="0.2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 t="shared" si="256"/>
        <v>1</v>
      </c>
      <c r="W4123">
        <f t="shared" si="257"/>
        <v>0</v>
      </c>
      <c r="X4123" t="str">
        <f t="shared" si="258"/>
        <v>25-48 Months</v>
      </c>
      <c r="Y4123" s="1" t="str">
        <f t="shared" si="259"/>
        <v>High</v>
      </c>
    </row>
    <row r="4124" spans="1:25" x14ac:dyDescent="0.2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 t="shared" si="256"/>
        <v>0</v>
      </c>
      <c r="W4124">
        <f t="shared" si="257"/>
        <v>1</v>
      </c>
      <c r="X4124" t="str">
        <f t="shared" si="258"/>
        <v>49+ Months</v>
      </c>
      <c r="Y4124" s="1" t="str">
        <f t="shared" si="259"/>
        <v>Medium</v>
      </c>
    </row>
    <row r="4125" spans="1:25" x14ac:dyDescent="0.2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 t="shared" si="256"/>
        <v>0</v>
      </c>
      <c r="W4125">
        <f t="shared" si="257"/>
        <v>1</v>
      </c>
      <c r="X4125" t="str">
        <f t="shared" si="258"/>
        <v>25-48 Months</v>
      </c>
      <c r="Y4125" s="1" t="str">
        <f t="shared" si="259"/>
        <v>Medium</v>
      </c>
    </row>
    <row r="4126" spans="1:25" x14ac:dyDescent="0.2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 t="shared" si="256"/>
        <v>0</v>
      </c>
      <c r="W4126">
        <f t="shared" si="257"/>
        <v>1</v>
      </c>
      <c r="X4126" t="str">
        <f t="shared" si="258"/>
        <v>13-24 Months</v>
      </c>
      <c r="Y4126" s="1" t="str">
        <f t="shared" si="259"/>
        <v>High</v>
      </c>
    </row>
    <row r="4127" spans="1:25" x14ac:dyDescent="0.2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 t="shared" si="256"/>
        <v>0</v>
      </c>
      <c r="W4127">
        <f t="shared" si="257"/>
        <v>1</v>
      </c>
      <c r="X4127" t="str">
        <f t="shared" si="258"/>
        <v>25-48 Months</v>
      </c>
      <c r="Y4127" s="1" t="str">
        <f t="shared" si="259"/>
        <v>High</v>
      </c>
    </row>
    <row r="4128" spans="1:25" x14ac:dyDescent="0.2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 t="shared" si="256"/>
        <v>0</v>
      </c>
      <c r="W4128">
        <f t="shared" si="257"/>
        <v>1</v>
      </c>
      <c r="X4128" t="str">
        <f t="shared" si="258"/>
        <v>0-12 Months</v>
      </c>
      <c r="Y4128" s="1" t="str">
        <f t="shared" si="259"/>
        <v>Low</v>
      </c>
    </row>
    <row r="4129" spans="1:25" x14ac:dyDescent="0.2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 t="shared" si="256"/>
        <v>0</v>
      </c>
      <c r="W4129">
        <f t="shared" si="257"/>
        <v>1</v>
      </c>
      <c r="X4129" t="str">
        <f t="shared" si="258"/>
        <v>49+ Months</v>
      </c>
      <c r="Y4129" s="1" t="str">
        <f t="shared" si="259"/>
        <v>Low</v>
      </c>
    </row>
    <row r="4130" spans="1:25" x14ac:dyDescent="0.2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 t="shared" si="256"/>
        <v>1</v>
      </c>
      <c r="W4130">
        <f t="shared" si="257"/>
        <v>0</v>
      </c>
      <c r="X4130" t="str">
        <f t="shared" si="258"/>
        <v>49+ Months</v>
      </c>
      <c r="Y4130" s="1" t="str">
        <f t="shared" si="259"/>
        <v>Low</v>
      </c>
    </row>
    <row r="4131" spans="1:25" x14ac:dyDescent="0.2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 t="shared" si="256"/>
        <v>0</v>
      </c>
      <c r="W4131">
        <f t="shared" si="257"/>
        <v>1</v>
      </c>
      <c r="X4131" t="str">
        <f t="shared" si="258"/>
        <v>25-48 Months</v>
      </c>
      <c r="Y4131" s="1" t="str">
        <f t="shared" si="259"/>
        <v>High</v>
      </c>
    </row>
    <row r="4132" spans="1:25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 t="shared" si="256"/>
        <v>0</v>
      </c>
      <c r="W4132">
        <f t="shared" si="257"/>
        <v>1</v>
      </c>
      <c r="X4132" t="str">
        <f t="shared" si="258"/>
        <v>0-12 Months</v>
      </c>
      <c r="Y4132" s="1" t="str">
        <f t="shared" si="259"/>
        <v>Low</v>
      </c>
    </row>
    <row r="4133" spans="1:25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 t="shared" si="256"/>
        <v>1</v>
      </c>
      <c r="W4133">
        <f t="shared" si="257"/>
        <v>0</v>
      </c>
      <c r="X4133" t="str">
        <f t="shared" si="258"/>
        <v>0-12 Months</v>
      </c>
      <c r="Y4133" s="1" t="str">
        <f t="shared" si="259"/>
        <v>Low</v>
      </c>
    </row>
    <row r="4134" spans="1:25" x14ac:dyDescent="0.2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 t="shared" si="256"/>
        <v>1</v>
      </c>
      <c r="W4134">
        <f t="shared" si="257"/>
        <v>0</v>
      </c>
      <c r="X4134" t="str">
        <f t="shared" si="258"/>
        <v>13-24 Months</v>
      </c>
      <c r="Y4134" s="1" t="str">
        <f t="shared" si="259"/>
        <v>Low</v>
      </c>
    </row>
    <row r="4135" spans="1:25" x14ac:dyDescent="0.2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 t="shared" si="256"/>
        <v>0</v>
      </c>
      <c r="W4135">
        <f t="shared" si="257"/>
        <v>1</v>
      </c>
      <c r="X4135" t="str">
        <f t="shared" si="258"/>
        <v>49+ Months</v>
      </c>
      <c r="Y4135" s="1" t="str">
        <f t="shared" si="259"/>
        <v>High</v>
      </c>
    </row>
    <row r="4136" spans="1:25" x14ac:dyDescent="0.2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 t="shared" si="256"/>
        <v>0</v>
      </c>
      <c r="W4136">
        <f t="shared" si="257"/>
        <v>1</v>
      </c>
      <c r="X4136" t="str">
        <f t="shared" si="258"/>
        <v>49+ Months</v>
      </c>
      <c r="Y4136" s="1" t="str">
        <f t="shared" si="259"/>
        <v>High</v>
      </c>
    </row>
    <row r="4137" spans="1:25" x14ac:dyDescent="0.2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 t="shared" si="256"/>
        <v>0</v>
      </c>
      <c r="W4137">
        <f t="shared" si="257"/>
        <v>1</v>
      </c>
      <c r="X4137" t="str">
        <f t="shared" si="258"/>
        <v>25-48 Months</v>
      </c>
      <c r="Y4137" s="1" t="str">
        <f t="shared" si="259"/>
        <v>High</v>
      </c>
    </row>
    <row r="4138" spans="1:25" x14ac:dyDescent="0.2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 t="shared" si="256"/>
        <v>0</v>
      </c>
      <c r="W4138">
        <f t="shared" si="257"/>
        <v>1</v>
      </c>
      <c r="X4138" t="str">
        <f t="shared" si="258"/>
        <v>25-48 Months</v>
      </c>
      <c r="Y4138" s="1" t="str">
        <f t="shared" si="259"/>
        <v>Low</v>
      </c>
    </row>
    <row r="4139" spans="1:25" x14ac:dyDescent="0.2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 t="shared" si="256"/>
        <v>0</v>
      </c>
      <c r="W4139">
        <f t="shared" si="257"/>
        <v>1</v>
      </c>
      <c r="X4139" t="str">
        <f t="shared" si="258"/>
        <v>0-12 Months</v>
      </c>
      <c r="Y4139" s="1" t="str">
        <f t="shared" si="259"/>
        <v>Low</v>
      </c>
    </row>
    <row r="4140" spans="1:25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 t="shared" si="256"/>
        <v>1</v>
      </c>
      <c r="W4140">
        <f t="shared" si="257"/>
        <v>0</v>
      </c>
      <c r="X4140" t="str">
        <f t="shared" si="258"/>
        <v>0-12 Months</v>
      </c>
      <c r="Y4140" s="1" t="str">
        <f t="shared" si="259"/>
        <v>High</v>
      </c>
    </row>
    <row r="4141" spans="1:25" x14ac:dyDescent="0.2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 t="shared" si="256"/>
        <v>0</v>
      </c>
      <c r="W4141">
        <f t="shared" si="257"/>
        <v>1</v>
      </c>
      <c r="X4141" t="str">
        <f t="shared" si="258"/>
        <v>13-24 Months</v>
      </c>
      <c r="Y4141" s="1" t="str">
        <f t="shared" si="259"/>
        <v>High</v>
      </c>
    </row>
    <row r="4142" spans="1:25" x14ac:dyDescent="0.2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 t="shared" si="256"/>
        <v>1</v>
      </c>
      <c r="W4142">
        <f t="shared" si="257"/>
        <v>0</v>
      </c>
      <c r="X4142" t="str">
        <f t="shared" si="258"/>
        <v>49+ Months</v>
      </c>
      <c r="Y4142" s="1" t="str">
        <f t="shared" si="259"/>
        <v>High</v>
      </c>
    </row>
    <row r="4143" spans="1:25" x14ac:dyDescent="0.2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 t="shared" si="256"/>
        <v>0</v>
      </c>
      <c r="W4143">
        <f t="shared" si="257"/>
        <v>1</v>
      </c>
      <c r="X4143" t="str">
        <f t="shared" si="258"/>
        <v>25-48 Months</v>
      </c>
      <c r="Y4143" s="1" t="str">
        <f t="shared" si="259"/>
        <v>Low</v>
      </c>
    </row>
    <row r="4144" spans="1:25" x14ac:dyDescent="0.2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 t="shared" si="256"/>
        <v>0</v>
      </c>
      <c r="W4144">
        <f t="shared" si="257"/>
        <v>1</v>
      </c>
      <c r="X4144" t="str">
        <f t="shared" si="258"/>
        <v>49+ Months</v>
      </c>
      <c r="Y4144" s="1" t="str">
        <f t="shared" si="259"/>
        <v>Medium</v>
      </c>
    </row>
    <row r="4145" spans="1:25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 t="shared" si="256"/>
        <v>1</v>
      </c>
      <c r="W4145">
        <f t="shared" si="257"/>
        <v>0</v>
      </c>
      <c r="X4145" t="str">
        <f t="shared" si="258"/>
        <v>25-48 Months</v>
      </c>
      <c r="Y4145" s="1" t="str">
        <f t="shared" si="259"/>
        <v>High</v>
      </c>
    </row>
    <row r="4146" spans="1:25" x14ac:dyDescent="0.2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 t="shared" si="256"/>
        <v>0</v>
      </c>
      <c r="W4146">
        <f t="shared" si="257"/>
        <v>1</v>
      </c>
      <c r="X4146" t="str">
        <f t="shared" si="258"/>
        <v>13-24 Months</v>
      </c>
      <c r="Y4146" s="1" t="str">
        <f t="shared" si="259"/>
        <v>High</v>
      </c>
    </row>
    <row r="4147" spans="1:25" x14ac:dyDescent="0.2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 t="shared" si="256"/>
        <v>0</v>
      </c>
      <c r="W4147">
        <f t="shared" si="257"/>
        <v>1</v>
      </c>
      <c r="X4147" t="str">
        <f t="shared" si="258"/>
        <v>13-24 Months</v>
      </c>
      <c r="Y4147" s="1" t="str">
        <f t="shared" si="259"/>
        <v>Medium</v>
      </c>
    </row>
    <row r="4148" spans="1:25" x14ac:dyDescent="0.2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 t="shared" si="256"/>
        <v>1</v>
      </c>
      <c r="W4148">
        <f t="shared" si="257"/>
        <v>0</v>
      </c>
      <c r="X4148" t="str">
        <f t="shared" si="258"/>
        <v>25-48 Months</v>
      </c>
      <c r="Y4148" s="1" t="str">
        <f t="shared" si="259"/>
        <v>Medium</v>
      </c>
    </row>
    <row r="4149" spans="1:25" x14ac:dyDescent="0.2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 t="shared" si="256"/>
        <v>0</v>
      </c>
      <c r="W4149">
        <f t="shared" si="257"/>
        <v>1</v>
      </c>
      <c r="X4149" t="str">
        <f t="shared" si="258"/>
        <v>49+ Months</v>
      </c>
      <c r="Y4149" s="1" t="str">
        <f t="shared" si="259"/>
        <v>Low</v>
      </c>
    </row>
    <row r="4150" spans="1:25" x14ac:dyDescent="0.2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 t="shared" si="256"/>
        <v>0</v>
      </c>
      <c r="W4150">
        <f t="shared" si="257"/>
        <v>1</v>
      </c>
      <c r="X4150" t="str">
        <f t="shared" si="258"/>
        <v>25-48 Months</v>
      </c>
      <c r="Y4150" s="1" t="str">
        <f t="shared" si="259"/>
        <v>Low</v>
      </c>
    </row>
    <row r="4151" spans="1:25" x14ac:dyDescent="0.2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 t="shared" si="256"/>
        <v>1</v>
      </c>
      <c r="W4151">
        <f t="shared" si="257"/>
        <v>0</v>
      </c>
      <c r="X4151" t="str">
        <f t="shared" si="258"/>
        <v>49+ Months</v>
      </c>
      <c r="Y4151" s="1" t="str">
        <f t="shared" si="259"/>
        <v>Low</v>
      </c>
    </row>
    <row r="4152" spans="1:25" x14ac:dyDescent="0.2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 t="shared" si="256"/>
        <v>0</v>
      </c>
      <c r="W4152">
        <f t="shared" si="257"/>
        <v>1</v>
      </c>
      <c r="X4152" t="str">
        <f t="shared" si="258"/>
        <v>0-12 Months</v>
      </c>
      <c r="Y4152" s="1" t="str">
        <f t="shared" si="259"/>
        <v>High</v>
      </c>
    </row>
    <row r="4153" spans="1:25" x14ac:dyDescent="0.2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 t="shared" si="256"/>
        <v>0</v>
      </c>
      <c r="W4153">
        <f t="shared" si="257"/>
        <v>1</v>
      </c>
      <c r="X4153" t="str">
        <f t="shared" si="258"/>
        <v>49+ Months</v>
      </c>
      <c r="Y4153" s="1" t="str">
        <f t="shared" si="259"/>
        <v>Medium</v>
      </c>
    </row>
    <row r="4154" spans="1:25" x14ac:dyDescent="0.2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 t="shared" si="256"/>
        <v>0</v>
      </c>
      <c r="W4154">
        <f t="shared" si="257"/>
        <v>1</v>
      </c>
      <c r="X4154" t="str">
        <f t="shared" si="258"/>
        <v>49+ Months</v>
      </c>
      <c r="Y4154" s="1" t="str">
        <f t="shared" si="259"/>
        <v>Medium</v>
      </c>
    </row>
    <row r="4155" spans="1:25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 t="shared" si="256"/>
        <v>0</v>
      </c>
      <c r="W4155">
        <f t="shared" si="257"/>
        <v>1</v>
      </c>
      <c r="X4155" t="str">
        <f t="shared" si="258"/>
        <v>25-48 Months</v>
      </c>
      <c r="Y4155" s="1" t="str">
        <f t="shared" si="259"/>
        <v>Low</v>
      </c>
    </row>
    <row r="4156" spans="1:25" x14ac:dyDescent="0.2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 t="shared" si="256"/>
        <v>1</v>
      </c>
      <c r="W4156">
        <f t="shared" si="257"/>
        <v>0</v>
      </c>
      <c r="X4156" t="str">
        <f t="shared" si="258"/>
        <v>0-12 Months</v>
      </c>
      <c r="Y4156" s="1" t="str">
        <f t="shared" si="259"/>
        <v>Medium</v>
      </c>
    </row>
    <row r="4157" spans="1:25" x14ac:dyDescent="0.2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 t="shared" si="256"/>
        <v>0</v>
      </c>
      <c r="W4157">
        <f t="shared" si="257"/>
        <v>1</v>
      </c>
      <c r="X4157" t="str">
        <f t="shared" si="258"/>
        <v>49+ Months</v>
      </c>
      <c r="Y4157" s="1" t="str">
        <f t="shared" si="259"/>
        <v>High</v>
      </c>
    </row>
    <row r="4158" spans="1:25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 t="shared" si="256"/>
        <v>0</v>
      </c>
      <c r="W4158">
        <f t="shared" si="257"/>
        <v>1</v>
      </c>
      <c r="X4158" t="str">
        <f t="shared" si="258"/>
        <v>0-12 Months</v>
      </c>
      <c r="Y4158" s="1" t="str">
        <f t="shared" si="259"/>
        <v>Low</v>
      </c>
    </row>
    <row r="4159" spans="1:25" x14ac:dyDescent="0.2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 t="shared" si="256"/>
        <v>0</v>
      </c>
      <c r="W4159">
        <f t="shared" si="257"/>
        <v>1</v>
      </c>
      <c r="X4159" t="str">
        <f t="shared" si="258"/>
        <v>0-12 Months</v>
      </c>
      <c r="Y4159" s="1" t="str">
        <f t="shared" si="259"/>
        <v>Low</v>
      </c>
    </row>
    <row r="4160" spans="1:25" x14ac:dyDescent="0.2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 t="shared" si="256"/>
        <v>0</v>
      </c>
      <c r="W4160">
        <f t="shared" si="257"/>
        <v>1</v>
      </c>
      <c r="X4160" t="str">
        <f t="shared" si="258"/>
        <v>25-48 Months</v>
      </c>
      <c r="Y4160" s="1" t="str">
        <f t="shared" si="259"/>
        <v>Low</v>
      </c>
    </row>
    <row r="4161" spans="1:25" x14ac:dyDescent="0.2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 t="shared" si="256"/>
        <v>0</v>
      </c>
      <c r="W4161">
        <f t="shared" si="257"/>
        <v>1</v>
      </c>
      <c r="X4161" t="str">
        <f t="shared" si="258"/>
        <v>49+ Months</v>
      </c>
      <c r="Y4161" s="1" t="str">
        <f t="shared" si="259"/>
        <v>High</v>
      </c>
    </row>
    <row r="4162" spans="1:25" x14ac:dyDescent="0.2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 t="shared" ref="V4162:V4225" si="260">IF(U4162="Yes",1,0)</f>
        <v>0</v>
      </c>
      <c r="W4162">
        <f t="shared" ref="W4162:W4225" si="261">IF(U4162="No",1,0)</f>
        <v>1</v>
      </c>
      <c r="X4162" t="str">
        <f t="shared" ref="X4162:X4225" si="262">IF(F4162&lt;=12,"0-12 Months",IF(F4162&lt;=24,"13-24 Months",IF(F4162&lt;=48,"25-48 Months","49+ Months")))</f>
        <v>25-48 Months</v>
      </c>
      <c r="Y4162" s="1" t="str">
        <f t="shared" ref="Y4162:Y4225" si="263">IF(S4162&lt;50,"Low",IF(S4162&lt;80,"Medium","High"))</f>
        <v>Medium</v>
      </c>
    </row>
    <row r="4163" spans="1:25" x14ac:dyDescent="0.2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 t="shared" si="260"/>
        <v>0</v>
      </c>
      <c r="W4163">
        <f t="shared" si="261"/>
        <v>1</v>
      </c>
      <c r="X4163" t="str">
        <f t="shared" si="262"/>
        <v>0-12 Months</v>
      </c>
      <c r="Y4163" s="1" t="str">
        <f t="shared" si="263"/>
        <v>Low</v>
      </c>
    </row>
    <row r="4164" spans="1:25" x14ac:dyDescent="0.2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 t="shared" si="260"/>
        <v>0</v>
      </c>
      <c r="W4164">
        <f t="shared" si="261"/>
        <v>1</v>
      </c>
      <c r="X4164" t="str">
        <f t="shared" si="262"/>
        <v>49+ Months</v>
      </c>
      <c r="Y4164" s="1" t="str">
        <f t="shared" si="263"/>
        <v>Medium</v>
      </c>
    </row>
    <row r="4165" spans="1:25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 t="shared" si="260"/>
        <v>0</v>
      </c>
      <c r="W4165">
        <f t="shared" si="261"/>
        <v>1</v>
      </c>
      <c r="X4165" t="str">
        <f t="shared" si="262"/>
        <v>49+ Months</v>
      </c>
      <c r="Y4165" s="1" t="str">
        <f t="shared" si="263"/>
        <v>Medium</v>
      </c>
    </row>
    <row r="4166" spans="1:25" x14ac:dyDescent="0.2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 t="shared" si="260"/>
        <v>0</v>
      </c>
      <c r="W4166">
        <f t="shared" si="261"/>
        <v>1</v>
      </c>
      <c r="X4166" t="str">
        <f t="shared" si="262"/>
        <v>49+ Months</v>
      </c>
      <c r="Y4166" s="1" t="str">
        <f t="shared" si="263"/>
        <v>High</v>
      </c>
    </row>
    <row r="4167" spans="1:25" x14ac:dyDescent="0.2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 t="shared" si="260"/>
        <v>0</v>
      </c>
      <c r="W4167">
        <f t="shared" si="261"/>
        <v>1</v>
      </c>
      <c r="X4167" t="str">
        <f t="shared" si="262"/>
        <v>0-12 Months</v>
      </c>
      <c r="Y4167" s="1" t="str">
        <f t="shared" si="263"/>
        <v>High</v>
      </c>
    </row>
    <row r="4168" spans="1:25" x14ac:dyDescent="0.2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 t="shared" si="260"/>
        <v>0</v>
      </c>
      <c r="W4168">
        <f t="shared" si="261"/>
        <v>1</v>
      </c>
      <c r="X4168" t="str">
        <f t="shared" si="262"/>
        <v>25-48 Months</v>
      </c>
      <c r="Y4168" s="1" t="str">
        <f t="shared" si="263"/>
        <v>Low</v>
      </c>
    </row>
    <row r="4169" spans="1:25" x14ac:dyDescent="0.2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 t="shared" si="260"/>
        <v>0</v>
      </c>
      <c r="W4169">
        <f t="shared" si="261"/>
        <v>1</v>
      </c>
      <c r="X4169" t="str">
        <f t="shared" si="262"/>
        <v>49+ Months</v>
      </c>
      <c r="Y4169" s="1" t="str">
        <f t="shared" si="263"/>
        <v>Medium</v>
      </c>
    </row>
    <row r="4170" spans="1:25" x14ac:dyDescent="0.2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 t="shared" si="260"/>
        <v>0</v>
      </c>
      <c r="W4170">
        <f t="shared" si="261"/>
        <v>1</v>
      </c>
      <c r="X4170" t="str">
        <f t="shared" si="262"/>
        <v>49+ Months</v>
      </c>
      <c r="Y4170" s="1" t="str">
        <f t="shared" si="263"/>
        <v>Medium</v>
      </c>
    </row>
    <row r="4171" spans="1:25" x14ac:dyDescent="0.2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 t="shared" si="260"/>
        <v>1</v>
      </c>
      <c r="W4171">
        <f t="shared" si="261"/>
        <v>0</v>
      </c>
      <c r="X4171" t="str">
        <f t="shared" si="262"/>
        <v>13-24 Months</v>
      </c>
      <c r="Y4171" s="1" t="str">
        <f t="shared" si="263"/>
        <v>High</v>
      </c>
    </row>
    <row r="4172" spans="1:25" x14ac:dyDescent="0.2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 t="shared" si="260"/>
        <v>0</v>
      </c>
      <c r="W4172">
        <f t="shared" si="261"/>
        <v>1</v>
      </c>
      <c r="X4172" t="str">
        <f t="shared" si="262"/>
        <v>49+ Months</v>
      </c>
      <c r="Y4172" s="1" t="str">
        <f t="shared" si="263"/>
        <v>High</v>
      </c>
    </row>
    <row r="4173" spans="1:25" x14ac:dyDescent="0.2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 t="shared" si="260"/>
        <v>1</v>
      </c>
      <c r="W4173">
        <f t="shared" si="261"/>
        <v>0</v>
      </c>
      <c r="X4173" t="str">
        <f t="shared" si="262"/>
        <v>0-12 Months</v>
      </c>
      <c r="Y4173" s="1" t="str">
        <f t="shared" si="263"/>
        <v>Low</v>
      </c>
    </row>
    <row r="4174" spans="1:25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 t="shared" si="260"/>
        <v>0</v>
      </c>
      <c r="W4174">
        <f t="shared" si="261"/>
        <v>1</v>
      </c>
      <c r="X4174" t="str">
        <f t="shared" si="262"/>
        <v>0-12 Months</v>
      </c>
      <c r="Y4174" s="1" t="str">
        <f t="shared" si="263"/>
        <v>Low</v>
      </c>
    </row>
    <row r="4175" spans="1:25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 t="shared" si="260"/>
        <v>0</v>
      </c>
      <c r="W4175">
        <f t="shared" si="261"/>
        <v>1</v>
      </c>
      <c r="X4175" t="str">
        <f t="shared" si="262"/>
        <v>0-12 Months</v>
      </c>
      <c r="Y4175" s="1" t="str">
        <f t="shared" si="263"/>
        <v>High</v>
      </c>
    </row>
    <row r="4176" spans="1:25" x14ac:dyDescent="0.2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 t="shared" si="260"/>
        <v>1</v>
      </c>
      <c r="W4176">
        <f t="shared" si="261"/>
        <v>0</v>
      </c>
      <c r="X4176" t="str">
        <f t="shared" si="262"/>
        <v>25-48 Months</v>
      </c>
      <c r="Y4176" s="1" t="str">
        <f t="shared" si="263"/>
        <v>Low</v>
      </c>
    </row>
    <row r="4177" spans="1:25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 t="shared" si="260"/>
        <v>0</v>
      </c>
      <c r="W4177">
        <f t="shared" si="261"/>
        <v>1</v>
      </c>
      <c r="X4177" t="str">
        <f t="shared" si="262"/>
        <v>49+ Months</v>
      </c>
      <c r="Y4177" s="1" t="str">
        <f t="shared" si="263"/>
        <v>Low</v>
      </c>
    </row>
    <row r="4178" spans="1:25" x14ac:dyDescent="0.2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 t="shared" si="260"/>
        <v>0</v>
      </c>
      <c r="W4178">
        <f t="shared" si="261"/>
        <v>1</v>
      </c>
      <c r="X4178" t="str">
        <f t="shared" si="262"/>
        <v>13-24 Months</v>
      </c>
      <c r="Y4178" s="1" t="str">
        <f t="shared" si="263"/>
        <v>Low</v>
      </c>
    </row>
    <row r="4179" spans="1:25" x14ac:dyDescent="0.2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 t="shared" si="260"/>
        <v>0</v>
      </c>
      <c r="W4179">
        <f t="shared" si="261"/>
        <v>1</v>
      </c>
      <c r="X4179" t="str">
        <f t="shared" si="262"/>
        <v>13-24 Months</v>
      </c>
      <c r="Y4179" s="1" t="str">
        <f t="shared" si="263"/>
        <v>Low</v>
      </c>
    </row>
    <row r="4180" spans="1:25" x14ac:dyDescent="0.2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 t="shared" si="260"/>
        <v>0</v>
      </c>
      <c r="W4180">
        <f t="shared" si="261"/>
        <v>1</v>
      </c>
      <c r="X4180" t="str">
        <f t="shared" si="262"/>
        <v>49+ Months</v>
      </c>
      <c r="Y4180" s="1" t="str">
        <f t="shared" si="263"/>
        <v>Medium</v>
      </c>
    </row>
    <row r="4181" spans="1:25" x14ac:dyDescent="0.2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 t="shared" si="260"/>
        <v>0</v>
      </c>
      <c r="W4181">
        <f t="shared" si="261"/>
        <v>1</v>
      </c>
      <c r="X4181" t="str">
        <f t="shared" si="262"/>
        <v>0-12 Months</v>
      </c>
      <c r="Y4181" s="1" t="str">
        <f t="shared" si="263"/>
        <v>Medium</v>
      </c>
    </row>
    <row r="4182" spans="1:25" x14ac:dyDescent="0.2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 t="shared" si="260"/>
        <v>1</v>
      </c>
      <c r="W4182">
        <f t="shared" si="261"/>
        <v>0</v>
      </c>
      <c r="X4182" t="str">
        <f t="shared" si="262"/>
        <v>0-12 Months</v>
      </c>
      <c r="Y4182" s="1" t="str">
        <f t="shared" si="263"/>
        <v>Low</v>
      </c>
    </row>
    <row r="4183" spans="1:25" x14ac:dyDescent="0.2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 t="shared" si="260"/>
        <v>0</v>
      </c>
      <c r="W4183">
        <f t="shared" si="261"/>
        <v>1</v>
      </c>
      <c r="X4183" t="str">
        <f t="shared" si="262"/>
        <v>49+ Months</v>
      </c>
      <c r="Y4183" s="1" t="str">
        <f t="shared" si="263"/>
        <v>High</v>
      </c>
    </row>
    <row r="4184" spans="1:25" x14ac:dyDescent="0.2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 t="shared" si="260"/>
        <v>1</v>
      </c>
      <c r="W4184">
        <f t="shared" si="261"/>
        <v>0</v>
      </c>
      <c r="X4184" t="str">
        <f t="shared" si="262"/>
        <v>25-48 Months</v>
      </c>
      <c r="Y4184" s="1" t="str">
        <f t="shared" si="263"/>
        <v>High</v>
      </c>
    </row>
    <row r="4185" spans="1:25" x14ac:dyDescent="0.2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 t="shared" si="260"/>
        <v>0</v>
      </c>
      <c r="W4185">
        <f t="shared" si="261"/>
        <v>1</v>
      </c>
      <c r="X4185" t="str">
        <f t="shared" si="262"/>
        <v>0-12 Months</v>
      </c>
      <c r="Y4185" s="1" t="str">
        <f t="shared" si="263"/>
        <v>Low</v>
      </c>
    </row>
    <row r="4186" spans="1:25" x14ac:dyDescent="0.2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 t="shared" si="260"/>
        <v>1</v>
      </c>
      <c r="W4186">
        <f t="shared" si="261"/>
        <v>0</v>
      </c>
      <c r="X4186" t="str">
        <f t="shared" si="262"/>
        <v>0-12 Months</v>
      </c>
      <c r="Y4186" s="1" t="str">
        <f t="shared" si="263"/>
        <v>Medium</v>
      </c>
    </row>
    <row r="4187" spans="1:25" x14ac:dyDescent="0.2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 t="shared" si="260"/>
        <v>0</v>
      </c>
      <c r="W4187">
        <f t="shared" si="261"/>
        <v>1</v>
      </c>
      <c r="X4187" t="str">
        <f t="shared" si="262"/>
        <v>0-12 Months</v>
      </c>
      <c r="Y4187" s="1" t="str">
        <f t="shared" si="263"/>
        <v>Low</v>
      </c>
    </row>
    <row r="4188" spans="1:25" x14ac:dyDescent="0.2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 t="shared" si="260"/>
        <v>0</v>
      </c>
      <c r="W4188">
        <f t="shared" si="261"/>
        <v>1</v>
      </c>
      <c r="X4188" t="str">
        <f t="shared" si="262"/>
        <v>49+ Months</v>
      </c>
      <c r="Y4188" s="1" t="str">
        <f t="shared" si="263"/>
        <v>High</v>
      </c>
    </row>
    <row r="4189" spans="1:25" x14ac:dyDescent="0.2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 t="shared" si="260"/>
        <v>0</v>
      </c>
      <c r="W4189">
        <f t="shared" si="261"/>
        <v>1</v>
      </c>
      <c r="X4189" t="str">
        <f t="shared" si="262"/>
        <v>25-48 Months</v>
      </c>
      <c r="Y4189" s="1" t="str">
        <f t="shared" si="263"/>
        <v>Low</v>
      </c>
    </row>
    <row r="4190" spans="1:25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 t="shared" si="260"/>
        <v>1</v>
      </c>
      <c r="W4190">
        <f t="shared" si="261"/>
        <v>0</v>
      </c>
      <c r="X4190" t="str">
        <f t="shared" si="262"/>
        <v>25-48 Months</v>
      </c>
      <c r="Y4190" s="1" t="str">
        <f t="shared" si="263"/>
        <v>High</v>
      </c>
    </row>
    <row r="4191" spans="1:25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 t="shared" si="260"/>
        <v>0</v>
      </c>
      <c r="W4191">
        <f t="shared" si="261"/>
        <v>1</v>
      </c>
      <c r="X4191" t="str">
        <f t="shared" si="262"/>
        <v>49+ Months</v>
      </c>
      <c r="Y4191" s="1" t="str">
        <f t="shared" si="263"/>
        <v>Medium</v>
      </c>
    </row>
    <row r="4192" spans="1:25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 t="shared" si="260"/>
        <v>1</v>
      </c>
      <c r="W4192">
        <f t="shared" si="261"/>
        <v>0</v>
      </c>
      <c r="X4192" t="str">
        <f t="shared" si="262"/>
        <v>0-12 Months</v>
      </c>
      <c r="Y4192" s="1" t="str">
        <f t="shared" si="263"/>
        <v>High</v>
      </c>
    </row>
    <row r="4193" spans="1:25" x14ac:dyDescent="0.2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 t="shared" si="260"/>
        <v>0</v>
      </c>
      <c r="W4193">
        <f t="shared" si="261"/>
        <v>1</v>
      </c>
      <c r="X4193" t="str">
        <f t="shared" si="262"/>
        <v>49+ Months</v>
      </c>
      <c r="Y4193" s="1" t="str">
        <f t="shared" si="263"/>
        <v>High</v>
      </c>
    </row>
    <row r="4194" spans="1:25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 t="shared" si="260"/>
        <v>0</v>
      </c>
      <c r="W4194">
        <f t="shared" si="261"/>
        <v>1</v>
      </c>
      <c r="X4194" t="str">
        <f t="shared" si="262"/>
        <v>13-24 Months</v>
      </c>
      <c r="Y4194" s="1" t="str">
        <f t="shared" si="263"/>
        <v>Low</v>
      </c>
    </row>
    <row r="4195" spans="1:25" x14ac:dyDescent="0.2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 t="shared" si="260"/>
        <v>0</v>
      </c>
      <c r="W4195">
        <f t="shared" si="261"/>
        <v>1</v>
      </c>
      <c r="X4195" t="str">
        <f t="shared" si="262"/>
        <v>0-12 Months</v>
      </c>
      <c r="Y4195" s="1" t="str">
        <f t="shared" si="263"/>
        <v>Low</v>
      </c>
    </row>
    <row r="4196" spans="1:25" x14ac:dyDescent="0.2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 t="shared" si="260"/>
        <v>0</v>
      </c>
      <c r="W4196">
        <f t="shared" si="261"/>
        <v>1</v>
      </c>
      <c r="X4196" t="str">
        <f t="shared" si="262"/>
        <v>49+ Months</v>
      </c>
      <c r="Y4196" s="1" t="str">
        <f t="shared" si="263"/>
        <v>Low</v>
      </c>
    </row>
    <row r="4197" spans="1:25" x14ac:dyDescent="0.2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 t="shared" si="260"/>
        <v>0</v>
      </c>
      <c r="W4197">
        <f t="shared" si="261"/>
        <v>1</v>
      </c>
      <c r="X4197" t="str">
        <f t="shared" si="262"/>
        <v>25-48 Months</v>
      </c>
      <c r="Y4197" s="1" t="str">
        <f t="shared" si="263"/>
        <v>Medium</v>
      </c>
    </row>
    <row r="4198" spans="1:25" x14ac:dyDescent="0.2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 t="shared" si="260"/>
        <v>0</v>
      </c>
      <c r="W4198">
        <f t="shared" si="261"/>
        <v>1</v>
      </c>
      <c r="X4198" t="str">
        <f t="shared" si="262"/>
        <v>49+ Months</v>
      </c>
      <c r="Y4198" s="1" t="str">
        <f t="shared" si="263"/>
        <v>Low</v>
      </c>
    </row>
    <row r="4199" spans="1:25" x14ac:dyDescent="0.2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 t="shared" si="260"/>
        <v>0</v>
      </c>
      <c r="W4199">
        <f t="shared" si="261"/>
        <v>1</v>
      </c>
      <c r="X4199" t="str">
        <f t="shared" si="262"/>
        <v>13-24 Months</v>
      </c>
      <c r="Y4199" s="1" t="str">
        <f t="shared" si="263"/>
        <v>High</v>
      </c>
    </row>
    <row r="4200" spans="1:25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 t="shared" si="260"/>
        <v>0</v>
      </c>
      <c r="W4200">
        <f t="shared" si="261"/>
        <v>1</v>
      </c>
      <c r="X4200" t="str">
        <f t="shared" si="262"/>
        <v>49+ Months</v>
      </c>
      <c r="Y4200" s="1" t="str">
        <f t="shared" si="263"/>
        <v>Low</v>
      </c>
    </row>
    <row r="4201" spans="1:25" x14ac:dyDescent="0.2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 t="shared" si="260"/>
        <v>1</v>
      </c>
      <c r="W4201">
        <f t="shared" si="261"/>
        <v>0</v>
      </c>
      <c r="X4201" t="str">
        <f t="shared" si="262"/>
        <v>49+ Months</v>
      </c>
      <c r="Y4201" s="1" t="str">
        <f t="shared" si="263"/>
        <v>High</v>
      </c>
    </row>
    <row r="4202" spans="1:25" x14ac:dyDescent="0.2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 t="shared" si="260"/>
        <v>0</v>
      </c>
      <c r="W4202">
        <f t="shared" si="261"/>
        <v>1</v>
      </c>
      <c r="X4202" t="str">
        <f t="shared" si="262"/>
        <v>49+ Months</v>
      </c>
      <c r="Y4202" s="1" t="str">
        <f t="shared" si="263"/>
        <v>Medium</v>
      </c>
    </row>
    <row r="4203" spans="1:25" x14ac:dyDescent="0.2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 t="shared" si="260"/>
        <v>0</v>
      </c>
      <c r="W4203">
        <f t="shared" si="261"/>
        <v>1</v>
      </c>
      <c r="X4203" t="str">
        <f t="shared" si="262"/>
        <v>49+ Months</v>
      </c>
      <c r="Y4203" s="1" t="str">
        <f t="shared" si="263"/>
        <v>Low</v>
      </c>
    </row>
    <row r="4204" spans="1:25" x14ac:dyDescent="0.2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 t="shared" si="260"/>
        <v>0</v>
      </c>
      <c r="W4204">
        <f t="shared" si="261"/>
        <v>1</v>
      </c>
      <c r="X4204" t="str">
        <f t="shared" si="262"/>
        <v>0-12 Months</v>
      </c>
      <c r="Y4204" s="1" t="str">
        <f t="shared" si="263"/>
        <v>Low</v>
      </c>
    </row>
    <row r="4205" spans="1:25" x14ac:dyDescent="0.2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 t="shared" si="260"/>
        <v>0</v>
      </c>
      <c r="W4205">
        <f t="shared" si="261"/>
        <v>1</v>
      </c>
      <c r="X4205" t="str">
        <f t="shared" si="262"/>
        <v>0-12 Months</v>
      </c>
      <c r="Y4205" s="1" t="str">
        <f t="shared" si="263"/>
        <v>Low</v>
      </c>
    </row>
    <row r="4206" spans="1:25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 t="shared" si="260"/>
        <v>0</v>
      </c>
      <c r="W4206">
        <f t="shared" si="261"/>
        <v>1</v>
      </c>
      <c r="X4206" t="str">
        <f t="shared" si="262"/>
        <v>0-12 Months</v>
      </c>
      <c r="Y4206" s="1" t="str">
        <f t="shared" si="263"/>
        <v>High</v>
      </c>
    </row>
    <row r="4207" spans="1:25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 t="shared" si="260"/>
        <v>0</v>
      </c>
      <c r="W4207">
        <f t="shared" si="261"/>
        <v>1</v>
      </c>
      <c r="X4207" t="str">
        <f t="shared" si="262"/>
        <v>13-24 Months</v>
      </c>
      <c r="Y4207" s="1" t="str">
        <f t="shared" si="263"/>
        <v>Medium</v>
      </c>
    </row>
    <row r="4208" spans="1:25" x14ac:dyDescent="0.2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 t="shared" si="260"/>
        <v>0</v>
      </c>
      <c r="W4208">
        <f t="shared" si="261"/>
        <v>1</v>
      </c>
      <c r="X4208" t="str">
        <f t="shared" si="262"/>
        <v>49+ Months</v>
      </c>
      <c r="Y4208" s="1" t="str">
        <f t="shared" si="263"/>
        <v>High</v>
      </c>
    </row>
    <row r="4209" spans="1:25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 t="shared" si="260"/>
        <v>0</v>
      </c>
      <c r="W4209">
        <f t="shared" si="261"/>
        <v>1</v>
      </c>
      <c r="X4209" t="str">
        <f t="shared" si="262"/>
        <v>13-24 Months</v>
      </c>
      <c r="Y4209" s="1" t="str">
        <f t="shared" si="263"/>
        <v>Low</v>
      </c>
    </row>
    <row r="4210" spans="1:25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 t="shared" si="260"/>
        <v>0</v>
      </c>
      <c r="W4210">
        <f t="shared" si="261"/>
        <v>1</v>
      </c>
      <c r="X4210" t="str">
        <f t="shared" si="262"/>
        <v>49+ Months</v>
      </c>
      <c r="Y4210" s="1" t="str">
        <f t="shared" si="263"/>
        <v>Medium</v>
      </c>
    </row>
    <row r="4211" spans="1:25" x14ac:dyDescent="0.2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 t="shared" si="260"/>
        <v>0</v>
      </c>
      <c r="W4211">
        <f t="shared" si="261"/>
        <v>1</v>
      </c>
      <c r="X4211" t="str">
        <f t="shared" si="262"/>
        <v>25-48 Months</v>
      </c>
      <c r="Y4211" s="1" t="str">
        <f t="shared" si="263"/>
        <v>Medium</v>
      </c>
    </row>
    <row r="4212" spans="1:25" x14ac:dyDescent="0.2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 t="shared" si="260"/>
        <v>0</v>
      </c>
      <c r="W4212">
        <f t="shared" si="261"/>
        <v>1</v>
      </c>
      <c r="X4212" t="str">
        <f t="shared" si="262"/>
        <v>49+ Months</v>
      </c>
      <c r="Y4212" s="1" t="str">
        <f t="shared" si="263"/>
        <v>Medium</v>
      </c>
    </row>
    <row r="4213" spans="1:25" x14ac:dyDescent="0.2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 t="shared" si="260"/>
        <v>1</v>
      </c>
      <c r="W4213">
        <f t="shared" si="261"/>
        <v>0</v>
      </c>
      <c r="X4213" t="str">
        <f t="shared" si="262"/>
        <v>13-24 Months</v>
      </c>
      <c r="Y4213" s="1" t="str">
        <f t="shared" si="263"/>
        <v>High</v>
      </c>
    </row>
    <row r="4214" spans="1:25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 t="shared" si="260"/>
        <v>1</v>
      </c>
      <c r="W4214">
        <f t="shared" si="261"/>
        <v>0</v>
      </c>
      <c r="X4214" t="str">
        <f t="shared" si="262"/>
        <v>0-12 Months</v>
      </c>
      <c r="Y4214" s="1" t="str">
        <f t="shared" si="263"/>
        <v>High</v>
      </c>
    </row>
    <row r="4215" spans="1:25" x14ac:dyDescent="0.2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 t="shared" si="260"/>
        <v>1</v>
      </c>
      <c r="W4215">
        <f t="shared" si="261"/>
        <v>0</v>
      </c>
      <c r="X4215" t="str">
        <f t="shared" si="262"/>
        <v>0-12 Months</v>
      </c>
      <c r="Y4215" s="1" t="str">
        <f t="shared" si="263"/>
        <v>Medium</v>
      </c>
    </row>
    <row r="4216" spans="1:25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 t="shared" si="260"/>
        <v>1</v>
      </c>
      <c r="W4216">
        <f t="shared" si="261"/>
        <v>0</v>
      </c>
      <c r="X4216" t="str">
        <f t="shared" si="262"/>
        <v>0-12 Months</v>
      </c>
      <c r="Y4216" s="1" t="str">
        <f t="shared" si="263"/>
        <v>High</v>
      </c>
    </row>
    <row r="4217" spans="1:25" x14ac:dyDescent="0.2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 t="shared" si="260"/>
        <v>0</v>
      </c>
      <c r="W4217">
        <f t="shared" si="261"/>
        <v>1</v>
      </c>
      <c r="X4217" t="str">
        <f t="shared" si="262"/>
        <v>49+ Months</v>
      </c>
      <c r="Y4217" s="1" t="str">
        <f t="shared" si="263"/>
        <v>High</v>
      </c>
    </row>
    <row r="4218" spans="1:25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 t="shared" si="260"/>
        <v>0</v>
      </c>
      <c r="W4218">
        <f t="shared" si="261"/>
        <v>1</v>
      </c>
      <c r="X4218" t="str">
        <f t="shared" si="262"/>
        <v>49+ Months</v>
      </c>
      <c r="Y4218" s="1" t="str">
        <f t="shared" si="263"/>
        <v>High</v>
      </c>
    </row>
    <row r="4219" spans="1:25" x14ac:dyDescent="0.2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 t="shared" si="260"/>
        <v>0</v>
      </c>
      <c r="W4219">
        <f t="shared" si="261"/>
        <v>1</v>
      </c>
      <c r="X4219" t="str">
        <f t="shared" si="262"/>
        <v>13-24 Months</v>
      </c>
      <c r="Y4219" s="1" t="str">
        <f t="shared" si="263"/>
        <v>Medium</v>
      </c>
    </row>
    <row r="4220" spans="1:25" x14ac:dyDescent="0.2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 t="shared" si="260"/>
        <v>0</v>
      </c>
      <c r="W4220">
        <f t="shared" si="261"/>
        <v>1</v>
      </c>
      <c r="X4220" t="str">
        <f t="shared" si="262"/>
        <v>0-12 Months</v>
      </c>
      <c r="Y4220" s="1" t="str">
        <f t="shared" si="263"/>
        <v>Low</v>
      </c>
    </row>
    <row r="4221" spans="1:25" x14ac:dyDescent="0.2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 t="shared" si="260"/>
        <v>0</v>
      </c>
      <c r="W4221">
        <f t="shared" si="261"/>
        <v>1</v>
      </c>
      <c r="X4221" t="str">
        <f t="shared" si="262"/>
        <v>25-48 Months</v>
      </c>
      <c r="Y4221" s="1" t="str">
        <f t="shared" si="263"/>
        <v>Medium</v>
      </c>
    </row>
    <row r="4222" spans="1:25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 t="shared" si="260"/>
        <v>0</v>
      </c>
      <c r="W4222">
        <f t="shared" si="261"/>
        <v>1</v>
      </c>
      <c r="X4222" t="str">
        <f t="shared" si="262"/>
        <v>49+ Months</v>
      </c>
      <c r="Y4222" s="1" t="str">
        <f t="shared" si="263"/>
        <v>Low</v>
      </c>
    </row>
    <row r="4223" spans="1:25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 t="shared" si="260"/>
        <v>0</v>
      </c>
      <c r="W4223">
        <f t="shared" si="261"/>
        <v>1</v>
      </c>
      <c r="X4223" t="str">
        <f t="shared" si="262"/>
        <v>0-12 Months</v>
      </c>
      <c r="Y4223" s="1" t="str">
        <f t="shared" si="263"/>
        <v>Low</v>
      </c>
    </row>
    <row r="4224" spans="1:25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 t="shared" si="260"/>
        <v>0</v>
      </c>
      <c r="W4224">
        <f t="shared" si="261"/>
        <v>1</v>
      </c>
      <c r="X4224" t="str">
        <f t="shared" si="262"/>
        <v>25-48 Months</v>
      </c>
      <c r="Y4224" s="1" t="str">
        <f t="shared" si="263"/>
        <v>High</v>
      </c>
    </row>
    <row r="4225" spans="1:25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 t="shared" si="260"/>
        <v>0</v>
      </c>
      <c r="W4225">
        <f t="shared" si="261"/>
        <v>1</v>
      </c>
      <c r="X4225" t="str">
        <f t="shared" si="262"/>
        <v>0-12 Months</v>
      </c>
      <c r="Y4225" s="1" t="str">
        <f t="shared" si="263"/>
        <v>Medium</v>
      </c>
    </row>
    <row r="4226" spans="1:25" x14ac:dyDescent="0.2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 t="shared" ref="V4226:V4289" si="264">IF(U4226="Yes",1,0)</f>
        <v>0</v>
      </c>
      <c r="W4226">
        <f t="shared" ref="W4226:W4289" si="265">IF(U4226="No",1,0)</f>
        <v>1</v>
      </c>
      <c r="X4226" t="str">
        <f t="shared" ref="X4226:X4289" si="266">IF(F4226&lt;=12,"0-12 Months",IF(F4226&lt;=24,"13-24 Months",IF(F4226&lt;=48,"25-48 Months","49+ Months")))</f>
        <v>49+ Months</v>
      </c>
      <c r="Y4226" s="1" t="str">
        <f t="shared" ref="Y4226:Y4289" si="267">IF(S4226&lt;50,"Low",IF(S4226&lt;80,"Medium","High"))</f>
        <v>Low</v>
      </c>
    </row>
    <row r="4227" spans="1:25" x14ac:dyDescent="0.2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 t="shared" si="264"/>
        <v>0</v>
      </c>
      <c r="W4227">
        <f t="shared" si="265"/>
        <v>1</v>
      </c>
      <c r="X4227" t="str">
        <f t="shared" si="266"/>
        <v>0-12 Months</v>
      </c>
      <c r="Y4227" s="1" t="str">
        <f t="shared" si="267"/>
        <v>Low</v>
      </c>
    </row>
    <row r="4228" spans="1:25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 t="shared" si="264"/>
        <v>1</v>
      </c>
      <c r="W4228">
        <f t="shared" si="265"/>
        <v>0</v>
      </c>
      <c r="X4228" t="str">
        <f t="shared" si="266"/>
        <v>0-12 Months</v>
      </c>
      <c r="Y4228" s="1" t="str">
        <f t="shared" si="267"/>
        <v>Medium</v>
      </c>
    </row>
    <row r="4229" spans="1:25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 t="shared" si="264"/>
        <v>0</v>
      </c>
      <c r="W4229">
        <f t="shared" si="265"/>
        <v>1</v>
      </c>
      <c r="X4229" t="str">
        <f t="shared" si="266"/>
        <v>49+ Months</v>
      </c>
      <c r="Y4229" s="1" t="str">
        <f t="shared" si="267"/>
        <v>High</v>
      </c>
    </row>
    <row r="4230" spans="1:25" x14ac:dyDescent="0.2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 t="shared" si="264"/>
        <v>1</v>
      </c>
      <c r="W4230">
        <f t="shared" si="265"/>
        <v>0</v>
      </c>
      <c r="X4230" t="str">
        <f t="shared" si="266"/>
        <v>0-12 Months</v>
      </c>
      <c r="Y4230" s="1" t="str">
        <f t="shared" si="267"/>
        <v>Medium</v>
      </c>
    </row>
    <row r="4231" spans="1:25" x14ac:dyDescent="0.2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 t="shared" si="264"/>
        <v>0</v>
      </c>
      <c r="W4231">
        <f t="shared" si="265"/>
        <v>1</v>
      </c>
      <c r="X4231" t="str">
        <f t="shared" si="266"/>
        <v>49+ Months</v>
      </c>
      <c r="Y4231" s="1" t="str">
        <f t="shared" si="267"/>
        <v>High</v>
      </c>
    </row>
    <row r="4232" spans="1:25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 t="shared" si="264"/>
        <v>1</v>
      </c>
      <c r="W4232">
        <f t="shared" si="265"/>
        <v>0</v>
      </c>
      <c r="X4232" t="str">
        <f t="shared" si="266"/>
        <v>0-12 Months</v>
      </c>
      <c r="Y4232" s="1" t="str">
        <f t="shared" si="267"/>
        <v>Medium</v>
      </c>
    </row>
    <row r="4233" spans="1:25" x14ac:dyDescent="0.2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 t="shared" si="264"/>
        <v>0</v>
      </c>
      <c r="W4233">
        <f t="shared" si="265"/>
        <v>1</v>
      </c>
      <c r="X4233" t="str">
        <f t="shared" si="266"/>
        <v>49+ Months</v>
      </c>
      <c r="Y4233" s="1" t="str">
        <f t="shared" si="267"/>
        <v>High</v>
      </c>
    </row>
    <row r="4234" spans="1:25" x14ac:dyDescent="0.2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 t="shared" si="264"/>
        <v>1</v>
      </c>
      <c r="W4234">
        <f t="shared" si="265"/>
        <v>0</v>
      </c>
      <c r="X4234" t="str">
        <f t="shared" si="266"/>
        <v>0-12 Months</v>
      </c>
      <c r="Y4234" s="1" t="str">
        <f t="shared" si="267"/>
        <v>Medium</v>
      </c>
    </row>
    <row r="4235" spans="1:25" x14ac:dyDescent="0.2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 t="shared" si="264"/>
        <v>0</v>
      </c>
      <c r="W4235">
        <f t="shared" si="265"/>
        <v>1</v>
      </c>
      <c r="X4235" t="str">
        <f t="shared" si="266"/>
        <v>25-48 Months</v>
      </c>
      <c r="Y4235" s="1" t="str">
        <f t="shared" si="267"/>
        <v>Medium</v>
      </c>
    </row>
    <row r="4236" spans="1:25" x14ac:dyDescent="0.2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 t="shared" si="264"/>
        <v>0</v>
      </c>
      <c r="W4236">
        <f t="shared" si="265"/>
        <v>1</v>
      </c>
      <c r="X4236" t="str">
        <f t="shared" si="266"/>
        <v>13-24 Months</v>
      </c>
      <c r="Y4236" s="1" t="str">
        <f t="shared" si="267"/>
        <v>Low</v>
      </c>
    </row>
    <row r="4237" spans="1:25" x14ac:dyDescent="0.2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 t="shared" si="264"/>
        <v>0</v>
      </c>
      <c r="W4237">
        <f t="shared" si="265"/>
        <v>1</v>
      </c>
      <c r="X4237" t="str">
        <f t="shared" si="266"/>
        <v>49+ Months</v>
      </c>
      <c r="Y4237" s="1" t="str">
        <f t="shared" si="267"/>
        <v>High</v>
      </c>
    </row>
    <row r="4238" spans="1:25" x14ac:dyDescent="0.2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 t="shared" si="264"/>
        <v>0</v>
      </c>
      <c r="W4238">
        <f t="shared" si="265"/>
        <v>1</v>
      </c>
      <c r="X4238" t="str">
        <f t="shared" si="266"/>
        <v>0-12 Months</v>
      </c>
      <c r="Y4238" s="1" t="str">
        <f t="shared" si="267"/>
        <v>Low</v>
      </c>
    </row>
    <row r="4239" spans="1:25" x14ac:dyDescent="0.2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 t="shared" si="264"/>
        <v>1</v>
      </c>
      <c r="W4239">
        <f t="shared" si="265"/>
        <v>0</v>
      </c>
      <c r="X4239" t="str">
        <f t="shared" si="266"/>
        <v>0-12 Months</v>
      </c>
      <c r="Y4239" s="1" t="str">
        <f t="shared" si="267"/>
        <v>Medium</v>
      </c>
    </row>
    <row r="4240" spans="1:25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 t="shared" si="264"/>
        <v>0</v>
      </c>
      <c r="W4240">
        <f t="shared" si="265"/>
        <v>1</v>
      </c>
      <c r="X4240" t="str">
        <f t="shared" si="266"/>
        <v>49+ Months</v>
      </c>
      <c r="Y4240" s="1" t="str">
        <f t="shared" si="267"/>
        <v>Low</v>
      </c>
    </row>
    <row r="4241" spans="1:25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 t="shared" si="264"/>
        <v>0</v>
      </c>
      <c r="W4241">
        <f t="shared" si="265"/>
        <v>1</v>
      </c>
      <c r="X4241" t="str">
        <f t="shared" si="266"/>
        <v>49+ Months</v>
      </c>
      <c r="Y4241" s="1" t="str">
        <f t="shared" si="267"/>
        <v>Low</v>
      </c>
    </row>
    <row r="4242" spans="1:25" x14ac:dyDescent="0.2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 t="shared" si="264"/>
        <v>1</v>
      </c>
      <c r="W4242">
        <f t="shared" si="265"/>
        <v>0</v>
      </c>
      <c r="X4242" t="str">
        <f t="shared" si="266"/>
        <v>0-12 Months</v>
      </c>
      <c r="Y4242" s="1" t="str">
        <f t="shared" si="267"/>
        <v>High</v>
      </c>
    </row>
    <row r="4243" spans="1:25" x14ac:dyDescent="0.2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 t="shared" si="264"/>
        <v>1</v>
      </c>
      <c r="W4243">
        <f t="shared" si="265"/>
        <v>0</v>
      </c>
      <c r="X4243" t="str">
        <f t="shared" si="266"/>
        <v>13-24 Months</v>
      </c>
      <c r="Y4243" s="1" t="str">
        <f t="shared" si="267"/>
        <v>Medium</v>
      </c>
    </row>
    <row r="4244" spans="1:25" x14ac:dyDescent="0.2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 t="shared" si="264"/>
        <v>0</v>
      </c>
      <c r="W4244">
        <f t="shared" si="265"/>
        <v>1</v>
      </c>
      <c r="X4244" t="str">
        <f t="shared" si="266"/>
        <v>0-12 Months</v>
      </c>
      <c r="Y4244" s="1" t="str">
        <f t="shared" si="267"/>
        <v>Low</v>
      </c>
    </row>
    <row r="4245" spans="1:25" x14ac:dyDescent="0.2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 t="shared" si="264"/>
        <v>0</v>
      </c>
      <c r="W4245">
        <f t="shared" si="265"/>
        <v>1</v>
      </c>
      <c r="X4245" t="str">
        <f t="shared" si="266"/>
        <v>25-48 Months</v>
      </c>
      <c r="Y4245" s="1" t="str">
        <f t="shared" si="267"/>
        <v>Medium</v>
      </c>
    </row>
    <row r="4246" spans="1:25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 t="shared" si="264"/>
        <v>0</v>
      </c>
      <c r="W4246">
        <f t="shared" si="265"/>
        <v>1</v>
      </c>
      <c r="X4246" t="str">
        <f t="shared" si="266"/>
        <v>25-48 Months</v>
      </c>
      <c r="Y4246" s="1" t="str">
        <f t="shared" si="267"/>
        <v>Low</v>
      </c>
    </row>
    <row r="4247" spans="1:25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 t="shared" si="264"/>
        <v>0</v>
      </c>
      <c r="W4247">
        <f t="shared" si="265"/>
        <v>1</v>
      </c>
      <c r="X4247" t="str">
        <f t="shared" si="266"/>
        <v>49+ Months</v>
      </c>
      <c r="Y4247" s="1" t="str">
        <f t="shared" si="267"/>
        <v>Low</v>
      </c>
    </row>
    <row r="4248" spans="1:25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 t="shared" si="264"/>
        <v>0</v>
      </c>
      <c r="W4248">
        <f t="shared" si="265"/>
        <v>1</v>
      </c>
      <c r="X4248" t="str">
        <f t="shared" si="266"/>
        <v>49+ Months</v>
      </c>
      <c r="Y4248" s="1" t="str">
        <f t="shared" si="267"/>
        <v>High</v>
      </c>
    </row>
    <row r="4249" spans="1:25" x14ac:dyDescent="0.2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 t="shared" si="264"/>
        <v>0</v>
      </c>
      <c r="W4249">
        <f t="shared" si="265"/>
        <v>1</v>
      </c>
      <c r="X4249" t="str">
        <f t="shared" si="266"/>
        <v>49+ Months</v>
      </c>
      <c r="Y4249" s="1" t="str">
        <f t="shared" si="267"/>
        <v>High</v>
      </c>
    </row>
    <row r="4250" spans="1:25" x14ac:dyDescent="0.2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 t="shared" si="264"/>
        <v>0</v>
      </c>
      <c r="W4250">
        <f t="shared" si="265"/>
        <v>1</v>
      </c>
      <c r="X4250" t="str">
        <f t="shared" si="266"/>
        <v>49+ Months</v>
      </c>
      <c r="Y4250" s="1" t="str">
        <f t="shared" si="267"/>
        <v>High</v>
      </c>
    </row>
    <row r="4251" spans="1:25" x14ac:dyDescent="0.2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 t="shared" si="264"/>
        <v>0</v>
      </c>
      <c r="W4251">
        <f t="shared" si="265"/>
        <v>1</v>
      </c>
      <c r="X4251" t="str">
        <f t="shared" si="266"/>
        <v>0-12 Months</v>
      </c>
      <c r="Y4251" s="1" t="str">
        <f t="shared" si="267"/>
        <v>Medium</v>
      </c>
    </row>
    <row r="4252" spans="1:25" x14ac:dyDescent="0.2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 t="shared" si="264"/>
        <v>0</v>
      </c>
      <c r="W4252">
        <f t="shared" si="265"/>
        <v>1</v>
      </c>
      <c r="X4252" t="str">
        <f t="shared" si="266"/>
        <v>49+ Months</v>
      </c>
      <c r="Y4252" s="1" t="str">
        <f t="shared" si="267"/>
        <v>High</v>
      </c>
    </row>
    <row r="4253" spans="1:25" x14ac:dyDescent="0.2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 t="shared" si="264"/>
        <v>0</v>
      </c>
      <c r="W4253">
        <f t="shared" si="265"/>
        <v>1</v>
      </c>
      <c r="X4253" t="str">
        <f t="shared" si="266"/>
        <v>13-24 Months</v>
      </c>
      <c r="Y4253" s="1" t="str">
        <f t="shared" si="267"/>
        <v>Medium</v>
      </c>
    </row>
    <row r="4254" spans="1:25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 t="shared" si="264"/>
        <v>0</v>
      </c>
      <c r="W4254">
        <f t="shared" si="265"/>
        <v>1</v>
      </c>
      <c r="X4254" t="str">
        <f t="shared" si="266"/>
        <v>13-24 Months</v>
      </c>
      <c r="Y4254" s="1" t="str">
        <f t="shared" si="267"/>
        <v>Medium</v>
      </c>
    </row>
    <row r="4255" spans="1:25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 t="shared" si="264"/>
        <v>0</v>
      </c>
      <c r="W4255">
        <f t="shared" si="265"/>
        <v>1</v>
      </c>
      <c r="X4255" t="str">
        <f t="shared" si="266"/>
        <v>13-24 Months</v>
      </c>
      <c r="Y4255" s="1" t="str">
        <f t="shared" si="267"/>
        <v>High</v>
      </c>
    </row>
    <row r="4256" spans="1:25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 t="shared" si="264"/>
        <v>1</v>
      </c>
      <c r="W4256">
        <f t="shared" si="265"/>
        <v>0</v>
      </c>
      <c r="X4256" t="str">
        <f t="shared" si="266"/>
        <v>25-48 Months</v>
      </c>
      <c r="Y4256" s="1" t="str">
        <f t="shared" si="267"/>
        <v>High</v>
      </c>
    </row>
    <row r="4257" spans="1:25" x14ac:dyDescent="0.2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 t="shared" si="264"/>
        <v>1</v>
      </c>
      <c r="W4257">
        <f t="shared" si="265"/>
        <v>0</v>
      </c>
      <c r="X4257" t="str">
        <f t="shared" si="266"/>
        <v>13-24 Months</v>
      </c>
      <c r="Y4257" s="1" t="str">
        <f t="shared" si="267"/>
        <v>Medium</v>
      </c>
    </row>
    <row r="4258" spans="1:25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 t="shared" si="264"/>
        <v>0</v>
      </c>
      <c r="W4258">
        <f t="shared" si="265"/>
        <v>1</v>
      </c>
      <c r="X4258" t="str">
        <f t="shared" si="266"/>
        <v>49+ Months</v>
      </c>
      <c r="Y4258" s="1" t="str">
        <f t="shared" si="267"/>
        <v>Low</v>
      </c>
    </row>
    <row r="4259" spans="1:25" x14ac:dyDescent="0.2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 t="shared" si="264"/>
        <v>0</v>
      </c>
      <c r="W4259">
        <f t="shared" si="265"/>
        <v>1</v>
      </c>
      <c r="X4259" t="str">
        <f t="shared" si="266"/>
        <v>49+ Months</v>
      </c>
      <c r="Y4259" s="1" t="str">
        <f t="shared" si="267"/>
        <v>High</v>
      </c>
    </row>
    <row r="4260" spans="1:25" x14ac:dyDescent="0.2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 t="shared" si="264"/>
        <v>1</v>
      </c>
      <c r="W4260">
        <f t="shared" si="265"/>
        <v>0</v>
      </c>
      <c r="X4260" t="str">
        <f t="shared" si="266"/>
        <v>25-48 Months</v>
      </c>
      <c r="Y4260" s="1" t="str">
        <f t="shared" si="267"/>
        <v>High</v>
      </c>
    </row>
    <row r="4261" spans="1:25" x14ac:dyDescent="0.2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 t="shared" si="264"/>
        <v>1</v>
      </c>
      <c r="W4261">
        <f t="shared" si="265"/>
        <v>0</v>
      </c>
      <c r="X4261" t="str">
        <f t="shared" si="266"/>
        <v>0-12 Months</v>
      </c>
      <c r="Y4261" s="1" t="str">
        <f t="shared" si="267"/>
        <v>Low</v>
      </c>
    </row>
    <row r="4262" spans="1:25" x14ac:dyDescent="0.2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 t="shared" si="264"/>
        <v>0</v>
      </c>
      <c r="W4262">
        <f t="shared" si="265"/>
        <v>1</v>
      </c>
      <c r="X4262" t="str">
        <f t="shared" si="266"/>
        <v>25-48 Months</v>
      </c>
      <c r="Y4262" s="1" t="str">
        <f t="shared" si="267"/>
        <v>Medium</v>
      </c>
    </row>
    <row r="4263" spans="1:25" x14ac:dyDescent="0.2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 t="shared" si="264"/>
        <v>0</v>
      </c>
      <c r="W4263">
        <f t="shared" si="265"/>
        <v>1</v>
      </c>
      <c r="X4263" t="str">
        <f t="shared" si="266"/>
        <v>49+ Months</v>
      </c>
      <c r="Y4263" s="1" t="str">
        <f t="shared" si="267"/>
        <v>Medium</v>
      </c>
    </row>
    <row r="4264" spans="1:25" x14ac:dyDescent="0.2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 t="shared" si="264"/>
        <v>1</v>
      </c>
      <c r="W4264">
        <f t="shared" si="265"/>
        <v>0</v>
      </c>
      <c r="X4264" t="str">
        <f t="shared" si="266"/>
        <v>0-12 Months</v>
      </c>
      <c r="Y4264" s="1" t="str">
        <f t="shared" si="267"/>
        <v>Medium</v>
      </c>
    </row>
    <row r="4265" spans="1:25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 t="shared" si="264"/>
        <v>0</v>
      </c>
      <c r="W4265">
        <f t="shared" si="265"/>
        <v>1</v>
      </c>
      <c r="X4265" t="str">
        <f t="shared" si="266"/>
        <v>49+ Months</v>
      </c>
      <c r="Y4265" s="1" t="str">
        <f t="shared" si="267"/>
        <v>High</v>
      </c>
    </row>
    <row r="4266" spans="1:25" x14ac:dyDescent="0.2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 t="shared" si="264"/>
        <v>0</v>
      </c>
      <c r="W4266">
        <f t="shared" si="265"/>
        <v>1</v>
      </c>
      <c r="X4266" t="str">
        <f t="shared" si="266"/>
        <v>25-48 Months</v>
      </c>
      <c r="Y4266" s="1" t="str">
        <f t="shared" si="267"/>
        <v>High</v>
      </c>
    </row>
    <row r="4267" spans="1:25" x14ac:dyDescent="0.2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 t="shared" si="264"/>
        <v>1</v>
      </c>
      <c r="W4267">
        <f t="shared" si="265"/>
        <v>0</v>
      </c>
      <c r="X4267" t="str">
        <f t="shared" si="266"/>
        <v>49+ Months</v>
      </c>
      <c r="Y4267" s="1" t="str">
        <f t="shared" si="267"/>
        <v>High</v>
      </c>
    </row>
    <row r="4268" spans="1:25" x14ac:dyDescent="0.2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 t="shared" si="264"/>
        <v>1</v>
      </c>
      <c r="W4268">
        <f t="shared" si="265"/>
        <v>0</v>
      </c>
      <c r="X4268" t="str">
        <f t="shared" si="266"/>
        <v>49+ Months</v>
      </c>
      <c r="Y4268" s="1" t="str">
        <f t="shared" si="267"/>
        <v>High</v>
      </c>
    </row>
    <row r="4269" spans="1:25" x14ac:dyDescent="0.2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 t="shared" si="264"/>
        <v>0</v>
      </c>
      <c r="W4269">
        <f t="shared" si="265"/>
        <v>1</v>
      </c>
      <c r="X4269" t="str">
        <f t="shared" si="266"/>
        <v>49+ Months</v>
      </c>
      <c r="Y4269" s="1" t="str">
        <f t="shared" si="267"/>
        <v>High</v>
      </c>
    </row>
    <row r="4270" spans="1:25" x14ac:dyDescent="0.2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 t="shared" si="264"/>
        <v>0</v>
      </c>
      <c r="W4270">
        <f t="shared" si="265"/>
        <v>1</v>
      </c>
      <c r="X4270" t="str">
        <f t="shared" si="266"/>
        <v>25-48 Months</v>
      </c>
      <c r="Y4270" s="1" t="str">
        <f t="shared" si="267"/>
        <v>High</v>
      </c>
    </row>
    <row r="4271" spans="1:25" x14ac:dyDescent="0.2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 t="shared" si="264"/>
        <v>1</v>
      </c>
      <c r="W4271">
        <f t="shared" si="265"/>
        <v>0</v>
      </c>
      <c r="X4271" t="str">
        <f t="shared" si="266"/>
        <v>13-24 Months</v>
      </c>
      <c r="Y4271" s="1" t="str">
        <f t="shared" si="267"/>
        <v>High</v>
      </c>
    </row>
    <row r="4272" spans="1:25" x14ac:dyDescent="0.2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 t="shared" si="264"/>
        <v>0</v>
      </c>
      <c r="W4272">
        <f t="shared" si="265"/>
        <v>1</v>
      </c>
      <c r="X4272" t="str">
        <f t="shared" si="266"/>
        <v>49+ Months</v>
      </c>
      <c r="Y4272" s="1" t="str">
        <f t="shared" si="267"/>
        <v>High</v>
      </c>
    </row>
    <row r="4273" spans="1:25" x14ac:dyDescent="0.2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 t="shared" si="264"/>
        <v>0</v>
      </c>
      <c r="W4273">
        <f t="shared" si="265"/>
        <v>1</v>
      </c>
      <c r="X4273" t="str">
        <f t="shared" si="266"/>
        <v>25-48 Months</v>
      </c>
      <c r="Y4273" s="1" t="str">
        <f t="shared" si="267"/>
        <v>Low</v>
      </c>
    </row>
    <row r="4274" spans="1:25" x14ac:dyDescent="0.2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 t="shared" si="264"/>
        <v>1</v>
      </c>
      <c r="W4274">
        <f t="shared" si="265"/>
        <v>0</v>
      </c>
      <c r="X4274" t="str">
        <f t="shared" si="266"/>
        <v>49+ Months</v>
      </c>
      <c r="Y4274" s="1" t="str">
        <f t="shared" si="267"/>
        <v>Low</v>
      </c>
    </row>
    <row r="4275" spans="1:25" x14ac:dyDescent="0.2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 t="shared" si="264"/>
        <v>1</v>
      </c>
      <c r="W4275">
        <f t="shared" si="265"/>
        <v>0</v>
      </c>
      <c r="X4275" t="str">
        <f t="shared" si="266"/>
        <v>25-48 Months</v>
      </c>
      <c r="Y4275" s="1" t="str">
        <f t="shared" si="267"/>
        <v>Medium</v>
      </c>
    </row>
    <row r="4276" spans="1:25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 t="shared" si="264"/>
        <v>0</v>
      </c>
      <c r="W4276">
        <f t="shared" si="265"/>
        <v>1</v>
      </c>
      <c r="X4276" t="str">
        <f t="shared" si="266"/>
        <v>25-48 Months</v>
      </c>
      <c r="Y4276" s="1" t="str">
        <f t="shared" si="267"/>
        <v>Low</v>
      </c>
    </row>
    <row r="4277" spans="1:25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 t="shared" si="264"/>
        <v>0</v>
      </c>
      <c r="W4277">
        <f t="shared" si="265"/>
        <v>1</v>
      </c>
      <c r="X4277" t="str">
        <f t="shared" si="266"/>
        <v>0-12 Months</v>
      </c>
      <c r="Y4277" s="1" t="str">
        <f t="shared" si="267"/>
        <v>Low</v>
      </c>
    </row>
    <row r="4278" spans="1:25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 t="shared" si="264"/>
        <v>1</v>
      </c>
      <c r="W4278">
        <f t="shared" si="265"/>
        <v>0</v>
      </c>
      <c r="X4278" t="str">
        <f t="shared" si="266"/>
        <v>0-12 Months</v>
      </c>
      <c r="Y4278" s="1" t="str">
        <f t="shared" si="267"/>
        <v>Low</v>
      </c>
    </row>
    <row r="4279" spans="1:25" x14ac:dyDescent="0.2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 t="shared" si="264"/>
        <v>0</v>
      </c>
      <c r="W4279">
        <f t="shared" si="265"/>
        <v>1</v>
      </c>
      <c r="X4279" t="str">
        <f t="shared" si="266"/>
        <v>0-12 Months</v>
      </c>
      <c r="Y4279" s="1" t="str">
        <f t="shared" si="267"/>
        <v>Low</v>
      </c>
    </row>
    <row r="4280" spans="1:25" x14ac:dyDescent="0.2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 t="shared" si="264"/>
        <v>0</v>
      </c>
      <c r="W4280">
        <f t="shared" si="265"/>
        <v>1</v>
      </c>
      <c r="X4280" t="str">
        <f t="shared" si="266"/>
        <v>25-48 Months</v>
      </c>
      <c r="Y4280" s="1" t="str">
        <f t="shared" si="267"/>
        <v>High</v>
      </c>
    </row>
    <row r="4281" spans="1:25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 t="shared" si="264"/>
        <v>0</v>
      </c>
      <c r="W4281">
        <f t="shared" si="265"/>
        <v>1</v>
      </c>
      <c r="X4281" t="str">
        <f t="shared" si="266"/>
        <v>25-48 Months</v>
      </c>
      <c r="Y4281" s="1" t="str">
        <f t="shared" si="267"/>
        <v>Low</v>
      </c>
    </row>
    <row r="4282" spans="1:25" x14ac:dyDescent="0.2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 t="shared" si="264"/>
        <v>0</v>
      </c>
      <c r="W4282">
        <f t="shared" si="265"/>
        <v>1</v>
      </c>
      <c r="X4282" t="str">
        <f t="shared" si="266"/>
        <v>49+ Months</v>
      </c>
      <c r="Y4282" s="1" t="str">
        <f t="shared" si="267"/>
        <v>Low</v>
      </c>
    </row>
    <row r="4283" spans="1:25" x14ac:dyDescent="0.2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 t="shared" si="264"/>
        <v>0</v>
      </c>
      <c r="W4283">
        <f t="shared" si="265"/>
        <v>1</v>
      </c>
      <c r="X4283" t="str">
        <f t="shared" si="266"/>
        <v>49+ Months</v>
      </c>
      <c r="Y4283" s="1" t="str">
        <f t="shared" si="267"/>
        <v>Low</v>
      </c>
    </row>
    <row r="4284" spans="1:25" x14ac:dyDescent="0.2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 t="shared" si="264"/>
        <v>0</v>
      </c>
      <c r="W4284">
        <f t="shared" si="265"/>
        <v>1</v>
      </c>
      <c r="X4284" t="str">
        <f t="shared" si="266"/>
        <v>49+ Months</v>
      </c>
      <c r="Y4284" s="1" t="str">
        <f t="shared" si="267"/>
        <v>High</v>
      </c>
    </row>
    <row r="4285" spans="1:25" x14ac:dyDescent="0.2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 t="shared" si="264"/>
        <v>0</v>
      </c>
      <c r="W4285">
        <f t="shared" si="265"/>
        <v>1</v>
      </c>
      <c r="X4285" t="str">
        <f t="shared" si="266"/>
        <v>0-12 Months</v>
      </c>
      <c r="Y4285" s="1" t="str">
        <f t="shared" si="267"/>
        <v>Medium</v>
      </c>
    </row>
    <row r="4286" spans="1:25" x14ac:dyDescent="0.2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 t="shared" si="264"/>
        <v>0</v>
      </c>
      <c r="W4286">
        <f t="shared" si="265"/>
        <v>1</v>
      </c>
      <c r="X4286" t="str">
        <f t="shared" si="266"/>
        <v>25-48 Months</v>
      </c>
      <c r="Y4286" s="1" t="str">
        <f t="shared" si="267"/>
        <v>High</v>
      </c>
    </row>
    <row r="4287" spans="1:25" x14ac:dyDescent="0.2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 t="shared" si="264"/>
        <v>0</v>
      </c>
      <c r="W4287">
        <f t="shared" si="265"/>
        <v>1</v>
      </c>
      <c r="X4287" t="str">
        <f t="shared" si="266"/>
        <v>25-48 Months</v>
      </c>
      <c r="Y4287" s="1" t="str">
        <f t="shared" si="267"/>
        <v>Medium</v>
      </c>
    </row>
    <row r="4288" spans="1:25" x14ac:dyDescent="0.2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 t="shared" si="264"/>
        <v>0</v>
      </c>
      <c r="W4288">
        <f t="shared" si="265"/>
        <v>1</v>
      </c>
      <c r="X4288" t="str">
        <f t="shared" si="266"/>
        <v>0-12 Months</v>
      </c>
      <c r="Y4288" s="1" t="str">
        <f t="shared" si="267"/>
        <v>High</v>
      </c>
    </row>
    <row r="4289" spans="1:25" x14ac:dyDescent="0.2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 t="shared" si="264"/>
        <v>1</v>
      </c>
      <c r="W4289">
        <f t="shared" si="265"/>
        <v>0</v>
      </c>
      <c r="X4289" t="str">
        <f t="shared" si="266"/>
        <v>49+ Months</v>
      </c>
      <c r="Y4289" s="1" t="str">
        <f t="shared" si="267"/>
        <v>High</v>
      </c>
    </row>
    <row r="4290" spans="1:25" x14ac:dyDescent="0.2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 t="shared" ref="V4290:V4353" si="268">IF(U4290="Yes",1,0)</f>
        <v>1</v>
      </c>
      <c r="W4290">
        <f t="shared" ref="W4290:W4353" si="269">IF(U4290="No",1,0)</f>
        <v>0</v>
      </c>
      <c r="X4290" t="str">
        <f t="shared" ref="X4290:X4353" si="270">IF(F4290&lt;=12,"0-12 Months",IF(F4290&lt;=24,"13-24 Months",IF(F4290&lt;=48,"25-48 Months","49+ Months")))</f>
        <v>0-12 Months</v>
      </c>
      <c r="Y4290" s="1" t="str">
        <f t="shared" ref="Y4290:Y4353" si="271">IF(S4290&lt;50,"Low",IF(S4290&lt;80,"Medium","High"))</f>
        <v>High</v>
      </c>
    </row>
    <row r="4291" spans="1:25" x14ac:dyDescent="0.2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 t="shared" si="268"/>
        <v>0</v>
      </c>
      <c r="W4291">
        <f t="shared" si="269"/>
        <v>1</v>
      </c>
      <c r="X4291" t="str">
        <f t="shared" si="270"/>
        <v>49+ Months</v>
      </c>
      <c r="Y4291" s="1" t="str">
        <f t="shared" si="271"/>
        <v>Low</v>
      </c>
    </row>
    <row r="4292" spans="1:25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 t="shared" si="268"/>
        <v>1</v>
      </c>
      <c r="W4292">
        <f t="shared" si="269"/>
        <v>0</v>
      </c>
      <c r="X4292" t="str">
        <f t="shared" si="270"/>
        <v>0-12 Months</v>
      </c>
      <c r="Y4292" s="1" t="str">
        <f t="shared" si="271"/>
        <v>Low</v>
      </c>
    </row>
    <row r="4293" spans="1:25" x14ac:dyDescent="0.2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 t="shared" si="268"/>
        <v>0</v>
      </c>
      <c r="W4293">
        <f t="shared" si="269"/>
        <v>1</v>
      </c>
      <c r="X4293" t="str">
        <f t="shared" si="270"/>
        <v>49+ Months</v>
      </c>
      <c r="Y4293" s="1" t="str">
        <f t="shared" si="271"/>
        <v>High</v>
      </c>
    </row>
    <row r="4294" spans="1:25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 t="shared" si="268"/>
        <v>1</v>
      </c>
      <c r="W4294">
        <f t="shared" si="269"/>
        <v>0</v>
      </c>
      <c r="X4294" t="str">
        <f t="shared" si="270"/>
        <v>25-48 Months</v>
      </c>
      <c r="Y4294" s="1" t="str">
        <f t="shared" si="271"/>
        <v>Medium</v>
      </c>
    </row>
    <row r="4295" spans="1:25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 t="shared" si="268"/>
        <v>1</v>
      </c>
      <c r="W4295">
        <f t="shared" si="269"/>
        <v>0</v>
      </c>
      <c r="X4295" t="str">
        <f t="shared" si="270"/>
        <v>13-24 Months</v>
      </c>
      <c r="Y4295" s="1" t="str">
        <f t="shared" si="271"/>
        <v>High</v>
      </c>
    </row>
    <row r="4296" spans="1:25" x14ac:dyDescent="0.2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 t="shared" si="268"/>
        <v>0</v>
      </c>
      <c r="W4296">
        <f t="shared" si="269"/>
        <v>1</v>
      </c>
      <c r="X4296" t="str">
        <f t="shared" si="270"/>
        <v>0-12 Months</v>
      </c>
      <c r="Y4296" s="1" t="str">
        <f t="shared" si="271"/>
        <v>High</v>
      </c>
    </row>
    <row r="4297" spans="1:25" x14ac:dyDescent="0.2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 t="shared" si="268"/>
        <v>0</v>
      </c>
      <c r="W4297">
        <f t="shared" si="269"/>
        <v>1</v>
      </c>
      <c r="X4297" t="str">
        <f t="shared" si="270"/>
        <v>49+ Months</v>
      </c>
      <c r="Y4297" s="1" t="str">
        <f t="shared" si="271"/>
        <v>Medium</v>
      </c>
    </row>
    <row r="4298" spans="1:25" x14ac:dyDescent="0.2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 t="shared" si="268"/>
        <v>1</v>
      </c>
      <c r="W4298">
        <f t="shared" si="269"/>
        <v>0</v>
      </c>
      <c r="X4298" t="str">
        <f t="shared" si="270"/>
        <v>25-48 Months</v>
      </c>
      <c r="Y4298" s="1" t="str">
        <f t="shared" si="271"/>
        <v>Medium</v>
      </c>
    </row>
    <row r="4299" spans="1:25" x14ac:dyDescent="0.2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 t="shared" si="268"/>
        <v>0</v>
      </c>
      <c r="W4299">
        <f t="shared" si="269"/>
        <v>1</v>
      </c>
      <c r="X4299" t="str">
        <f t="shared" si="270"/>
        <v>25-48 Months</v>
      </c>
      <c r="Y4299" s="1" t="str">
        <f t="shared" si="271"/>
        <v>Medium</v>
      </c>
    </row>
    <row r="4300" spans="1:25" x14ac:dyDescent="0.2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 t="shared" si="268"/>
        <v>0</v>
      </c>
      <c r="W4300">
        <f t="shared" si="269"/>
        <v>1</v>
      </c>
      <c r="X4300" t="str">
        <f t="shared" si="270"/>
        <v>0-12 Months</v>
      </c>
      <c r="Y4300" s="1" t="str">
        <f t="shared" si="271"/>
        <v>Low</v>
      </c>
    </row>
    <row r="4301" spans="1:25" x14ac:dyDescent="0.2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 t="shared" si="268"/>
        <v>0</v>
      </c>
      <c r="W4301">
        <f t="shared" si="269"/>
        <v>1</v>
      </c>
      <c r="X4301" t="str">
        <f t="shared" si="270"/>
        <v>25-48 Months</v>
      </c>
      <c r="Y4301" s="1" t="str">
        <f t="shared" si="271"/>
        <v>Medium</v>
      </c>
    </row>
    <row r="4302" spans="1:25" x14ac:dyDescent="0.2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 t="shared" si="268"/>
        <v>0</v>
      </c>
      <c r="W4302">
        <f t="shared" si="269"/>
        <v>1</v>
      </c>
      <c r="X4302" t="str">
        <f t="shared" si="270"/>
        <v>13-24 Months</v>
      </c>
      <c r="Y4302" s="1" t="str">
        <f t="shared" si="271"/>
        <v>Low</v>
      </c>
    </row>
    <row r="4303" spans="1:25" x14ac:dyDescent="0.2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 t="shared" si="268"/>
        <v>0</v>
      </c>
      <c r="W4303">
        <f t="shared" si="269"/>
        <v>1</v>
      </c>
      <c r="X4303" t="str">
        <f t="shared" si="270"/>
        <v>49+ Months</v>
      </c>
      <c r="Y4303" s="1" t="str">
        <f t="shared" si="271"/>
        <v>Low</v>
      </c>
    </row>
    <row r="4304" spans="1:25" x14ac:dyDescent="0.2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 t="shared" si="268"/>
        <v>0</v>
      </c>
      <c r="W4304">
        <f t="shared" si="269"/>
        <v>1</v>
      </c>
      <c r="X4304" t="str">
        <f t="shared" si="270"/>
        <v>49+ Months</v>
      </c>
      <c r="Y4304" s="1" t="str">
        <f t="shared" si="271"/>
        <v>High</v>
      </c>
    </row>
    <row r="4305" spans="1:25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 t="shared" si="268"/>
        <v>0</v>
      </c>
      <c r="W4305">
        <f t="shared" si="269"/>
        <v>1</v>
      </c>
      <c r="X4305" t="str">
        <f t="shared" si="270"/>
        <v>25-48 Months</v>
      </c>
      <c r="Y4305" s="1" t="str">
        <f t="shared" si="271"/>
        <v>Low</v>
      </c>
    </row>
    <row r="4306" spans="1:25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 t="shared" si="268"/>
        <v>0</v>
      </c>
      <c r="W4306">
        <f t="shared" si="269"/>
        <v>1</v>
      </c>
      <c r="X4306" t="str">
        <f t="shared" si="270"/>
        <v>49+ Months</v>
      </c>
      <c r="Y4306" s="1" t="str">
        <f t="shared" si="271"/>
        <v>Low</v>
      </c>
    </row>
    <row r="4307" spans="1:25" x14ac:dyDescent="0.2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 t="shared" si="268"/>
        <v>0</v>
      </c>
      <c r="W4307">
        <f t="shared" si="269"/>
        <v>1</v>
      </c>
      <c r="X4307" t="str">
        <f t="shared" si="270"/>
        <v>25-48 Months</v>
      </c>
      <c r="Y4307" s="1" t="str">
        <f t="shared" si="271"/>
        <v>Low</v>
      </c>
    </row>
    <row r="4308" spans="1:25" x14ac:dyDescent="0.2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 t="shared" si="268"/>
        <v>0</v>
      </c>
      <c r="W4308">
        <f t="shared" si="269"/>
        <v>1</v>
      </c>
      <c r="X4308" t="str">
        <f t="shared" si="270"/>
        <v>25-48 Months</v>
      </c>
      <c r="Y4308" s="1" t="str">
        <f t="shared" si="271"/>
        <v>High</v>
      </c>
    </row>
    <row r="4309" spans="1:25" x14ac:dyDescent="0.2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 t="shared" si="268"/>
        <v>1</v>
      </c>
      <c r="W4309">
        <f t="shared" si="269"/>
        <v>0</v>
      </c>
      <c r="X4309" t="str">
        <f t="shared" si="270"/>
        <v>25-48 Months</v>
      </c>
      <c r="Y4309" s="1" t="str">
        <f t="shared" si="271"/>
        <v>High</v>
      </c>
    </row>
    <row r="4310" spans="1:25" x14ac:dyDescent="0.2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 t="shared" si="268"/>
        <v>0</v>
      </c>
      <c r="W4310">
        <f t="shared" si="269"/>
        <v>1</v>
      </c>
      <c r="X4310" t="str">
        <f t="shared" si="270"/>
        <v>25-48 Months</v>
      </c>
      <c r="Y4310" s="1" t="str">
        <f t="shared" si="271"/>
        <v>Medium</v>
      </c>
    </row>
    <row r="4311" spans="1:25" x14ac:dyDescent="0.2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 t="shared" si="268"/>
        <v>0</v>
      </c>
      <c r="W4311">
        <f t="shared" si="269"/>
        <v>1</v>
      </c>
      <c r="X4311" t="str">
        <f t="shared" si="270"/>
        <v>13-24 Months</v>
      </c>
      <c r="Y4311" s="1" t="str">
        <f t="shared" si="271"/>
        <v>Medium</v>
      </c>
    </row>
    <row r="4312" spans="1:25" x14ac:dyDescent="0.2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 t="shared" si="268"/>
        <v>0</v>
      </c>
      <c r="W4312">
        <f t="shared" si="269"/>
        <v>1</v>
      </c>
      <c r="X4312" t="str">
        <f t="shared" si="270"/>
        <v>49+ Months</v>
      </c>
      <c r="Y4312" s="1" t="str">
        <f t="shared" si="271"/>
        <v>Medium</v>
      </c>
    </row>
    <row r="4313" spans="1:25" x14ac:dyDescent="0.2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 t="shared" si="268"/>
        <v>1</v>
      </c>
      <c r="W4313">
        <f t="shared" si="269"/>
        <v>0</v>
      </c>
      <c r="X4313" t="str">
        <f t="shared" si="270"/>
        <v>0-12 Months</v>
      </c>
      <c r="Y4313" s="1" t="str">
        <f t="shared" si="271"/>
        <v>Low</v>
      </c>
    </row>
    <row r="4314" spans="1:25" x14ac:dyDescent="0.2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 t="shared" si="268"/>
        <v>0</v>
      </c>
      <c r="W4314">
        <f t="shared" si="269"/>
        <v>1</v>
      </c>
      <c r="X4314" t="str">
        <f t="shared" si="270"/>
        <v>25-48 Months</v>
      </c>
      <c r="Y4314" s="1" t="str">
        <f t="shared" si="271"/>
        <v>High</v>
      </c>
    </row>
    <row r="4315" spans="1:25" x14ac:dyDescent="0.2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 t="shared" si="268"/>
        <v>0</v>
      </c>
      <c r="W4315">
        <f t="shared" si="269"/>
        <v>1</v>
      </c>
      <c r="X4315" t="str">
        <f t="shared" si="270"/>
        <v>13-24 Months</v>
      </c>
      <c r="Y4315" s="1" t="str">
        <f t="shared" si="271"/>
        <v>Medium</v>
      </c>
    </row>
    <row r="4316" spans="1:25" x14ac:dyDescent="0.2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 t="shared" si="268"/>
        <v>1</v>
      </c>
      <c r="W4316">
        <f t="shared" si="269"/>
        <v>0</v>
      </c>
      <c r="X4316" t="str">
        <f t="shared" si="270"/>
        <v>13-24 Months</v>
      </c>
      <c r="Y4316" s="1" t="str">
        <f t="shared" si="271"/>
        <v>High</v>
      </c>
    </row>
    <row r="4317" spans="1:25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 t="shared" si="268"/>
        <v>1</v>
      </c>
      <c r="W4317">
        <f t="shared" si="269"/>
        <v>0</v>
      </c>
      <c r="X4317" t="str">
        <f t="shared" si="270"/>
        <v>0-12 Months</v>
      </c>
      <c r="Y4317" s="1" t="str">
        <f t="shared" si="271"/>
        <v>Medium</v>
      </c>
    </row>
    <row r="4318" spans="1:25" x14ac:dyDescent="0.2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 t="shared" si="268"/>
        <v>0</v>
      </c>
      <c r="W4318">
        <f t="shared" si="269"/>
        <v>1</v>
      </c>
      <c r="X4318" t="str">
        <f t="shared" si="270"/>
        <v>49+ Months</v>
      </c>
      <c r="Y4318" s="1" t="str">
        <f t="shared" si="271"/>
        <v>High</v>
      </c>
    </row>
    <row r="4319" spans="1:25" x14ac:dyDescent="0.2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 t="shared" si="268"/>
        <v>0</v>
      </c>
      <c r="W4319">
        <f t="shared" si="269"/>
        <v>1</v>
      </c>
      <c r="X4319" t="str">
        <f t="shared" si="270"/>
        <v>0-12 Months</v>
      </c>
      <c r="Y4319" s="1" t="str">
        <f t="shared" si="271"/>
        <v>Low</v>
      </c>
    </row>
    <row r="4320" spans="1:25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 t="shared" si="268"/>
        <v>0</v>
      </c>
      <c r="W4320">
        <f t="shared" si="269"/>
        <v>1</v>
      </c>
      <c r="X4320" t="str">
        <f t="shared" si="270"/>
        <v>49+ Months</v>
      </c>
      <c r="Y4320" s="1" t="str">
        <f t="shared" si="271"/>
        <v>Medium</v>
      </c>
    </row>
    <row r="4321" spans="1:25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 t="shared" si="268"/>
        <v>0</v>
      </c>
      <c r="W4321">
        <f t="shared" si="269"/>
        <v>1</v>
      </c>
      <c r="X4321" t="str">
        <f t="shared" si="270"/>
        <v>49+ Months</v>
      </c>
      <c r="Y4321" s="1" t="str">
        <f t="shared" si="271"/>
        <v>High</v>
      </c>
    </row>
    <row r="4322" spans="1:25" x14ac:dyDescent="0.2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 t="shared" si="268"/>
        <v>0</v>
      </c>
      <c r="W4322">
        <f t="shared" si="269"/>
        <v>1</v>
      </c>
      <c r="X4322" t="str">
        <f t="shared" si="270"/>
        <v>49+ Months</v>
      </c>
      <c r="Y4322" s="1" t="str">
        <f t="shared" si="271"/>
        <v>Low</v>
      </c>
    </row>
    <row r="4323" spans="1:25" x14ac:dyDescent="0.2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 t="shared" si="268"/>
        <v>0</v>
      </c>
      <c r="W4323">
        <f t="shared" si="269"/>
        <v>1</v>
      </c>
      <c r="X4323" t="str">
        <f t="shared" si="270"/>
        <v>13-24 Months</v>
      </c>
      <c r="Y4323" s="1" t="str">
        <f t="shared" si="271"/>
        <v>High</v>
      </c>
    </row>
    <row r="4324" spans="1:25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 t="shared" si="268"/>
        <v>0</v>
      </c>
      <c r="W4324">
        <f t="shared" si="269"/>
        <v>1</v>
      </c>
      <c r="X4324" t="str">
        <f t="shared" si="270"/>
        <v>0-12 Months</v>
      </c>
      <c r="Y4324" s="1" t="str">
        <f t="shared" si="271"/>
        <v>Medium</v>
      </c>
    </row>
    <row r="4325" spans="1:25" x14ac:dyDescent="0.2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 t="shared" si="268"/>
        <v>1</v>
      </c>
      <c r="W4325">
        <f t="shared" si="269"/>
        <v>0</v>
      </c>
      <c r="X4325" t="str">
        <f t="shared" si="270"/>
        <v>25-48 Months</v>
      </c>
      <c r="Y4325" s="1" t="str">
        <f t="shared" si="271"/>
        <v>High</v>
      </c>
    </row>
    <row r="4326" spans="1:25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 t="shared" si="268"/>
        <v>0</v>
      </c>
      <c r="W4326">
        <f t="shared" si="269"/>
        <v>1</v>
      </c>
      <c r="X4326" t="str">
        <f t="shared" si="270"/>
        <v>25-48 Months</v>
      </c>
      <c r="Y4326" s="1" t="str">
        <f t="shared" si="271"/>
        <v>Medium</v>
      </c>
    </row>
    <row r="4327" spans="1:25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 t="shared" si="268"/>
        <v>0</v>
      </c>
      <c r="W4327">
        <f t="shared" si="269"/>
        <v>1</v>
      </c>
      <c r="X4327" t="str">
        <f t="shared" si="270"/>
        <v>0-12 Months</v>
      </c>
      <c r="Y4327" s="1" t="str">
        <f t="shared" si="271"/>
        <v>Low</v>
      </c>
    </row>
    <row r="4328" spans="1:25" x14ac:dyDescent="0.2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 t="shared" si="268"/>
        <v>1</v>
      </c>
      <c r="W4328">
        <f t="shared" si="269"/>
        <v>0</v>
      </c>
      <c r="X4328" t="str">
        <f t="shared" si="270"/>
        <v>0-12 Months</v>
      </c>
      <c r="Y4328" s="1" t="str">
        <f t="shared" si="271"/>
        <v>High</v>
      </c>
    </row>
    <row r="4329" spans="1:25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 t="shared" si="268"/>
        <v>0</v>
      </c>
      <c r="W4329">
        <f t="shared" si="269"/>
        <v>1</v>
      </c>
      <c r="X4329" t="str">
        <f t="shared" si="270"/>
        <v>0-12 Months</v>
      </c>
      <c r="Y4329" s="1" t="str">
        <f t="shared" si="271"/>
        <v>Medium</v>
      </c>
    </row>
    <row r="4330" spans="1:25" x14ac:dyDescent="0.2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 t="shared" si="268"/>
        <v>0</v>
      </c>
      <c r="W4330">
        <f t="shared" si="269"/>
        <v>1</v>
      </c>
      <c r="X4330" t="str">
        <f t="shared" si="270"/>
        <v>13-24 Months</v>
      </c>
      <c r="Y4330" s="1" t="str">
        <f t="shared" si="271"/>
        <v>Medium</v>
      </c>
    </row>
    <row r="4331" spans="1:25" x14ac:dyDescent="0.2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 t="shared" si="268"/>
        <v>1</v>
      </c>
      <c r="W4331">
        <f t="shared" si="269"/>
        <v>0</v>
      </c>
      <c r="X4331" t="str">
        <f t="shared" si="270"/>
        <v>13-24 Months</v>
      </c>
      <c r="Y4331" s="1" t="str">
        <f t="shared" si="271"/>
        <v>High</v>
      </c>
    </row>
    <row r="4332" spans="1:25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 t="shared" si="268"/>
        <v>1</v>
      </c>
      <c r="W4332">
        <f t="shared" si="269"/>
        <v>0</v>
      </c>
      <c r="X4332" t="str">
        <f t="shared" si="270"/>
        <v>13-24 Months</v>
      </c>
      <c r="Y4332" s="1" t="str">
        <f t="shared" si="271"/>
        <v>Medium</v>
      </c>
    </row>
    <row r="4333" spans="1:25" x14ac:dyDescent="0.2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 t="shared" si="268"/>
        <v>0</v>
      </c>
      <c r="W4333">
        <f t="shared" si="269"/>
        <v>1</v>
      </c>
      <c r="X4333" t="str">
        <f t="shared" si="270"/>
        <v>49+ Months</v>
      </c>
      <c r="Y4333" s="1" t="str">
        <f t="shared" si="271"/>
        <v>Low</v>
      </c>
    </row>
    <row r="4334" spans="1:25" x14ac:dyDescent="0.2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 t="shared" si="268"/>
        <v>0</v>
      </c>
      <c r="W4334">
        <f t="shared" si="269"/>
        <v>1</v>
      </c>
      <c r="X4334" t="str">
        <f t="shared" si="270"/>
        <v>49+ Months</v>
      </c>
      <c r="Y4334" s="1" t="str">
        <f t="shared" si="271"/>
        <v>Medium</v>
      </c>
    </row>
    <row r="4335" spans="1:25" x14ac:dyDescent="0.2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 t="shared" si="268"/>
        <v>0</v>
      </c>
      <c r="W4335">
        <f t="shared" si="269"/>
        <v>1</v>
      </c>
      <c r="X4335" t="str">
        <f t="shared" si="270"/>
        <v>25-48 Months</v>
      </c>
      <c r="Y4335" s="1" t="str">
        <f t="shared" si="271"/>
        <v>High</v>
      </c>
    </row>
    <row r="4336" spans="1:25" x14ac:dyDescent="0.2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 t="shared" si="268"/>
        <v>0</v>
      </c>
      <c r="W4336">
        <f t="shared" si="269"/>
        <v>1</v>
      </c>
      <c r="X4336" t="str">
        <f t="shared" si="270"/>
        <v>0-12 Months</v>
      </c>
      <c r="Y4336" s="1" t="str">
        <f t="shared" si="271"/>
        <v>Medium</v>
      </c>
    </row>
    <row r="4337" spans="1:25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 t="shared" si="268"/>
        <v>0</v>
      </c>
      <c r="W4337">
        <f t="shared" si="269"/>
        <v>1</v>
      </c>
      <c r="X4337" t="str">
        <f t="shared" si="270"/>
        <v>13-24 Months</v>
      </c>
      <c r="Y4337" s="1" t="str">
        <f t="shared" si="271"/>
        <v>High</v>
      </c>
    </row>
    <row r="4338" spans="1:25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 t="shared" si="268"/>
        <v>0</v>
      </c>
      <c r="W4338">
        <f t="shared" si="269"/>
        <v>1</v>
      </c>
      <c r="X4338" t="str">
        <f t="shared" si="270"/>
        <v>49+ Months</v>
      </c>
      <c r="Y4338" s="1" t="str">
        <f t="shared" si="271"/>
        <v>High</v>
      </c>
    </row>
    <row r="4339" spans="1:25" x14ac:dyDescent="0.2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 t="shared" si="268"/>
        <v>0</v>
      </c>
      <c r="W4339">
        <f t="shared" si="269"/>
        <v>1</v>
      </c>
      <c r="X4339" t="str">
        <f t="shared" si="270"/>
        <v>49+ Months</v>
      </c>
      <c r="Y4339" s="1" t="str">
        <f t="shared" si="271"/>
        <v>High</v>
      </c>
    </row>
    <row r="4340" spans="1:25" x14ac:dyDescent="0.2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 t="shared" si="268"/>
        <v>0</v>
      </c>
      <c r="W4340">
        <f t="shared" si="269"/>
        <v>1</v>
      </c>
      <c r="X4340" t="str">
        <f t="shared" si="270"/>
        <v>0-12 Months</v>
      </c>
      <c r="Y4340" s="1" t="str">
        <f t="shared" si="271"/>
        <v>Low</v>
      </c>
    </row>
    <row r="4341" spans="1:25" x14ac:dyDescent="0.2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 t="shared" si="268"/>
        <v>0</v>
      </c>
      <c r="W4341">
        <f t="shared" si="269"/>
        <v>1</v>
      </c>
      <c r="X4341" t="str">
        <f t="shared" si="270"/>
        <v>25-48 Months</v>
      </c>
      <c r="Y4341" s="1" t="str">
        <f t="shared" si="271"/>
        <v>Medium</v>
      </c>
    </row>
    <row r="4342" spans="1:25" x14ac:dyDescent="0.2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 t="shared" si="268"/>
        <v>0</v>
      </c>
      <c r="W4342">
        <f t="shared" si="269"/>
        <v>1</v>
      </c>
      <c r="X4342" t="str">
        <f t="shared" si="270"/>
        <v>0-12 Months</v>
      </c>
      <c r="Y4342" s="1" t="str">
        <f t="shared" si="271"/>
        <v>Low</v>
      </c>
    </row>
    <row r="4343" spans="1:25" x14ac:dyDescent="0.2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 t="shared" si="268"/>
        <v>1</v>
      </c>
      <c r="W4343">
        <f t="shared" si="269"/>
        <v>0</v>
      </c>
      <c r="X4343" t="str">
        <f t="shared" si="270"/>
        <v>0-12 Months</v>
      </c>
      <c r="Y4343" s="1" t="str">
        <f t="shared" si="271"/>
        <v>Low</v>
      </c>
    </row>
    <row r="4344" spans="1:25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 t="shared" si="268"/>
        <v>0</v>
      </c>
      <c r="W4344">
        <f t="shared" si="269"/>
        <v>1</v>
      </c>
      <c r="X4344" t="str">
        <f t="shared" si="270"/>
        <v>49+ Months</v>
      </c>
      <c r="Y4344" s="1" t="str">
        <f t="shared" si="271"/>
        <v>Medium</v>
      </c>
    </row>
    <row r="4345" spans="1:25" x14ac:dyDescent="0.2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 t="shared" si="268"/>
        <v>1</v>
      </c>
      <c r="W4345">
        <f t="shared" si="269"/>
        <v>0</v>
      </c>
      <c r="X4345" t="str">
        <f t="shared" si="270"/>
        <v>0-12 Months</v>
      </c>
      <c r="Y4345" s="1" t="str">
        <f t="shared" si="271"/>
        <v>Medium</v>
      </c>
    </row>
    <row r="4346" spans="1:25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 t="shared" si="268"/>
        <v>0</v>
      </c>
      <c r="W4346">
        <f t="shared" si="269"/>
        <v>1</v>
      </c>
      <c r="X4346" t="str">
        <f t="shared" si="270"/>
        <v>49+ Months</v>
      </c>
      <c r="Y4346" s="1" t="str">
        <f t="shared" si="271"/>
        <v>High</v>
      </c>
    </row>
    <row r="4347" spans="1:25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 t="shared" si="268"/>
        <v>0</v>
      </c>
      <c r="W4347">
        <f t="shared" si="269"/>
        <v>1</v>
      </c>
      <c r="X4347" t="str">
        <f t="shared" si="270"/>
        <v>49+ Months</v>
      </c>
      <c r="Y4347" s="1" t="str">
        <f t="shared" si="271"/>
        <v>Low</v>
      </c>
    </row>
    <row r="4348" spans="1:25" x14ac:dyDescent="0.2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 t="shared" si="268"/>
        <v>0</v>
      </c>
      <c r="W4348">
        <f t="shared" si="269"/>
        <v>1</v>
      </c>
      <c r="X4348" t="str">
        <f t="shared" si="270"/>
        <v>25-48 Months</v>
      </c>
      <c r="Y4348" s="1" t="str">
        <f t="shared" si="271"/>
        <v>Medium</v>
      </c>
    </row>
    <row r="4349" spans="1:25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 t="shared" si="268"/>
        <v>0</v>
      </c>
      <c r="W4349">
        <f t="shared" si="269"/>
        <v>1</v>
      </c>
      <c r="X4349" t="str">
        <f t="shared" si="270"/>
        <v>49+ Months</v>
      </c>
      <c r="Y4349" s="1" t="str">
        <f t="shared" si="271"/>
        <v>High</v>
      </c>
    </row>
    <row r="4350" spans="1:25" x14ac:dyDescent="0.2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 t="shared" si="268"/>
        <v>1</v>
      </c>
      <c r="W4350">
        <f t="shared" si="269"/>
        <v>0</v>
      </c>
      <c r="X4350" t="str">
        <f t="shared" si="270"/>
        <v>0-12 Months</v>
      </c>
      <c r="Y4350" s="1" t="str">
        <f t="shared" si="271"/>
        <v>Low</v>
      </c>
    </row>
    <row r="4351" spans="1:25" x14ac:dyDescent="0.2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 t="shared" si="268"/>
        <v>1</v>
      </c>
      <c r="W4351">
        <f t="shared" si="269"/>
        <v>0</v>
      </c>
      <c r="X4351" t="str">
        <f t="shared" si="270"/>
        <v>0-12 Months</v>
      </c>
      <c r="Y4351" s="1" t="str">
        <f t="shared" si="271"/>
        <v>High</v>
      </c>
    </row>
    <row r="4352" spans="1:25" x14ac:dyDescent="0.2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 t="shared" si="268"/>
        <v>0</v>
      </c>
      <c r="W4352">
        <f t="shared" si="269"/>
        <v>1</v>
      </c>
      <c r="X4352" t="str">
        <f t="shared" si="270"/>
        <v>25-48 Months</v>
      </c>
      <c r="Y4352" s="1" t="str">
        <f t="shared" si="271"/>
        <v>Low</v>
      </c>
    </row>
    <row r="4353" spans="1:25" x14ac:dyDescent="0.2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 t="shared" si="268"/>
        <v>0</v>
      </c>
      <c r="W4353">
        <f t="shared" si="269"/>
        <v>1</v>
      </c>
      <c r="X4353" t="str">
        <f t="shared" si="270"/>
        <v>0-12 Months</v>
      </c>
      <c r="Y4353" s="1" t="str">
        <f t="shared" si="271"/>
        <v>Low</v>
      </c>
    </row>
    <row r="4354" spans="1:25" x14ac:dyDescent="0.2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 t="shared" ref="V4354:V4417" si="272">IF(U4354="Yes",1,0)</f>
        <v>0</v>
      </c>
      <c r="W4354">
        <f t="shared" ref="W4354:W4417" si="273">IF(U4354="No",1,0)</f>
        <v>1</v>
      </c>
      <c r="X4354" t="str">
        <f t="shared" ref="X4354:X4417" si="274">IF(F4354&lt;=12,"0-12 Months",IF(F4354&lt;=24,"13-24 Months",IF(F4354&lt;=48,"25-48 Months","49+ Months")))</f>
        <v>49+ Months</v>
      </c>
      <c r="Y4354" s="1" t="str">
        <f t="shared" ref="Y4354:Y4417" si="275">IF(S4354&lt;50,"Low",IF(S4354&lt;80,"Medium","High"))</f>
        <v>High</v>
      </c>
    </row>
    <row r="4355" spans="1:25" x14ac:dyDescent="0.2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 t="shared" si="272"/>
        <v>1</v>
      </c>
      <c r="W4355">
        <f t="shared" si="273"/>
        <v>0</v>
      </c>
      <c r="X4355" t="str">
        <f t="shared" si="274"/>
        <v>0-12 Months</v>
      </c>
      <c r="Y4355" s="1" t="str">
        <f t="shared" si="275"/>
        <v>Medium</v>
      </c>
    </row>
    <row r="4356" spans="1:25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 t="shared" si="272"/>
        <v>0</v>
      </c>
      <c r="W4356">
        <f t="shared" si="273"/>
        <v>1</v>
      </c>
      <c r="X4356" t="str">
        <f t="shared" si="274"/>
        <v>49+ Months</v>
      </c>
      <c r="Y4356" s="1" t="str">
        <f t="shared" si="275"/>
        <v>Low</v>
      </c>
    </row>
    <row r="4357" spans="1:25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 t="shared" si="272"/>
        <v>0</v>
      </c>
      <c r="W4357">
        <f t="shared" si="273"/>
        <v>1</v>
      </c>
      <c r="X4357" t="str">
        <f t="shared" si="274"/>
        <v>0-12 Months</v>
      </c>
      <c r="Y4357" s="1" t="str">
        <f t="shared" si="275"/>
        <v>Medium</v>
      </c>
    </row>
    <row r="4358" spans="1:25" x14ac:dyDescent="0.2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 t="shared" si="272"/>
        <v>0</v>
      </c>
      <c r="W4358">
        <f t="shared" si="273"/>
        <v>1</v>
      </c>
      <c r="X4358" t="str">
        <f t="shared" si="274"/>
        <v>0-12 Months</v>
      </c>
      <c r="Y4358" s="1" t="str">
        <f t="shared" si="275"/>
        <v>Low</v>
      </c>
    </row>
    <row r="4359" spans="1:25" x14ac:dyDescent="0.2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 t="shared" si="272"/>
        <v>0</v>
      </c>
      <c r="W4359">
        <f t="shared" si="273"/>
        <v>1</v>
      </c>
      <c r="X4359" t="str">
        <f t="shared" si="274"/>
        <v>13-24 Months</v>
      </c>
      <c r="Y4359" s="1" t="str">
        <f t="shared" si="275"/>
        <v>Low</v>
      </c>
    </row>
    <row r="4360" spans="1:25" x14ac:dyDescent="0.2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 t="shared" si="272"/>
        <v>0</v>
      </c>
      <c r="W4360">
        <f t="shared" si="273"/>
        <v>1</v>
      </c>
      <c r="X4360" t="str">
        <f t="shared" si="274"/>
        <v>13-24 Months</v>
      </c>
      <c r="Y4360" s="1" t="str">
        <f t="shared" si="275"/>
        <v>Medium</v>
      </c>
    </row>
    <row r="4361" spans="1:25" x14ac:dyDescent="0.2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 t="shared" si="272"/>
        <v>0</v>
      </c>
      <c r="W4361">
        <f t="shared" si="273"/>
        <v>1</v>
      </c>
      <c r="X4361" t="str">
        <f t="shared" si="274"/>
        <v>13-24 Months</v>
      </c>
      <c r="Y4361" s="1" t="str">
        <f t="shared" si="275"/>
        <v>High</v>
      </c>
    </row>
    <row r="4362" spans="1:25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 t="shared" si="272"/>
        <v>0</v>
      </c>
      <c r="W4362">
        <f t="shared" si="273"/>
        <v>1</v>
      </c>
      <c r="X4362" t="str">
        <f t="shared" si="274"/>
        <v>25-48 Months</v>
      </c>
      <c r="Y4362" s="1" t="str">
        <f t="shared" si="275"/>
        <v>High</v>
      </c>
    </row>
    <row r="4363" spans="1:25" x14ac:dyDescent="0.2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 t="shared" si="272"/>
        <v>0</v>
      </c>
      <c r="W4363">
        <f t="shared" si="273"/>
        <v>1</v>
      </c>
      <c r="X4363" t="str">
        <f t="shared" si="274"/>
        <v>25-48 Months</v>
      </c>
      <c r="Y4363" s="1" t="str">
        <f t="shared" si="275"/>
        <v>Medium</v>
      </c>
    </row>
    <row r="4364" spans="1:25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 t="shared" si="272"/>
        <v>0</v>
      </c>
      <c r="W4364">
        <f t="shared" si="273"/>
        <v>1</v>
      </c>
      <c r="X4364" t="str">
        <f t="shared" si="274"/>
        <v>49+ Months</v>
      </c>
      <c r="Y4364" s="1" t="str">
        <f t="shared" si="275"/>
        <v>Low</v>
      </c>
    </row>
    <row r="4365" spans="1:25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 t="shared" si="272"/>
        <v>0</v>
      </c>
      <c r="W4365">
        <f t="shared" si="273"/>
        <v>1</v>
      </c>
      <c r="X4365" t="str">
        <f t="shared" si="274"/>
        <v>49+ Months</v>
      </c>
      <c r="Y4365" s="1" t="str">
        <f t="shared" si="275"/>
        <v>High</v>
      </c>
    </row>
    <row r="4366" spans="1:25" x14ac:dyDescent="0.2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 t="shared" si="272"/>
        <v>0</v>
      </c>
      <c r="W4366">
        <f t="shared" si="273"/>
        <v>1</v>
      </c>
      <c r="X4366" t="str">
        <f t="shared" si="274"/>
        <v>49+ Months</v>
      </c>
      <c r="Y4366" s="1" t="str">
        <f t="shared" si="275"/>
        <v>High</v>
      </c>
    </row>
    <row r="4367" spans="1:25" x14ac:dyDescent="0.2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 t="shared" si="272"/>
        <v>0</v>
      </c>
      <c r="W4367">
        <f t="shared" si="273"/>
        <v>1</v>
      </c>
      <c r="X4367" t="str">
        <f t="shared" si="274"/>
        <v>49+ Months</v>
      </c>
      <c r="Y4367" s="1" t="str">
        <f t="shared" si="275"/>
        <v>Medium</v>
      </c>
    </row>
    <row r="4368" spans="1:25" x14ac:dyDescent="0.2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 t="shared" si="272"/>
        <v>0</v>
      </c>
      <c r="W4368">
        <f t="shared" si="273"/>
        <v>1</v>
      </c>
      <c r="X4368" t="str">
        <f t="shared" si="274"/>
        <v>13-24 Months</v>
      </c>
      <c r="Y4368" s="1" t="str">
        <f t="shared" si="275"/>
        <v>Medium</v>
      </c>
    </row>
    <row r="4369" spans="1:25" x14ac:dyDescent="0.2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 t="shared" si="272"/>
        <v>0</v>
      </c>
      <c r="W4369">
        <f t="shared" si="273"/>
        <v>1</v>
      </c>
      <c r="X4369" t="str">
        <f t="shared" si="274"/>
        <v>25-48 Months</v>
      </c>
      <c r="Y4369" s="1" t="str">
        <f t="shared" si="275"/>
        <v>Medium</v>
      </c>
    </row>
    <row r="4370" spans="1:25" x14ac:dyDescent="0.2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 t="shared" si="272"/>
        <v>1</v>
      </c>
      <c r="W4370">
        <f t="shared" si="273"/>
        <v>0</v>
      </c>
      <c r="X4370" t="str">
        <f t="shared" si="274"/>
        <v>0-12 Months</v>
      </c>
      <c r="Y4370" s="1" t="str">
        <f t="shared" si="275"/>
        <v>High</v>
      </c>
    </row>
    <row r="4371" spans="1:25" x14ac:dyDescent="0.2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 t="shared" si="272"/>
        <v>1</v>
      </c>
      <c r="W4371">
        <f t="shared" si="273"/>
        <v>0</v>
      </c>
      <c r="X4371" t="str">
        <f t="shared" si="274"/>
        <v>0-12 Months</v>
      </c>
      <c r="Y4371" s="1" t="str">
        <f t="shared" si="275"/>
        <v>Low</v>
      </c>
    </row>
    <row r="4372" spans="1:25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 t="shared" si="272"/>
        <v>0</v>
      </c>
      <c r="W4372">
        <f t="shared" si="273"/>
        <v>1</v>
      </c>
      <c r="X4372" t="str">
        <f t="shared" si="274"/>
        <v>13-24 Months</v>
      </c>
      <c r="Y4372" s="1" t="str">
        <f t="shared" si="275"/>
        <v>High</v>
      </c>
    </row>
    <row r="4373" spans="1:25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 t="shared" si="272"/>
        <v>0</v>
      </c>
      <c r="W4373">
        <f t="shared" si="273"/>
        <v>1</v>
      </c>
      <c r="X4373" t="str">
        <f t="shared" si="274"/>
        <v>13-24 Months</v>
      </c>
      <c r="Y4373" s="1" t="str">
        <f t="shared" si="275"/>
        <v>Low</v>
      </c>
    </row>
    <row r="4374" spans="1:25" x14ac:dyDescent="0.2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 t="shared" si="272"/>
        <v>0</v>
      </c>
      <c r="W4374">
        <f t="shared" si="273"/>
        <v>1</v>
      </c>
      <c r="X4374" t="str">
        <f t="shared" si="274"/>
        <v>0-12 Months</v>
      </c>
      <c r="Y4374" s="1" t="str">
        <f t="shared" si="275"/>
        <v>Low</v>
      </c>
    </row>
    <row r="4375" spans="1:25" x14ac:dyDescent="0.2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 t="shared" si="272"/>
        <v>0</v>
      </c>
      <c r="W4375">
        <f t="shared" si="273"/>
        <v>1</v>
      </c>
      <c r="X4375" t="str">
        <f t="shared" si="274"/>
        <v>25-48 Months</v>
      </c>
      <c r="Y4375" s="1" t="str">
        <f t="shared" si="275"/>
        <v>Low</v>
      </c>
    </row>
    <row r="4376" spans="1:25" x14ac:dyDescent="0.2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 t="shared" si="272"/>
        <v>0</v>
      </c>
      <c r="W4376">
        <f t="shared" si="273"/>
        <v>1</v>
      </c>
      <c r="X4376" t="str">
        <f t="shared" si="274"/>
        <v>49+ Months</v>
      </c>
      <c r="Y4376" s="1" t="str">
        <f t="shared" si="275"/>
        <v>Low</v>
      </c>
    </row>
    <row r="4377" spans="1:25" x14ac:dyDescent="0.2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 t="shared" si="272"/>
        <v>0</v>
      </c>
      <c r="W4377">
        <f t="shared" si="273"/>
        <v>1</v>
      </c>
      <c r="X4377" t="str">
        <f t="shared" si="274"/>
        <v>49+ Months</v>
      </c>
      <c r="Y4377" s="1" t="str">
        <f t="shared" si="275"/>
        <v>High</v>
      </c>
    </row>
    <row r="4378" spans="1:25" x14ac:dyDescent="0.2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 t="shared" si="272"/>
        <v>0</v>
      </c>
      <c r="W4378">
        <f t="shared" si="273"/>
        <v>1</v>
      </c>
      <c r="X4378" t="str">
        <f t="shared" si="274"/>
        <v>25-48 Months</v>
      </c>
      <c r="Y4378" s="1" t="str">
        <f t="shared" si="275"/>
        <v>High</v>
      </c>
    </row>
    <row r="4379" spans="1:25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 t="shared" si="272"/>
        <v>0</v>
      </c>
      <c r="W4379">
        <f t="shared" si="273"/>
        <v>1</v>
      </c>
      <c r="X4379" t="str">
        <f t="shared" si="274"/>
        <v>13-24 Months</v>
      </c>
      <c r="Y4379" s="1" t="str">
        <f t="shared" si="275"/>
        <v>High</v>
      </c>
    </row>
    <row r="4380" spans="1:25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 t="shared" si="272"/>
        <v>0</v>
      </c>
      <c r="W4380">
        <f t="shared" si="273"/>
        <v>1</v>
      </c>
      <c r="X4380" t="str">
        <f t="shared" si="274"/>
        <v>49+ Months</v>
      </c>
      <c r="Y4380" s="1" t="str">
        <f t="shared" si="275"/>
        <v>Low</v>
      </c>
    </row>
    <row r="4381" spans="1:25" x14ac:dyDescent="0.2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 t="shared" si="272"/>
        <v>0</v>
      </c>
      <c r="W4381">
        <f t="shared" si="273"/>
        <v>1</v>
      </c>
      <c r="X4381" t="str">
        <f t="shared" si="274"/>
        <v>49+ Months</v>
      </c>
      <c r="Y4381" s="1" t="str">
        <f t="shared" si="275"/>
        <v>High</v>
      </c>
    </row>
    <row r="4382" spans="1:25" x14ac:dyDescent="0.2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>
        <f t="shared" si="272"/>
        <v>0</v>
      </c>
      <c r="W4382">
        <f t="shared" si="273"/>
        <v>1</v>
      </c>
      <c r="X4382" t="str">
        <f t="shared" si="274"/>
        <v>0-12 Months</v>
      </c>
      <c r="Y4382" s="1" t="str">
        <f t="shared" si="275"/>
        <v>Low</v>
      </c>
    </row>
    <row r="4383" spans="1:25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 t="shared" si="272"/>
        <v>1</v>
      </c>
      <c r="W4383">
        <f t="shared" si="273"/>
        <v>0</v>
      </c>
      <c r="X4383" t="str">
        <f t="shared" si="274"/>
        <v>49+ Months</v>
      </c>
      <c r="Y4383" s="1" t="str">
        <f t="shared" si="275"/>
        <v>High</v>
      </c>
    </row>
    <row r="4384" spans="1:25" x14ac:dyDescent="0.2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 t="shared" si="272"/>
        <v>0</v>
      </c>
      <c r="W4384">
        <f t="shared" si="273"/>
        <v>1</v>
      </c>
      <c r="X4384" t="str">
        <f t="shared" si="274"/>
        <v>0-12 Months</v>
      </c>
      <c r="Y4384" s="1" t="str">
        <f t="shared" si="275"/>
        <v>Low</v>
      </c>
    </row>
    <row r="4385" spans="1:25" x14ac:dyDescent="0.2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 t="shared" si="272"/>
        <v>0</v>
      </c>
      <c r="W4385">
        <f t="shared" si="273"/>
        <v>1</v>
      </c>
      <c r="X4385" t="str">
        <f t="shared" si="274"/>
        <v>49+ Months</v>
      </c>
      <c r="Y4385" s="1" t="str">
        <f t="shared" si="275"/>
        <v>High</v>
      </c>
    </row>
    <row r="4386" spans="1:25" x14ac:dyDescent="0.2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 t="shared" si="272"/>
        <v>1</v>
      </c>
      <c r="W4386">
        <f t="shared" si="273"/>
        <v>0</v>
      </c>
      <c r="X4386" t="str">
        <f t="shared" si="274"/>
        <v>0-12 Months</v>
      </c>
      <c r="Y4386" s="1" t="str">
        <f t="shared" si="275"/>
        <v>Medium</v>
      </c>
    </row>
    <row r="4387" spans="1:25" x14ac:dyDescent="0.2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 t="shared" si="272"/>
        <v>0</v>
      </c>
      <c r="W4387">
        <f t="shared" si="273"/>
        <v>1</v>
      </c>
      <c r="X4387" t="str">
        <f t="shared" si="274"/>
        <v>13-24 Months</v>
      </c>
      <c r="Y4387" s="1" t="str">
        <f t="shared" si="275"/>
        <v>Low</v>
      </c>
    </row>
    <row r="4388" spans="1:25" x14ac:dyDescent="0.2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 t="shared" si="272"/>
        <v>1</v>
      </c>
      <c r="W4388">
        <f t="shared" si="273"/>
        <v>0</v>
      </c>
      <c r="X4388" t="str">
        <f t="shared" si="274"/>
        <v>49+ Months</v>
      </c>
      <c r="Y4388" s="1" t="str">
        <f t="shared" si="275"/>
        <v>Medium</v>
      </c>
    </row>
    <row r="4389" spans="1:25" x14ac:dyDescent="0.2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 t="shared" si="272"/>
        <v>0</v>
      </c>
      <c r="W4389">
        <f t="shared" si="273"/>
        <v>1</v>
      </c>
      <c r="X4389" t="str">
        <f t="shared" si="274"/>
        <v>0-12 Months</v>
      </c>
      <c r="Y4389" s="1" t="str">
        <f t="shared" si="275"/>
        <v>Low</v>
      </c>
    </row>
    <row r="4390" spans="1:25" x14ac:dyDescent="0.2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 t="shared" si="272"/>
        <v>0</v>
      </c>
      <c r="W4390">
        <f t="shared" si="273"/>
        <v>1</v>
      </c>
      <c r="X4390" t="str">
        <f t="shared" si="274"/>
        <v>13-24 Months</v>
      </c>
      <c r="Y4390" s="1" t="str">
        <f t="shared" si="275"/>
        <v>Low</v>
      </c>
    </row>
    <row r="4391" spans="1:25" x14ac:dyDescent="0.2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 t="shared" si="272"/>
        <v>0</v>
      </c>
      <c r="W4391">
        <f t="shared" si="273"/>
        <v>1</v>
      </c>
      <c r="X4391" t="str">
        <f t="shared" si="274"/>
        <v>25-48 Months</v>
      </c>
      <c r="Y4391" s="1" t="str">
        <f t="shared" si="275"/>
        <v>High</v>
      </c>
    </row>
    <row r="4392" spans="1:25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 t="shared" si="272"/>
        <v>0</v>
      </c>
      <c r="W4392">
        <f t="shared" si="273"/>
        <v>1</v>
      </c>
      <c r="X4392" t="str">
        <f t="shared" si="274"/>
        <v>13-24 Months</v>
      </c>
      <c r="Y4392" s="1" t="str">
        <f t="shared" si="275"/>
        <v>Medium</v>
      </c>
    </row>
    <row r="4393" spans="1:25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 t="shared" si="272"/>
        <v>0</v>
      </c>
      <c r="W4393">
        <f t="shared" si="273"/>
        <v>1</v>
      </c>
      <c r="X4393" t="str">
        <f t="shared" si="274"/>
        <v>0-12 Months</v>
      </c>
      <c r="Y4393" s="1" t="str">
        <f t="shared" si="275"/>
        <v>Medium</v>
      </c>
    </row>
    <row r="4394" spans="1:25" x14ac:dyDescent="0.2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 t="shared" si="272"/>
        <v>0</v>
      </c>
      <c r="W4394">
        <f t="shared" si="273"/>
        <v>1</v>
      </c>
      <c r="X4394" t="str">
        <f t="shared" si="274"/>
        <v>0-12 Months</v>
      </c>
      <c r="Y4394" s="1" t="str">
        <f t="shared" si="275"/>
        <v>Low</v>
      </c>
    </row>
    <row r="4395" spans="1:25" x14ac:dyDescent="0.2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 t="shared" si="272"/>
        <v>1</v>
      </c>
      <c r="W4395">
        <f t="shared" si="273"/>
        <v>0</v>
      </c>
      <c r="X4395" t="str">
        <f t="shared" si="274"/>
        <v>13-24 Months</v>
      </c>
      <c r="Y4395" s="1" t="str">
        <f t="shared" si="275"/>
        <v>High</v>
      </c>
    </row>
    <row r="4396" spans="1:25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 t="shared" si="272"/>
        <v>0</v>
      </c>
      <c r="W4396">
        <f t="shared" si="273"/>
        <v>1</v>
      </c>
      <c r="X4396" t="str">
        <f t="shared" si="274"/>
        <v>13-24 Months</v>
      </c>
      <c r="Y4396" s="1" t="str">
        <f t="shared" si="275"/>
        <v>Medium</v>
      </c>
    </row>
    <row r="4397" spans="1:25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 t="shared" si="272"/>
        <v>1</v>
      </c>
      <c r="W4397">
        <f t="shared" si="273"/>
        <v>0</v>
      </c>
      <c r="X4397" t="str">
        <f t="shared" si="274"/>
        <v>49+ Months</v>
      </c>
      <c r="Y4397" s="1" t="str">
        <f t="shared" si="275"/>
        <v>High</v>
      </c>
    </row>
    <row r="4398" spans="1:25" x14ac:dyDescent="0.2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 t="shared" si="272"/>
        <v>1</v>
      </c>
      <c r="W4398">
        <f t="shared" si="273"/>
        <v>0</v>
      </c>
      <c r="X4398" t="str">
        <f t="shared" si="274"/>
        <v>0-12 Months</v>
      </c>
      <c r="Y4398" s="1" t="str">
        <f t="shared" si="275"/>
        <v>Low</v>
      </c>
    </row>
    <row r="4399" spans="1:25" x14ac:dyDescent="0.2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 t="shared" si="272"/>
        <v>0</v>
      </c>
      <c r="W4399">
        <f t="shared" si="273"/>
        <v>1</v>
      </c>
      <c r="X4399" t="str">
        <f t="shared" si="274"/>
        <v>49+ Months</v>
      </c>
      <c r="Y4399" s="1" t="str">
        <f t="shared" si="275"/>
        <v>High</v>
      </c>
    </row>
    <row r="4400" spans="1:25" x14ac:dyDescent="0.2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 t="shared" si="272"/>
        <v>0</v>
      </c>
      <c r="W4400">
        <f t="shared" si="273"/>
        <v>1</v>
      </c>
      <c r="X4400" t="str">
        <f t="shared" si="274"/>
        <v>49+ Months</v>
      </c>
      <c r="Y4400" s="1" t="str">
        <f t="shared" si="275"/>
        <v>Medium</v>
      </c>
    </row>
    <row r="4401" spans="1:25" x14ac:dyDescent="0.2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 t="shared" si="272"/>
        <v>0</v>
      </c>
      <c r="W4401">
        <f t="shared" si="273"/>
        <v>1</v>
      </c>
      <c r="X4401" t="str">
        <f t="shared" si="274"/>
        <v>49+ Months</v>
      </c>
      <c r="Y4401" s="1" t="str">
        <f t="shared" si="275"/>
        <v>High</v>
      </c>
    </row>
    <row r="4402" spans="1:25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 t="shared" si="272"/>
        <v>0</v>
      </c>
      <c r="W4402">
        <f t="shared" si="273"/>
        <v>1</v>
      </c>
      <c r="X4402" t="str">
        <f t="shared" si="274"/>
        <v>0-12 Months</v>
      </c>
      <c r="Y4402" s="1" t="str">
        <f t="shared" si="275"/>
        <v>Low</v>
      </c>
    </row>
    <row r="4403" spans="1:25" x14ac:dyDescent="0.2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 t="shared" si="272"/>
        <v>0</v>
      </c>
      <c r="W4403">
        <f t="shared" si="273"/>
        <v>1</v>
      </c>
      <c r="X4403" t="str">
        <f t="shared" si="274"/>
        <v>25-48 Months</v>
      </c>
      <c r="Y4403" s="1" t="str">
        <f t="shared" si="275"/>
        <v>High</v>
      </c>
    </row>
    <row r="4404" spans="1:25" x14ac:dyDescent="0.2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 t="shared" si="272"/>
        <v>1</v>
      </c>
      <c r="W4404">
        <f t="shared" si="273"/>
        <v>0</v>
      </c>
      <c r="X4404" t="str">
        <f t="shared" si="274"/>
        <v>25-48 Months</v>
      </c>
      <c r="Y4404" s="1" t="str">
        <f t="shared" si="275"/>
        <v>Low</v>
      </c>
    </row>
    <row r="4405" spans="1:25" x14ac:dyDescent="0.2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 t="shared" si="272"/>
        <v>0</v>
      </c>
      <c r="W4405">
        <f t="shared" si="273"/>
        <v>1</v>
      </c>
      <c r="X4405" t="str">
        <f t="shared" si="274"/>
        <v>25-48 Months</v>
      </c>
      <c r="Y4405" s="1" t="str">
        <f t="shared" si="275"/>
        <v>Medium</v>
      </c>
    </row>
    <row r="4406" spans="1:25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 t="shared" si="272"/>
        <v>0</v>
      </c>
      <c r="W4406">
        <f t="shared" si="273"/>
        <v>1</v>
      </c>
      <c r="X4406" t="str">
        <f t="shared" si="274"/>
        <v>13-24 Months</v>
      </c>
      <c r="Y4406" s="1" t="str">
        <f t="shared" si="275"/>
        <v>High</v>
      </c>
    </row>
    <row r="4407" spans="1:25" x14ac:dyDescent="0.2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 t="shared" si="272"/>
        <v>1</v>
      </c>
      <c r="W4407">
        <f t="shared" si="273"/>
        <v>0</v>
      </c>
      <c r="X4407" t="str">
        <f t="shared" si="274"/>
        <v>0-12 Months</v>
      </c>
      <c r="Y4407" s="1" t="str">
        <f t="shared" si="275"/>
        <v>High</v>
      </c>
    </row>
    <row r="4408" spans="1:25" x14ac:dyDescent="0.2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 t="shared" si="272"/>
        <v>0</v>
      </c>
      <c r="W4408">
        <f t="shared" si="273"/>
        <v>1</v>
      </c>
      <c r="X4408" t="str">
        <f t="shared" si="274"/>
        <v>25-48 Months</v>
      </c>
      <c r="Y4408" s="1" t="str">
        <f t="shared" si="275"/>
        <v>Medium</v>
      </c>
    </row>
    <row r="4409" spans="1:25" x14ac:dyDescent="0.2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 t="shared" si="272"/>
        <v>0</v>
      </c>
      <c r="W4409">
        <f t="shared" si="273"/>
        <v>1</v>
      </c>
      <c r="X4409" t="str">
        <f t="shared" si="274"/>
        <v>0-12 Months</v>
      </c>
      <c r="Y4409" s="1" t="str">
        <f t="shared" si="275"/>
        <v>Low</v>
      </c>
    </row>
    <row r="4410" spans="1:25" x14ac:dyDescent="0.2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 t="shared" si="272"/>
        <v>0</v>
      </c>
      <c r="W4410">
        <f t="shared" si="273"/>
        <v>1</v>
      </c>
      <c r="X4410" t="str">
        <f t="shared" si="274"/>
        <v>49+ Months</v>
      </c>
      <c r="Y4410" s="1" t="str">
        <f t="shared" si="275"/>
        <v>Medium</v>
      </c>
    </row>
    <row r="4411" spans="1:25" x14ac:dyDescent="0.2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 t="shared" si="272"/>
        <v>0</v>
      </c>
      <c r="W4411">
        <f t="shared" si="273"/>
        <v>1</v>
      </c>
      <c r="X4411" t="str">
        <f t="shared" si="274"/>
        <v>49+ Months</v>
      </c>
      <c r="Y4411" s="1" t="str">
        <f t="shared" si="275"/>
        <v>Low</v>
      </c>
    </row>
    <row r="4412" spans="1:25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 t="shared" si="272"/>
        <v>0</v>
      </c>
      <c r="W4412">
        <f t="shared" si="273"/>
        <v>1</v>
      </c>
      <c r="X4412" t="str">
        <f t="shared" si="274"/>
        <v>13-24 Months</v>
      </c>
      <c r="Y4412" s="1" t="str">
        <f t="shared" si="275"/>
        <v>High</v>
      </c>
    </row>
    <row r="4413" spans="1:25" x14ac:dyDescent="0.2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 t="shared" si="272"/>
        <v>0</v>
      </c>
      <c r="W4413">
        <f t="shared" si="273"/>
        <v>1</v>
      </c>
      <c r="X4413" t="str">
        <f t="shared" si="274"/>
        <v>49+ Months</v>
      </c>
      <c r="Y4413" s="1" t="str">
        <f t="shared" si="275"/>
        <v>Low</v>
      </c>
    </row>
    <row r="4414" spans="1:25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 t="shared" si="272"/>
        <v>0</v>
      </c>
      <c r="W4414">
        <f t="shared" si="273"/>
        <v>1</v>
      </c>
      <c r="X4414" t="str">
        <f t="shared" si="274"/>
        <v>49+ Months</v>
      </c>
      <c r="Y4414" s="1" t="str">
        <f t="shared" si="275"/>
        <v>Low</v>
      </c>
    </row>
    <row r="4415" spans="1:25" x14ac:dyDescent="0.2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 t="shared" si="272"/>
        <v>1</v>
      </c>
      <c r="W4415">
        <f t="shared" si="273"/>
        <v>0</v>
      </c>
      <c r="X4415" t="str">
        <f t="shared" si="274"/>
        <v>13-24 Months</v>
      </c>
      <c r="Y4415" s="1" t="str">
        <f t="shared" si="275"/>
        <v>High</v>
      </c>
    </row>
    <row r="4416" spans="1:25" x14ac:dyDescent="0.2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 t="shared" si="272"/>
        <v>0</v>
      </c>
      <c r="W4416">
        <f t="shared" si="273"/>
        <v>1</v>
      </c>
      <c r="X4416" t="str">
        <f t="shared" si="274"/>
        <v>13-24 Months</v>
      </c>
      <c r="Y4416" s="1" t="str">
        <f t="shared" si="275"/>
        <v>Low</v>
      </c>
    </row>
    <row r="4417" spans="1:25" x14ac:dyDescent="0.2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 t="shared" si="272"/>
        <v>0</v>
      </c>
      <c r="W4417">
        <f t="shared" si="273"/>
        <v>1</v>
      </c>
      <c r="X4417" t="str">
        <f t="shared" si="274"/>
        <v>49+ Months</v>
      </c>
      <c r="Y4417" s="1" t="str">
        <f t="shared" si="275"/>
        <v>Medium</v>
      </c>
    </row>
    <row r="4418" spans="1:25" x14ac:dyDescent="0.2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 t="shared" ref="V4418:V4481" si="276">IF(U4418="Yes",1,0)</f>
        <v>0</v>
      </c>
      <c r="W4418">
        <f t="shared" ref="W4418:W4481" si="277">IF(U4418="No",1,0)</f>
        <v>1</v>
      </c>
      <c r="X4418" t="str">
        <f t="shared" ref="X4418:X4481" si="278">IF(F4418&lt;=12,"0-12 Months",IF(F4418&lt;=24,"13-24 Months",IF(F4418&lt;=48,"25-48 Months","49+ Months")))</f>
        <v>13-24 Months</v>
      </c>
      <c r="Y4418" s="1" t="str">
        <f t="shared" ref="Y4418:Y4481" si="279">IF(S4418&lt;50,"Low",IF(S4418&lt;80,"Medium","High"))</f>
        <v>Medium</v>
      </c>
    </row>
    <row r="4419" spans="1:25" x14ac:dyDescent="0.2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 t="shared" si="276"/>
        <v>1</v>
      </c>
      <c r="W4419">
        <f t="shared" si="277"/>
        <v>0</v>
      </c>
      <c r="X4419" t="str">
        <f t="shared" si="278"/>
        <v>0-12 Months</v>
      </c>
      <c r="Y4419" s="1" t="str">
        <f t="shared" si="279"/>
        <v>Medium</v>
      </c>
    </row>
    <row r="4420" spans="1:25" x14ac:dyDescent="0.2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 t="shared" si="276"/>
        <v>1</v>
      </c>
      <c r="W4420">
        <f t="shared" si="277"/>
        <v>0</v>
      </c>
      <c r="X4420" t="str">
        <f t="shared" si="278"/>
        <v>49+ Months</v>
      </c>
      <c r="Y4420" s="1" t="str">
        <f t="shared" si="279"/>
        <v>Medium</v>
      </c>
    </row>
    <row r="4421" spans="1:25" x14ac:dyDescent="0.2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 t="shared" si="276"/>
        <v>0</v>
      </c>
      <c r="W4421">
        <f t="shared" si="277"/>
        <v>1</v>
      </c>
      <c r="X4421" t="str">
        <f t="shared" si="278"/>
        <v>0-12 Months</v>
      </c>
      <c r="Y4421" s="1" t="str">
        <f t="shared" si="279"/>
        <v>Low</v>
      </c>
    </row>
    <row r="4422" spans="1:25" x14ac:dyDescent="0.2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 t="shared" si="276"/>
        <v>0</v>
      </c>
      <c r="W4422">
        <f t="shared" si="277"/>
        <v>1</v>
      </c>
      <c r="X4422" t="str">
        <f t="shared" si="278"/>
        <v>25-48 Months</v>
      </c>
      <c r="Y4422" s="1" t="str">
        <f t="shared" si="279"/>
        <v>Medium</v>
      </c>
    </row>
    <row r="4423" spans="1:25" x14ac:dyDescent="0.2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 t="shared" si="276"/>
        <v>0</v>
      </c>
      <c r="W4423">
        <f t="shared" si="277"/>
        <v>1</v>
      </c>
      <c r="X4423" t="str">
        <f t="shared" si="278"/>
        <v>25-48 Months</v>
      </c>
      <c r="Y4423" s="1" t="str">
        <f t="shared" si="279"/>
        <v>High</v>
      </c>
    </row>
    <row r="4424" spans="1:25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 t="shared" si="276"/>
        <v>0</v>
      </c>
      <c r="W4424">
        <f t="shared" si="277"/>
        <v>1</v>
      </c>
      <c r="X4424" t="str">
        <f t="shared" si="278"/>
        <v>25-48 Months</v>
      </c>
      <c r="Y4424" s="1" t="str">
        <f t="shared" si="279"/>
        <v>High</v>
      </c>
    </row>
    <row r="4425" spans="1:25" x14ac:dyDescent="0.2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 t="shared" si="276"/>
        <v>0</v>
      </c>
      <c r="W4425">
        <f t="shared" si="277"/>
        <v>1</v>
      </c>
      <c r="X4425" t="str">
        <f t="shared" si="278"/>
        <v>25-48 Months</v>
      </c>
      <c r="Y4425" s="1" t="str">
        <f t="shared" si="279"/>
        <v>Medium</v>
      </c>
    </row>
    <row r="4426" spans="1:25" x14ac:dyDescent="0.2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 t="shared" si="276"/>
        <v>1</v>
      </c>
      <c r="W4426">
        <f t="shared" si="277"/>
        <v>0</v>
      </c>
      <c r="X4426" t="str">
        <f t="shared" si="278"/>
        <v>0-12 Months</v>
      </c>
      <c r="Y4426" s="1" t="str">
        <f t="shared" si="279"/>
        <v>Low</v>
      </c>
    </row>
    <row r="4427" spans="1:25" x14ac:dyDescent="0.2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 t="shared" si="276"/>
        <v>0</v>
      </c>
      <c r="W4427">
        <f t="shared" si="277"/>
        <v>1</v>
      </c>
      <c r="X4427" t="str">
        <f t="shared" si="278"/>
        <v>13-24 Months</v>
      </c>
      <c r="Y4427" s="1" t="str">
        <f t="shared" si="279"/>
        <v>Medium</v>
      </c>
    </row>
    <row r="4428" spans="1:25" x14ac:dyDescent="0.2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 t="shared" si="276"/>
        <v>0</v>
      </c>
      <c r="W4428">
        <f t="shared" si="277"/>
        <v>1</v>
      </c>
      <c r="X4428" t="str">
        <f t="shared" si="278"/>
        <v>13-24 Months</v>
      </c>
      <c r="Y4428" s="1" t="str">
        <f t="shared" si="279"/>
        <v>Medium</v>
      </c>
    </row>
    <row r="4429" spans="1:25" x14ac:dyDescent="0.2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 t="shared" si="276"/>
        <v>0</v>
      </c>
      <c r="W4429">
        <f t="shared" si="277"/>
        <v>1</v>
      </c>
      <c r="X4429" t="str">
        <f t="shared" si="278"/>
        <v>49+ Months</v>
      </c>
      <c r="Y4429" s="1" t="str">
        <f t="shared" si="279"/>
        <v>High</v>
      </c>
    </row>
    <row r="4430" spans="1:25" x14ac:dyDescent="0.2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 t="shared" si="276"/>
        <v>1</v>
      </c>
      <c r="W4430">
        <f t="shared" si="277"/>
        <v>0</v>
      </c>
      <c r="X4430" t="str">
        <f t="shared" si="278"/>
        <v>13-24 Months</v>
      </c>
      <c r="Y4430" s="1" t="str">
        <f t="shared" si="279"/>
        <v>High</v>
      </c>
    </row>
    <row r="4431" spans="1:25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 t="shared" si="276"/>
        <v>0</v>
      </c>
      <c r="W4431">
        <f t="shared" si="277"/>
        <v>1</v>
      </c>
      <c r="X4431" t="str">
        <f t="shared" si="278"/>
        <v>49+ Months</v>
      </c>
      <c r="Y4431" s="1" t="str">
        <f t="shared" si="279"/>
        <v>Medium</v>
      </c>
    </row>
    <row r="4432" spans="1:25" x14ac:dyDescent="0.2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 t="shared" si="276"/>
        <v>0</v>
      </c>
      <c r="W4432">
        <f t="shared" si="277"/>
        <v>1</v>
      </c>
      <c r="X4432" t="str">
        <f t="shared" si="278"/>
        <v>25-48 Months</v>
      </c>
      <c r="Y4432" s="1" t="str">
        <f t="shared" si="279"/>
        <v>Medium</v>
      </c>
    </row>
    <row r="4433" spans="1:25" x14ac:dyDescent="0.2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 t="shared" si="276"/>
        <v>0</v>
      </c>
      <c r="W4433">
        <f t="shared" si="277"/>
        <v>1</v>
      </c>
      <c r="X4433" t="str">
        <f t="shared" si="278"/>
        <v>13-24 Months</v>
      </c>
      <c r="Y4433" s="1" t="str">
        <f t="shared" si="279"/>
        <v>Medium</v>
      </c>
    </row>
    <row r="4434" spans="1:25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 t="shared" si="276"/>
        <v>0</v>
      </c>
      <c r="W4434">
        <f t="shared" si="277"/>
        <v>1</v>
      </c>
      <c r="X4434" t="str">
        <f t="shared" si="278"/>
        <v>25-48 Months</v>
      </c>
      <c r="Y4434" s="1" t="str">
        <f t="shared" si="279"/>
        <v>Low</v>
      </c>
    </row>
    <row r="4435" spans="1:25" x14ac:dyDescent="0.2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 t="shared" si="276"/>
        <v>0</v>
      </c>
      <c r="W4435">
        <f t="shared" si="277"/>
        <v>1</v>
      </c>
      <c r="X4435" t="str">
        <f t="shared" si="278"/>
        <v>0-12 Months</v>
      </c>
      <c r="Y4435" s="1" t="str">
        <f t="shared" si="279"/>
        <v>Medium</v>
      </c>
    </row>
    <row r="4436" spans="1:25" x14ac:dyDescent="0.2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 t="shared" si="276"/>
        <v>0</v>
      </c>
      <c r="W4436">
        <f t="shared" si="277"/>
        <v>1</v>
      </c>
      <c r="X4436" t="str">
        <f t="shared" si="278"/>
        <v>13-24 Months</v>
      </c>
      <c r="Y4436" s="1" t="str">
        <f t="shared" si="279"/>
        <v>High</v>
      </c>
    </row>
    <row r="4437" spans="1:25" x14ac:dyDescent="0.2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 t="shared" si="276"/>
        <v>0</v>
      </c>
      <c r="W4437">
        <f t="shared" si="277"/>
        <v>1</v>
      </c>
      <c r="X4437" t="str">
        <f t="shared" si="278"/>
        <v>13-24 Months</v>
      </c>
      <c r="Y4437" s="1" t="str">
        <f t="shared" si="279"/>
        <v>High</v>
      </c>
    </row>
    <row r="4438" spans="1:25" x14ac:dyDescent="0.2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 t="shared" si="276"/>
        <v>0</v>
      </c>
      <c r="W4438">
        <f t="shared" si="277"/>
        <v>1</v>
      </c>
      <c r="X4438" t="str">
        <f t="shared" si="278"/>
        <v>13-24 Months</v>
      </c>
      <c r="Y4438" s="1" t="str">
        <f t="shared" si="279"/>
        <v>Medium</v>
      </c>
    </row>
    <row r="4439" spans="1:25" x14ac:dyDescent="0.2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 t="shared" si="276"/>
        <v>0</v>
      </c>
      <c r="W4439">
        <f t="shared" si="277"/>
        <v>1</v>
      </c>
      <c r="X4439" t="str">
        <f t="shared" si="278"/>
        <v>49+ Months</v>
      </c>
      <c r="Y4439" s="1" t="str">
        <f t="shared" si="279"/>
        <v>High</v>
      </c>
    </row>
    <row r="4440" spans="1:25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 t="shared" si="276"/>
        <v>0</v>
      </c>
      <c r="W4440">
        <f t="shared" si="277"/>
        <v>1</v>
      </c>
      <c r="X4440" t="str">
        <f t="shared" si="278"/>
        <v>49+ Months</v>
      </c>
      <c r="Y4440" s="1" t="str">
        <f t="shared" si="279"/>
        <v>Low</v>
      </c>
    </row>
    <row r="4441" spans="1:25" x14ac:dyDescent="0.2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 t="shared" si="276"/>
        <v>0</v>
      </c>
      <c r="W4441">
        <f t="shared" si="277"/>
        <v>1</v>
      </c>
      <c r="X4441" t="str">
        <f t="shared" si="278"/>
        <v>25-48 Months</v>
      </c>
      <c r="Y4441" s="1" t="str">
        <f t="shared" si="279"/>
        <v>Low</v>
      </c>
    </row>
    <row r="4442" spans="1:25" x14ac:dyDescent="0.2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 t="shared" si="276"/>
        <v>0</v>
      </c>
      <c r="W4442">
        <f t="shared" si="277"/>
        <v>1</v>
      </c>
      <c r="X4442" t="str">
        <f t="shared" si="278"/>
        <v>25-48 Months</v>
      </c>
      <c r="Y4442" s="1" t="str">
        <f t="shared" si="279"/>
        <v>Medium</v>
      </c>
    </row>
    <row r="4443" spans="1:25" x14ac:dyDescent="0.2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 t="shared" si="276"/>
        <v>0</v>
      </c>
      <c r="W4443">
        <f t="shared" si="277"/>
        <v>1</v>
      </c>
      <c r="X4443" t="str">
        <f t="shared" si="278"/>
        <v>25-48 Months</v>
      </c>
      <c r="Y4443" s="1" t="str">
        <f t="shared" si="279"/>
        <v>Low</v>
      </c>
    </row>
    <row r="4444" spans="1:25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 t="shared" si="276"/>
        <v>1</v>
      </c>
      <c r="W4444">
        <f t="shared" si="277"/>
        <v>0</v>
      </c>
      <c r="X4444" t="str">
        <f t="shared" si="278"/>
        <v>0-12 Months</v>
      </c>
      <c r="Y4444" s="1" t="str">
        <f t="shared" si="279"/>
        <v>Medium</v>
      </c>
    </row>
    <row r="4445" spans="1:25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 t="shared" si="276"/>
        <v>0</v>
      </c>
      <c r="W4445">
        <f t="shared" si="277"/>
        <v>1</v>
      </c>
      <c r="X4445" t="str">
        <f t="shared" si="278"/>
        <v>0-12 Months</v>
      </c>
      <c r="Y4445" s="1" t="str">
        <f t="shared" si="279"/>
        <v>Low</v>
      </c>
    </row>
    <row r="4446" spans="1:25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 t="shared" si="276"/>
        <v>1</v>
      </c>
      <c r="W4446">
        <f t="shared" si="277"/>
        <v>0</v>
      </c>
      <c r="X4446" t="str">
        <f t="shared" si="278"/>
        <v>0-12 Months</v>
      </c>
      <c r="Y4446" s="1" t="str">
        <f t="shared" si="279"/>
        <v>Low</v>
      </c>
    </row>
    <row r="4447" spans="1:25" x14ac:dyDescent="0.2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 t="shared" si="276"/>
        <v>0</v>
      </c>
      <c r="W4447">
        <f t="shared" si="277"/>
        <v>1</v>
      </c>
      <c r="X4447" t="str">
        <f t="shared" si="278"/>
        <v>49+ Months</v>
      </c>
      <c r="Y4447" s="1" t="str">
        <f t="shared" si="279"/>
        <v>High</v>
      </c>
    </row>
    <row r="4448" spans="1:25" x14ac:dyDescent="0.2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 t="shared" si="276"/>
        <v>1</v>
      </c>
      <c r="W4448">
        <f t="shared" si="277"/>
        <v>0</v>
      </c>
      <c r="X4448" t="str">
        <f t="shared" si="278"/>
        <v>0-12 Months</v>
      </c>
      <c r="Y4448" s="1" t="str">
        <f t="shared" si="279"/>
        <v>Medium</v>
      </c>
    </row>
    <row r="4449" spans="1:25" x14ac:dyDescent="0.2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 t="shared" si="276"/>
        <v>0</v>
      </c>
      <c r="W4449">
        <f t="shared" si="277"/>
        <v>1</v>
      </c>
      <c r="X4449" t="str">
        <f t="shared" si="278"/>
        <v>49+ Months</v>
      </c>
      <c r="Y4449" s="1" t="str">
        <f t="shared" si="279"/>
        <v>High</v>
      </c>
    </row>
    <row r="4450" spans="1:25" x14ac:dyDescent="0.2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 t="shared" si="276"/>
        <v>1</v>
      </c>
      <c r="W4450">
        <f t="shared" si="277"/>
        <v>0</v>
      </c>
      <c r="X4450" t="str">
        <f t="shared" si="278"/>
        <v>25-48 Months</v>
      </c>
      <c r="Y4450" s="1" t="str">
        <f t="shared" si="279"/>
        <v>High</v>
      </c>
    </row>
    <row r="4451" spans="1:25" x14ac:dyDescent="0.2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 t="shared" si="276"/>
        <v>0</v>
      </c>
      <c r="W4451">
        <f t="shared" si="277"/>
        <v>1</v>
      </c>
      <c r="X4451" t="str">
        <f t="shared" si="278"/>
        <v>49+ Months</v>
      </c>
      <c r="Y4451" s="1" t="str">
        <f t="shared" si="279"/>
        <v>High</v>
      </c>
    </row>
    <row r="4452" spans="1:25" x14ac:dyDescent="0.2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 t="shared" si="276"/>
        <v>1</v>
      </c>
      <c r="W4452">
        <f t="shared" si="277"/>
        <v>0</v>
      </c>
      <c r="X4452" t="str">
        <f t="shared" si="278"/>
        <v>13-24 Months</v>
      </c>
      <c r="Y4452" s="1" t="str">
        <f t="shared" si="279"/>
        <v>Medium</v>
      </c>
    </row>
    <row r="4453" spans="1:25" x14ac:dyDescent="0.2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 t="shared" si="276"/>
        <v>0</v>
      </c>
      <c r="W4453">
        <f t="shared" si="277"/>
        <v>1</v>
      </c>
      <c r="X4453" t="str">
        <f t="shared" si="278"/>
        <v>25-48 Months</v>
      </c>
      <c r="Y4453" s="1" t="str">
        <f t="shared" si="279"/>
        <v>High</v>
      </c>
    </row>
    <row r="4454" spans="1:25" x14ac:dyDescent="0.2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 t="shared" si="276"/>
        <v>0</v>
      </c>
      <c r="W4454">
        <f t="shared" si="277"/>
        <v>1</v>
      </c>
      <c r="X4454" t="str">
        <f t="shared" si="278"/>
        <v>49+ Months</v>
      </c>
      <c r="Y4454" s="1" t="str">
        <f t="shared" si="279"/>
        <v>High</v>
      </c>
    </row>
    <row r="4455" spans="1:25" x14ac:dyDescent="0.2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 t="shared" si="276"/>
        <v>1</v>
      </c>
      <c r="W4455">
        <f t="shared" si="277"/>
        <v>0</v>
      </c>
      <c r="X4455" t="str">
        <f t="shared" si="278"/>
        <v>0-12 Months</v>
      </c>
      <c r="Y4455" s="1" t="str">
        <f t="shared" si="279"/>
        <v>High</v>
      </c>
    </row>
    <row r="4456" spans="1:25" x14ac:dyDescent="0.2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 t="shared" si="276"/>
        <v>0</v>
      </c>
      <c r="W4456">
        <f t="shared" si="277"/>
        <v>1</v>
      </c>
      <c r="X4456" t="str">
        <f t="shared" si="278"/>
        <v>0-12 Months</v>
      </c>
      <c r="Y4456" s="1" t="str">
        <f t="shared" si="279"/>
        <v>Low</v>
      </c>
    </row>
    <row r="4457" spans="1:25" x14ac:dyDescent="0.2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 t="shared" si="276"/>
        <v>1</v>
      </c>
      <c r="W4457">
        <f t="shared" si="277"/>
        <v>0</v>
      </c>
      <c r="X4457" t="str">
        <f t="shared" si="278"/>
        <v>0-12 Months</v>
      </c>
      <c r="Y4457" s="1" t="str">
        <f t="shared" si="279"/>
        <v>Medium</v>
      </c>
    </row>
    <row r="4458" spans="1:25" x14ac:dyDescent="0.2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 t="shared" si="276"/>
        <v>0</v>
      </c>
      <c r="W4458">
        <f t="shared" si="277"/>
        <v>1</v>
      </c>
      <c r="X4458" t="str">
        <f t="shared" si="278"/>
        <v>49+ Months</v>
      </c>
      <c r="Y4458" s="1" t="str">
        <f t="shared" si="279"/>
        <v>Low</v>
      </c>
    </row>
    <row r="4459" spans="1:25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 t="shared" si="276"/>
        <v>0</v>
      </c>
      <c r="W4459">
        <f t="shared" si="277"/>
        <v>1</v>
      </c>
      <c r="X4459" t="str">
        <f t="shared" si="278"/>
        <v>13-24 Months</v>
      </c>
      <c r="Y4459" s="1" t="str">
        <f t="shared" si="279"/>
        <v>Medium</v>
      </c>
    </row>
    <row r="4460" spans="1:25" x14ac:dyDescent="0.2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 t="shared" si="276"/>
        <v>1</v>
      </c>
      <c r="W4460">
        <f t="shared" si="277"/>
        <v>0</v>
      </c>
      <c r="X4460" t="str">
        <f t="shared" si="278"/>
        <v>25-48 Months</v>
      </c>
      <c r="Y4460" s="1" t="str">
        <f t="shared" si="279"/>
        <v>High</v>
      </c>
    </row>
    <row r="4461" spans="1:25" x14ac:dyDescent="0.2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 t="shared" si="276"/>
        <v>1</v>
      </c>
      <c r="W4461">
        <f t="shared" si="277"/>
        <v>0</v>
      </c>
      <c r="X4461" t="str">
        <f t="shared" si="278"/>
        <v>0-12 Months</v>
      </c>
      <c r="Y4461" s="1" t="str">
        <f t="shared" si="279"/>
        <v>High</v>
      </c>
    </row>
    <row r="4462" spans="1:25" x14ac:dyDescent="0.2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 t="shared" si="276"/>
        <v>0</v>
      </c>
      <c r="W4462">
        <f t="shared" si="277"/>
        <v>1</v>
      </c>
      <c r="X4462" t="str">
        <f t="shared" si="278"/>
        <v>13-24 Months</v>
      </c>
      <c r="Y4462" s="1" t="str">
        <f t="shared" si="279"/>
        <v>Medium</v>
      </c>
    </row>
    <row r="4463" spans="1:25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 t="shared" si="276"/>
        <v>0</v>
      </c>
      <c r="W4463">
        <f t="shared" si="277"/>
        <v>1</v>
      </c>
      <c r="X4463" t="str">
        <f t="shared" si="278"/>
        <v>25-48 Months</v>
      </c>
      <c r="Y4463" s="1" t="str">
        <f t="shared" si="279"/>
        <v>High</v>
      </c>
    </row>
    <row r="4464" spans="1:25" x14ac:dyDescent="0.2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 t="shared" si="276"/>
        <v>1</v>
      </c>
      <c r="W4464">
        <f t="shared" si="277"/>
        <v>0</v>
      </c>
      <c r="X4464" t="str">
        <f t="shared" si="278"/>
        <v>13-24 Months</v>
      </c>
      <c r="Y4464" s="1" t="str">
        <f t="shared" si="279"/>
        <v>High</v>
      </c>
    </row>
    <row r="4465" spans="1:25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 t="shared" si="276"/>
        <v>1</v>
      </c>
      <c r="W4465">
        <f t="shared" si="277"/>
        <v>0</v>
      </c>
      <c r="X4465" t="str">
        <f t="shared" si="278"/>
        <v>0-12 Months</v>
      </c>
      <c r="Y4465" s="1" t="str">
        <f t="shared" si="279"/>
        <v>Medium</v>
      </c>
    </row>
    <row r="4466" spans="1:25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 t="shared" si="276"/>
        <v>1</v>
      </c>
      <c r="W4466">
        <f t="shared" si="277"/>
        <v>0</v>
      </c>
      <c r="X4466" t="str">
        <f t="shared" si="278"/>
        <v>0-12 Months</v>
      </c>
      <c r="Y4466" s="1" t="str">
        <f t="shared" si="279"/>
        <v>High</v>
      </c>
    </row>
    <row r="4467" spans="1:25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 t="shared" si="276"/>
        <v>0</v>
      </c>
      <c r="W4467">
        <f t="shared" si="277"/>
        <v>1</v>
      </c>
      <c r="X4467" t="str">
        <f t="shared" si="278"/>
        <v>25-48 Months</v>
      </c>
      <c r="Y4467" s="1" t="str">
        <f t="shared" si="279"/>
        <v>Medium</v>
      </c>
    </row>
    <row r="4468" spans="1:25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 t="shared" si="276"/>
        <v>1</v>
      </c>
      <c r="W4468">
        <f t="shared" si="277"/>
        <v>0</v>
      </c>
      <c r="X4468" t="str">
        <f t="shared" si="278"/>
        <v>0-12 Months</v>
      </c>
      <c r="Y4468" s="1" t="str">
        <f t="shared" si="279"/>
        <v>Medium</v>
      </c>
    </row>
    <row r="4469" spans="1:25" x14ac:dyDescent="0.2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 t="shared" si="276"/>
        <v>0</v>
      </c>
      <c r="W4469">
        <f t="shared" si="277"/>
        <v>1</v>
      </c>
      <c r="X4469" t="str">
        <f t="shared" si="278"/>
        <v>25-48 Months</v>
      </c>
      <c r="Y4469" s="1" t="str">
        <f t="shared" si="279"/>
        <v>Medium</v>
      </c>
    </row>
    <row r="4470" spans="1:25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 t="shared" si="276"/>
        <v>1</v>
      </c>
      <c r="W4470">
        <f t="shared" si="277"/>
        <v>0</v>
      </c>
      <c r="X4470" t="str">
        <f t="shared" si="278"/>
        <v>13-24 Months</v>
      </c>
      <c r="Y4470" s="1" t="str">
        <f t="shared" si="279"/>
        <v>Low</v>
      </c>
    </row>
    <row r="4471" spans="1:25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 t="shared" si="276"/>
        <v>0</v>
      </c>
      <c r="W4471">
        <f t="shared" si="277"/>
        <v>1</v>
      </c>
      <c r="X4471" t="str">
        <f t="shared" si="278"/>
        <v>49+ Months</v>
      </c>
      <c r="Y4471" s="1" t="str">
        <f t="shared" si="279"/>
        <v>High</v>
      </c>
    </row>
    <row r="4472" spans="1:25" x14ac:dyDescent="0.2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 t="shared" si="276"/>
        <v>0</v>
      </c>
      <c r="W4472">
        <f t="shared" si="277"/>
        <v>1</v>
      </c>
      <c r="X4472" t="str">
        <f t="shared" si="278"/>
        <v>0-12 Months</v>
      </c>
      <c r="Y4472" s="1" t="str">
        <f t="shared" si="279"/>
        <v>Low</v>
      </c>
    </row>
    <row r="4473" spans="1:25" x14ac:dyDescent="0.2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 t="shared" si="276"/>
        <v>1</v>
      </c>
      <c r="W4473">
        <f t="shared" si="277"/>
        <v>0</v>
      </c>
      <c r="X4473" t="str">
        <f t="shared" si="278"/>
        <v>25-48 Months</v>
      </c>
      <c r="Y4473" s="1" t="str">
        <f t="shared" si="279"/>
        <v>High</v>
      </c>
    </row>
    <row r="4474" spans="1:25" x14ac:dyDescent="0.2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 t="shared" si="276"/>
        <v>0</v>
      </c>
      <c r="W4474">
        <f t="shared" si="277"/>
        <v>1</v>
      </c>
      <c r="X4474" t="str">
        <f t="shared" si="278"/>
        <v>49+ Months</v>
      </c>
      <c r="Y4474" s="1" t="str">
        <f t="shared" si="279"/>
        <v>High</v>
      </c>
    </row>
    <row r="4475" spans="1:25" x14ac:dyDescent="0.2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 t="shared" si="276"/>
        <v>0</v>
      </c>
      <c r="W4475">
        <f t="shared" si="277"/>
        <v>1</v>
      </c>
      <c r="X4475" t="str">
        <f t="shared" si="278"/>
        <v>25-48 Months</v>
      </c>
      <c r="Y4475" s="1" t="str">
        <f t="shared" si="279"/>
        <v>High</v>
      </c>
    </row>
    <row r="4476" spans="1:25" x14ac:dyDescent="0.2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 t="shared" si="276"/>
        <v>0</v>
      </c>
      <c r="W4476">
        <f t="shared" si="277"/>
        <v>1</v>
      </c>
      <c r="X4476" t="str">
        <f t="shared" si="278"/>
        <v>49+ Months</v>
      </c>
      <c r="Y4476" s="1" t="str">
        <f t="shared" si="279"/>
        <v>Medium</v>
      </c>
    </row>
    <row r="4477" spans="1:25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 t="shared" si="276"/>
        <v>0</v>
      </c>
      <c r="W4477">
        <f t="shared" si="277"/>
        <v>1</v>
      </c>
      <c r="X4477" t="str">
        <f t="shared" si="278"/>
        <v>0-12 Months</v>
      </c>
      <c r="Y4477" s="1" t="str">
        <f t="shared" si="279"/>
        <v>Low</v>
      </c>
    </row>
    <row r="4478" spans="1:25" x14ac:dyDescent="0.2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 t="shared" si="276"/>
        <v>1</v>
      </c>
      <c r="W4478">
        <f t="shared" si="277"/>
        <v>0</v>
      </c>
      <c r="X4478" t="str">
        <f t="shared" si="278"/>
        <v>0-12 Months</v>
      </c>
      <c r="Y4478" s="1" t="str">
        <f t="shared" si="279"/>
        <v>Low</v>
      </c>
    </row>
    <row r="4479" spans="1:25" x14ac:dyDescent="0.2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 t="shared" si="276"/>
        <v>0</v>
      </c>
      <c r="W4479">
        <f t="shared" si="277"/>
        <v>1</v>
      </c>
      <c r="X4479" t="str">
        <f t="shared" si="278"/>
        <v>13-24 Months</v>
      </c>
      <c r="Y4479" s="1" t="str">
        <f t="shared" si="279"/>
        <v>Low</v>
      </c>
    </row>
    <row r="4480" spans="1:25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 t="shared" si="276"/>
        <v>0</v>
      </c>
      <c r="W4480">
        <f t="shared" si="277"/>
        <v>1</v>
      </c>
      <c r="X4480" t="str">
        <f t="shared" si="278"/>
        <v>0-12 Months</v>
      </c>
      <c r="Y4480" s="1" t="str">
        <f t="shared" si="279"/>
        <v>Medium</v>
      </c>
    </row>
    <row r="4481" spans="1:25" x14ac:dyDescent="0.2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 t="shared" si="276"/>
        <v>0</v>
      </c>
      <c r="W4481">
        <f t="shared" si="277"/>
        <v>1</v>
      </c>
      <c r="X4481" t="str">
        <f t="shared" si="278"/>
        <v>49+ Months</v>
      </c>
      <c r="Y4481" s="1" t="str">
        <f t="shared" si="279"/>
        <v>Low</v>
      </c>
    </row>
    <row r="4482" spans="1:25" x14ac:dyDescent="0.2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 t="shared" ref="V4482:V4545" si="280">IF(U4482="Yes",1,0)</f>
        <v>1</v>
      </c>
      <c r="W4482">
        <f t="shared" ref="W4482:W4545" si="281">IF(U4482="No",1,0)</f>
        <v>0</v>
      </c>
      <c r="X4482" t="str">
        <f t="shared" ref="X4482:X4545" si="282">IF(F4482&lt;=12,"0-12 Months",IF(F4482&lt;=24,"13-24 Months",IF(F4482&lt;=48,"25-48 Months","49+ Months")))</f>
        <v>0-12 Months</v>
      </c>
      <c r="Y4482" s="1" t="str">
        <f t="shared" ref="Y4482:Y4545" si="283">IF(S4482&lt;50,"Low",IF(S4482&lt;80,"Medium","High"))</f>
        <v>Medium</v>
      </c>
    </row>
    <row r="4483" spans="1:25" x14ac:dyDescent="0.2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 t="shared" si="280"/>
        <v>0</v>
      </c>
      <c r="W4483">
        <f t="shared" si="281"/>
        <v>1</v>
      </c>
      <c r="X4483" t="str">
        <f t="shared" si="282"/>
        <v>25-48 Months</v>
      </c>
      <c r="Y4483" s="1" t="str">
        <f t="shared" si="283"/>
        <v>Low</v>
      </c>
    </row>
    <row r="4484" spans="1:25" x14ac:dyDescent="0.2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 t="shared" si="280"/>
        <v>1</v>
      </c>
      <c r="W4484">
        <f t="shared" si="281"/>
        <v>0</v>
      </c>
      <c r="X4484" t="str">
        <f t="shared" si="282"/>
        <v>0-12 Months</v>
      </c>
      <c r="Y4484" s="1" t="str">
        <f t="shared" si="283"/>
        <v>Medium</v>
      </c>
    </row>
    <row r="4485" spans="1:25" x14ac:dyDescent="0.2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 t="shared" si="280"/>
        <v>0</v>
      </c>
      <c r="W4485">
        <f t="shared" si="281"/>
        <v>1</v>
      </c>
      <c r="X4485" t="str">
        <f t="shared" si="282"/>
        <v>49+ Months</v>
      </c>
      <c r="Y4485" s="1" t="str">
        <f t="shared" si="283"/>
        <v>Low</v>
      </c>
    </row>
    <row r="4486" spans="1:25" x14ac:dyDescent="0.2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 t="shared" si="280"/>
        <v>0</v>
      </c>
      <c r="W4486">
        <f t="shared" si="281"/>
        <v>1</v>
      </c>
      <c r="X4486" t="str">
        <f t="shared" si="282"/>
        <v>0-12 Months</v>
      </c>
      <c r="Y4486" s="1" t="str">
        <f t="shared" si="283"/>
        <v>Medium</v>
      </c>
    </row>
    <row r="4487" spans="1:25" x14ac:dyDescent="0.2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 t="shared" si="280"/>
        <v>0</v>
      </c>
      <c r="W4487">
        <f t="shared" si="281"/>
        <v>1</v>
      </c>
      <c r="X4487" t="str">
        <f t="shared" si="282"/>
        <v>49+ Months</v>
      </c>
      <c r="Y4487" s="1" t="str">
        <f t="shared" si="283"/>
        <v>High</v>
      </c>
    </row>
    <row r="4488" spans="1:25" x14ac:dyDescent="0.2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 t="shared" si="280"/>
        <v>0</v>
      </c>
      <c r="W4488">
        <f t="shared" si="281"/>
        <v>1</v>
      </c>
      <c r="X4488" t="str">
        <f t="shared" si="282"/>
        <v>49+ Months</v>
      </c>
      <c r="Y4488" s="1" t="str">
        <f t="shared" si="283"/>
        <v>High</v>
      </c>
    </row>
    <row r="4489" spans="1:25" x14ac:dyDescent="0.2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 t="shared" si="280"/>
        <v>0</v>
      </c>
      <c r="W4489">
        <f t="shared" si="281"/>
        <v>1</v>
      </c>
      <c r="X4489" t="str">
        <f t="shared" si="282"/>
        <v>0-12 Months</v>
      </c>
      <c r="Y4489" s="1" t="str">
        <f t="shared" si="283"/>
        <v>Low</v>
      </c>
    </row>
    <row r="4490" spans="1:25" x14ac:dyDescent="0.2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 t="shared" si="280"/>
        <v>1</v>
      </c>
      <c r="W4490">
        <f t="shared" si="281"/>
        <v>0</v>
      </c>
      <c r="X4490" t="str">
        <f t="shared" si="282"/>
        <v>25-48 Months</v>
      </c>
      <c r="Y4490" s="1" t="str">
        <f t="shared" si="283"/>
        <v>Medium</v>
      </c>
    </row>
    <row r="4491" spans="1:25" x14ac:dyDescent="0.2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 t="shared" si="280"/>
        <v>0</v>
      </c>
      <c r="W4491">
        <f t="shared" si="281"/>
        <v>1</v>
      </c>
      <c r="X4491" t="str">
        <f t="shared" si="282"/>
        <v>49+ Months</v>
      </c>
      <c r="Y4491" s="1" t="str">
        <f t="shared" si="283"/>
        <v>Medium</v>
      </c>
    </row>
    <row r="4492" spans="1:25" x14ac:dyDescent="0.2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 t="shared" si="280"/>
        <v>0</v>
      </c>
      <c r="W4492">
        <f t="shared" si="281"/>
        <v>1</v>
      </c>
      <c r="X4492" t="str">
        <f t="shared" si="282"/>
        <v>49+ Months</v>
      </c>
      <c r="Y4492" s="1" t="str">
        <f t="shared" si="283"/>
        <v>High</v>
      </c>
    </row>
    <row r="4493" spans="1:25" x14ac:dyDescent="0.2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 t="shared" si="280"/>
        <v>0</v>
      </c>
      <c r="W4493">
        <f t="shared" si="281"/>
        <v>1</v>
      </c>
      <c r="X4493" t="str">
        <f t="shared" si="282"/>
        <v>0-12 Months</v>
      </c>
      <c r="Y4493" s="1" t="str">
        <f t="shared" si="283"/>
        <v>Low</v>
      </c>
    </row>
    <row r="4494" spans="1:25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 t="shared" si="280"/>
        <v>0</v>
      </c>
      <c r="W4494">
        <f t="shared" si="281"/>
        <v>1</v>
      </c>
      <c r="X4494" t="str">
        <f t="shared" si="282"/>
        <v>49+ Months</v>
      </c>
      <c r="Y4494" s="1" t="str">
        <f t="shared" si="283"/>
        <v>Low</v>
      </c>
    </row>
    <row r="4495" spans="1:25" x14ac:dyDescent="0.2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 t="shared" si="280"/>
        <v>0</v>
      </c>
      <c r="W4495">
        <f t="shared" si="281"/>
        <v>1</v>
      </c>
      <c r="X4495" t="str">
        <f t="shared" si="282"/>
        <v>13-24 Months</v>
      </c>
      <c r="Y4495" s="1" t="str">
        <f t="shared" si="283"/>
        <v>Low</v>
      </c>
    </row>
    <row r="4496" spans="1:25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 t="shared" si="280"/>
        <v>0</v>
      </c>
      <c r="W4496">
        <f t="shared" si="281"/>
        <v>1</v>
      </c>
      <c r="X4496" t="str">
        <f t="shared" si="282"/>
        <v>0-12 Months</v>
      </c>
      <c r="Y4496" s="1" t="str">
        <f t="shared" si="283"/>
        <v>High</v>
      </c>
    </row>
    <row r="4497" spans="1:25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 t="shared" si="280"/>
        <v>1</v>
      </c>
      <c r="W4497">
        <f t="shared" si="281"/>
        <v>0</v>
      </c>
      <c r="X4497" t="str">
        <f t="shared" si="282"/>
        <v>0-12 Months</v>
      </c>
      <c r="Y4497" s="1" t="str">
        <f t="shared" si="283"/>
        <v>Medium</v>
      </c>
    </row>
    <row r="4498" spans="1:25" x14ac:dyDescent="0.2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 t="shared" si="280"/>
        <v>0</v>
      </c>
      <c r="W4498">
        <f t="shared" si="281"/>
        <v>1</v>
      </c>
      <c r="X4498" t="str">
        <f t="shared" si="282"/>
        <v>49+ Months</v>
      </c>
      <c r="Y4498" s="1" t="str">
        <f t="shared" si="283"/>
        <v>High</v>
      </c>
    </row>
    <row r="4499" spans="1:25" x14ac:dyDescent="0.2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 t="shared" si="280"/>
        <v>0</v>
      </c>
      <c r="W4499">
        <f t="shared" si="281"/>
        <v>1</v>
      </c>
      <c r="X4499" t="str">
        <f t="shared" si="282"/>
        <v>49+ Months</v>
      </c>
      <c r="Y4499" s="1" t="str">
        <f t="shared" si="283"/>
        <v>High</v>
      </c>
    </row>
    <row r="4500" spans="1:25" x14ac:dyDescent="0.2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 t="shared" si="280"/>
        <v>0</v>
      </c>
      <c r="W4500">
        <f t="shared" si="281"/>
        <v>1</v>
      </c>
      <c r="X4500" t="str">
        <f t="shared" si="282"/>
        <v>0-12 Months</v>
      </c>
      <c r="Y4500" s="1" t="str">
        <f t="shared" si="283"/>
        <v>Low</v>
      </c>
    </row>
    <row r="4501" spans="1:25" x14ac:dyDescent="0.2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 t="shared" si="280"/>
        <v>1</v>
      </c>
      <c r="W4501">
        <f t="shared" si="281"/>
        <v>0</v>
      </c>
      <c r="X4501" t="str">
        <f t="shared" si="282"/>
        <v>0-12 Months</v>
      </c>
      <c r="Y4501" s="1" t="str">
        <f t="shared" si="283"/>
        <v>Medium</v>
      </c>
    </row>
    <row r="4502" spans="1:25" x14ac:dyDescent="0.2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 t="shared" si="280"/>
        <v>0</v>
      </c>
      <c r="W4502">
        <f t="shared" si="281"/>
        <v>1</v>
      </c>
      <c r="X4502" t="str">
        <f t="shared" si="282"/>
        <v>49+ Months</v>
      </c>
      <c r="Y4502" s="1" t="str">
        <f t="shared" si="283"/>
        <v>High</v>
      </c>
    </row>
    <row r="4503" spans="1:25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 t="shared" si="280"/>
        <v>0</v>
      </c>
      <c r="W4503">
        <f t="shared" si="281"/>
        <v>1</v>
      </c>
      <c r="X4503" t="str">
        <f t="shared" si="282"/>
        <v>25-48 Months</v>
      </c>
      <c r="Y4503" s="1" t="str">
        <f t="shared" si="283"/>
        <v>Low</v>
      </c>
    </row>
    <row r="4504" spans="1:25" x14ac:dyDescent="0.2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 t="shared" si="280"/>
        <v>1</v>
      </c>
      <c r="W4504">
        <f t="shared" si="281"/>
        <v>0</v>
      </c>
      <c r="X4504" t="str">
        <f t="shared" si="282"/>
        <v>49+ Months</v>
      </c>
      <c r="Y4504" s="1" t="str">
        <f t="shared" si="283"/>
        <v>High</v>
      </c>
    </row>
    <row r="4505" spans="1:25" x14ac:dyDescent="0.2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 t="shared" si="280"/>
        <v>1</v>
      </c>
      <c r="W4505">
        <f t="shared" si="281"/>
        <v>0</v>
      </c>
      <c r="X4505" t="str">
        <f t="shared" si="282"/>
        <v>13-24 Months</v>
      </c>
      <c r="Y4505" s="1" t="str">
        <f t="shared" si="283"/>
        <v>High</v>
      </c>
    </row>
    <row r="4506" spans="1:25" x14ac:dyDescent="0.2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 t="shared" si="280"/>
        <v>0</v>
      </c>
      <c r="W4506">
        <f t="shared" si="281"/>
        <v>1</v>
      </c>
      <c r="X4506" t="str">
        <f t="shared" si="282"/>
        <v>25-48 Months</v>
      </c>
      <c r="Y4506" s="1" t="str">
        <f t="shared" si="283"/>
        <v>Low</v>
      </c>
    </row>
    <row r="4507" spans="1:25" x14ac:dyDescent="0.2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 t="shared" si="280"/>
        <v>0</v>
      </c>
      <c r="W4507">
        <f t="shared" si="281"/>
        <v>1</v>
      </c>
      <c r="X4507" t="str">
        <f t="shared" si="282"/>
        <v>49+ Months</v>
      </c>
      <c r="Y4507" s="1" t="str">
        <f t="shared" si="283"/>
        <v>Low</v>
      </c>
    </row>
    <row r="4508" spans="1:25" x14ac:dyDescent="0.2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 t="shared" si="280"/>
        <v>0</v>
      </c>
      <c r="W4508">
        <f t="shared" si="281"/>
        <v>1</v>
      </c>
      <c r="X4508" t="str">
        <f t="shared" si="282"/>
        <v>49+ Months</v>
      </c>
      <c r="Y4508" s="1" t="str">
        <f t="shared" si="283"/>
        <v>Medium</v>
      </c>
    </row>
    <row r="4509" spans="1:25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 t="shared" si="280"/>
        <v>0</v>
      </c>
      <c r="W4509">
        <f t="shared" si="281"/>
        <v>1</v>
      </c>
      <c r="X4509" t="str">
        <f t="shared" si="282"/>
        <v>0-12 Months</v>
      </c>
      <c r="Y4509" s="1" t="str">
        <f t="shared" si="283"/>
        <v>Medium</v>
      </c>
    </row>
    <row r="4510" spans="1:25" x14ac:dyDescent="0.2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 t="shared" si="280"/>
        <v>0</v>
      </c>
      <c r="W4510">
        <f t="shared" si="281"/>
        <v>1</v>
      </c>
      <c r="X4510" t="str">
        <f t="shared" si="282"/>
        <v>13-24 Months</v>
      </c>
      <c r="Y4510" s="1" t="str">
        <f t="shared" si="283"/>
        <v>Low</v>
      </c>
    </row>
    <row r="4511" spans="1:25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 t="shared" si="280"/>
        <v>1</v>
      </c>
      <c r="W4511">
        <f t="shared" si="281"/>
        <v>0</v>
      </c>
      <c r="X4511" t="str">
        <f t="shared" si="282"/>
        <v>0-12 Months</v>
      </c>
      <c r="Y4511" s="1" t="str">
        <f t="shared" si="283"/>
        <v>High</v>
      </c>
    </row>
    <row r="4512" spans="1:25" x14ac:dyDescent="0.2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 t="shared" si="280"/>
        <v>0</v>
      </c>
      <c r="W4512">
        <f t="shared" si="281"/>
        <v>1</v>
      </c>
      <c r="X4512" t="str">
        <f t="shared" si="282"/>
        <v>25-48 Months</v>
      </c>
      <c r="Y4512" s="1" t="str">
        <f t="shared" si="283"/>
        <v>Medium</v>
      </c>
    </row>
    <row r="4513" spans="1:25" x14ac:dyDescent="0.2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 t="shared" si="280"/>
        <v>0</v>
      </c>
      <c r="W4513">
        <f t="shared" si="281"/>
        <v>1</v>
      </c>
      <c r="X4513" t="str">
        <f t="shared" si="282"/>
        <v>13-24 Months</v>
      </c>
      <c r="Y4513" s="1" t="str">
        <f t="shared" si="283"/>
        <v>High</v>
      </c>
    </row>
    <row r="4514" spans="1:25" x14ac:dyDescent="0.2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 t="shared" si="280"/>
        <v>0</v>
      </c>
      <c r="W4514">
        <f t="shared" si="281"/>
        <v>1</v>
      </c>
      <c r="X4514" t="str">
        <f t="shared" si="282"/>
        <v>49+ Months</v>
      </c>
      <c r="Y4514" s="1" t="str">
        <f t="shared" si="283"/>
        <v>Medium</v>
      </c>
    </row>
    <row r="4515" spans="1:25" x14ac:dyDescent="0.2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 t="shared" si="280"/>
        <v>1</v>
      </c>
      <c r="W4515">
        <f t="shared" si="281"/>
        <v>0</v>
      </c>
      <c r="X4515" t="str">
        <f t="shared" si="282"/>
        <v>49+ Months</v>
      </c>
      <c r="Y4515" s="1" t="str">
        <f t="shared" si="283"/>
        <v>High</v>
      </c>
    </row>
    <row r="4516" spans="1:25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 t="shared" si="280"/>
        <v>0</v>
      </c>
      <c r="W4516">
        <f t="shared" si="281"/>
        <v>1</v>
      </c>
      <c r="X4516" t="str">
        <f t="shared" si="282"/>
        <v>25-48 Months</v>
      </c>
      <c r="Y4516" s="1" t="str">
        <f t="shared" si="283"/>
        <v>High</v>
      </c>
    </row>
    <row r="4517" spans="1:25" x14ac:dyDescent="0.2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 t="shared" si="280"/>
        <v>0</v>
      </c>
      <c r="W4517">
        <f t="shared" si="281"/>
        <v>1</v>
      </c>
      <c r="X4517" t="str">
        <f t="shared" si="282"/>
        <v>13-24 Months</v>
      </c>
      <c r="Y4517" s="1" t="str">
        <f t="shared" si="283"/>
        <v>High</v>
      </c>
    </row>
    <row r="4518" spans="1:25" x14ac:dyDescent="0.2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 t="shared" si="280"/>
        <v>0</v>
      </c>
      <c r="W4518">
        <f t="shared" si="281"/>
        <v>1</v>
      </c>
      <c r="X4518" t="str">
        <f t="shared" si="282"/>
        <v>49+ Months</v>
      </c>
      <c r="Y4518" s="1" t="str">
        <f t="shared" si="283"/>
        <v>High</v>
      </c>
    </row>
    <row r="4519" spans="1:25" x14ac:dyDescent="0.2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 t="shared" si="280"/>
        <v>1</v>
      </c>
      <c r="W4519">
        <f t="shared" si="281"/>
        <v>0</v>
      </c>
      <c r="X4519" t="str">
        <f t="shared" si="282"/>
        <v>0-12 Months</v>
      </c>
      <c r="Y4519" s="1" t="str">
        <f t="shared" si="283"/>
        <v>High</v>
      </c>
    </row>
    <row r="4520" spans="1:25" x14ac:dyDescent="0.2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 t="shared" si="280"/>
        <v>1</v>
      </c>
      <c r="W4520">
        <f t="shared" si="281"/>
        <v>0</v>
      </c>
      <c r="X4520" t="str">
        <f t="shared" si="282"/>
        <v>0-12 Months</v>
      </c>
      <c r="Y4520" s="1" t="str">
        <f t="shared" si="283"/>
        <v>High</v>
      </c>
    </row>
    <row r="4521" spans="1:25" x14ac:dyDescent="0.2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 t="shared" si="280"/>
        <v>0</v>
      </c>
      <c r="W4521">
        <f t="shared" si="281"/>
        <v>1</v>
      </c>
      <c r="X4521" t="str">
        <f t="shared" si="282"/>
        <v>49+ Months</v>
      </c>
      <c r="Y4521" s="1" t="str">
        <f t="shared" si="283"/>
        <v>High</v>
      </c>
    </row>
    <row r="4522" spans="1:25" x14ac:dyDescent="0.2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 t="shared" si="280"/>
        <v>1</v>
      </c>
      <c r="W4522">
        <f t="shared" si="281"/>
        <v>0</v>
      </c>
      <c r="X4522" t="str">
        <f t="shared" si="282"/>
        <v>0-12 Months</v>
      </c>
      <c r="Y4522" s="1" t="str">
        <f t="shared" si="283"/>
        <v>Low</v>
      </c>
    </row>
    <row r="4523" spans="1:25" x14ac:dyDescent="0.2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 t="shared" si="280"/>
        <v>0</v>
      </c>
      <c r="W4523">
        <f t="shared" si="281"/>
        <v>1</v>
      </c>
      <c r="X4523" t="str">
        <f t="shared" si="282"/>
        <v>25-48 Months</v>
      </c>
      <c r="Y4523" s="1" t="str">
        <f t="shared" si="283"/>
        <v>Low</v>
      </c>
    </row>
    <row r="4524" spans="1:25" x14ac:dyDescent="0.2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 t="shared" si="280"/>
        <v>0</v>
      </c>
      <c r="W4524">
        <f t="shared" si="281"/>
        <v>1</v>
      </c>
      <c r="X4524" t="str">
        <f t="shared" si="282"/>
        <v>25-48 Months</v>
      </c>
      <c r="Y4524" s="1" t="str">
        <f t="shared" si="283"/>
        <v>Low</v>
      </c>
    </row>
    <row r="4525" spans="1:25" x14ac:dyDescent="0.2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 t="shared" si="280"/>
        <v>0</v>
      </c>
      <c r="W4525">
        <f t="shared" si="281"/>
        <v>1</v>
      </c>
      <c r="X4525" t="str">
        <f t="shared" si="282"/>
        <v>0-12 Months</v>
      </c>
      <c r="Y4525" s="1" t="str">
        <f t="shared" si="283"/>
        <v>Medium</v>
      </c>
    </row>
    <row r="4526" spans="1:25" x14ac:dyDescent="0.2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 t="shared" si="280"/>
        <v>1</v>
      </c>
      <c r="W4526">
        <f t="shared" si="281"/>
        <v>0</v>
      </c>
      <c r="X4526" t="str">
        <f t="shared" si="282"/>
        <v>13-24 Months</v>
      </c>
      <c r="Y4526" s="1" t="str">
        <f t="shared" si="283"/>
        <v>High</v>
      </c>
    </row>
    <row r="4527" spans="1:25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 t="shared" si="280"/>
        <v>0</v>
      </c>
      <c r="W4527">
        <f t="shared" si="281"/>
        <v>1</v>
      </c>
      <c r="X4527" t="str">
        <f t="shared" si="282"/>
        <v>25-48 Months</v>
      </c>
      <c r="Y4527" s="1" t="str">
        <f t="shared" si="283"/>
        <v>High</v>
      </c>
    </row>
    <row r="4528" spans="1:25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 t="shared" si="280"/>
        <v>0</v>
      </c>
      <c r="W4528">
        <f t="shared" si="281"/>
        <v>1</v>
      </c>
      <c r="X4528" t="str">
        <f t="shared" si="282"/>
        <v>13-24 Months</v>
      </c>
      <c r="Y4528" s="1" t="str">
        <f t="shared" si="283"/>
        <v>Medium</v>
      </c>
    </row>
    <row r="4529" spans="1:25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 t="shared" si="280"/>
        <v>1</v>
      </c>
      <c r="W4529">
        <f t="shared" si="281"/>
        <v>0</v>
      </c>
      <c r="X4529" t="str">
        <f t="shared" si="282"/>
        <v>25-48 Months</v>
      </c>
      <c r="Y4529" s="1" t="str">
        <f t="shared" si="283"/>
        <v>High</v>
      </c>
    </row>
    <row r="4530" spans="1:25" x14ac:dyDescent="0.2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 t="shared" si="280"/>
        <v>0</v>
      </c>
      <c r="W4530">
        <f t="shared" si="281"/>
        <v>1</v>
      </c>
      <c r="X4530" t="str">
        <f t="shared" si="282"/>
        <v>25-48 Months</v>
      </c>
      <c r="Y4530" s="1" t="str">
        <f t="shared" si="283"/>
        <v>High</v>
      </c>
    </row>
    <row r="4531" spans="1:25" x14ac:dyDescent="0.2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 t="shared" si="280"/>
        <v>0</v>
      </c>
      <c r="W4531">
        <f t="shared" si="281"/>
        <v>1</v>
      </c>
      <c r="X4531" t="str">
        <f t="shared" si="282"/>
        <v>0-12 Months</v>
      </c>
      <c r="Y4531" s="1" t="str">
        <f t="shared" si="283"/>
        <v>Low</v>
      </c>
    </row>
    <row r="4532" spans="1:25" x14ac:dyDescent="0.2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 t="shared" si="280"/>
        <v>0</v>
      </c>
      <c r="W4532">
        <f t="shared" si="281"/>
        <v>1</v>
      </c>
      <c r="X4532" t="str">
        <f t="shared" si="282"/>
        <v>49+ Months</v>
      </c>
      <c r="Y4532" s="1" t="str">
        <f t="shared" si="283"/>
        <v>Low</v>
      </c>
    </row>
    <row r="4533" spans="1:25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 t="shared" si="280"/>
        <v>1</v>
      </c>
      <c r="W4533">
        <f t="shared" si="281"/>
        <v>0</v>
      </c>
      <c r="X4533" t="str">
        <f t="shared" si="282"/>
        <v>0-12 Months</v>
      </c>
      <c r="Y4533" s="1" t="str">
        <f t="shared" si="283"/>
        <v>Medium</v>
      </c>
    </row>
    <row r="4534" spans="1:25" x14ac:dyDescent="0.2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 t="shared" si="280"/>
        <v>1</v>
      </c>
      <c r="W4534">
        <f t="shared" si="281"/>
        <v>0</v>
      </c>
      <c r="X4534" t="str">
        <f t="shared" si="282"/>
        <v>13-24 Months</v>
      </c>
      <c r="Y4534" s="1" t="str">
        <f t="shared" si="283"/>
        <v>Medium</v>
      </c>
    </row>
    <row r="4535" spans="1:25" x14ac:dyDescent="0.2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 t="shared" si="280"/>
        <v>0</v>
      </c>
      <c r="W4535">
        <f t="shared" si="281"/>
        <v>1</v>
      </c>
      <c r="X4535" t="str">
        <f t="shared" si="282"/>
        <v>49+ Months</v>
      </c>
      <c r="Y4535" s="1" t="str">
        <f t="shared" si="283"/>
        <v>High</v>
      </c>
    </row>
    <row r="4536" spans="1:25" x14ac:dyDescent="0.2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 t="shared" si="280"/>
        <v>0</v>
      </c>
      <c r="W4536">
        <f t="shared" si="281"/>
        <v>1</v>
      </c>
      <c r="X4536" t="str">
        <f t="shared" si="282"/>
        <v>0-12 Months</v>
      </c>
      <c r="Y4536" s="1" t="str">
        <f t="shared" si="283"/>
        <v>Low</v>
      </c>
    </row>
    <row r="4537" spans="1:25" x14ac:dyDescent="0.2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 t="shared" si="280"/>
        <v>1</v>
      </c>
      <c r="W4537">
        <f t="shared" si="281"/>
        <v>0</v>
      </c>
      <c r="X4537" t="str">
        <f t="shared" si="282"/>
        <v>25-48 Months</v>
      </c>
      <c r="Y4537" s="1" t="str">
        <f t="shared" si="283"/>
        <v>High</v>
      </c>
    </row>
    <row r="4538" spans="1:25" x14ac:dyDescent="0.2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 t="shared" si="280"/>
        <v>1</v>
      </c>
      <c r="W4538">
        <f t="shared" si="281"/>
        <v>0</v>
      </c>
      <c r="X4538" t="str">
        <f t="shared" si="282"/>
        <v>0-12 Months</v>
      </c>
      <c r="Y4538" s="1" t="str">
        <f t="shared" si="283"/>
        <v>Medium</v>
      </c>
    </row>
    <row r="4539" spans="1:25" x14ac:dyDescent="0.2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 t="shared" si="280"/>
        <v>0</v>
      </c>
      <c r="W4539">
        <f t="shared" si="281"/>
        <v>1</v>
      </c>
      <c r="X4539" t="str">
        <f t="shared" si="282"/>
        <v>13-24 Months</v>
      </c>
      <c r="Y4539" s="1" t="str">
        <f t="shared" si="283"/>
        <v>Low</v>
      </c>
    </row>
    <row r="4540" spans="1:25" x14ac:dyDescent="0.2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 t="shared" si="280"/>
        <v>1</v>
      </c>
      <c r="W4540">
        <f t="shared" si="281"/>
        <v>0</v>
      </c>
      <c r="X4540" t="str">
        <f t="shared" si="282"/>
        <v>0-12 Months</v>
      </c>
      <c r="Y4540" s="1" t="str">
        <f t="shared" si="283"/>
        <v>High</v>
      </c>
    </row>
    <row r="4541" spans="1:25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 t="shared" si="280"/>
        <v>1</v>
      </c>
      <c r="W4541">
        <f t="shared" si="281"/>
        <v>0</v>
      </c>
      <c r="X4541" t="str">
        <f t="shared" si="282"/>
        <v>49+ Months</v>
      </c>
      <c r="Y4541" s="1" t="str">
        <f t="shared" si="283"/>
        <v>Medium</v>
      </c>
    </row>
    <row r="4542" spans="1:25" x14ac:dyDescent="0.2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 t="shared" si="280"/>
        <v>0</v>
      </c>
      <c r="W4542">
        <f t="shared" si="281"/>
        <v>1</v>
      </c>
      <c r="X4542" t="str">
        <f t="shared" si="282"/>
        <v>0-12 Months</v>
      </c>
      <c r="Y4542" s="1" t="str">
        <f t="shared" si="283"/>
        <v>Low</v>
      </c>
    </row>
    <row r="4543" spans="1:25" x14ac:dyDescent="0.2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 t="shared" si="280"/>
        <v>1</v>
      </c>
      <c r="W4543">
        <f t="shared" si="281"/>
        <v>0</v>
      </c>
      <c r="X4543" t="str">
        <f t="shared" si="282"/>
        <v>0-12 Months</v>
      </c>
      <c r="Y4543" s="1" t="str">
        <f t="shared" si="283"/>
        <v>Medium</v>
      </c>
    </row>
    <row r="4544" spans="1:25" x14ac:dyDescent="0.2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 t="shared" si="280"/>
        <v>0</v>
      </c>
      <c r="W4544">
        <f t="shared" si="281"/>
        <v>1</v>
      </c>
      <c r="X4544" t="str">
        <f t="shared" si="282"/>
        <v>25-48 Months</v>
      </c>
      <c r="Y4544" s="1" t="str">
        <f t="shared" si="283"/>
        <v>Medium</v>
      </c>
    </row>
    <row r="4545" spans="1:25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 t="shared" si="280"/>
        <v>0</v>
      </c>
      <c r="W4545">
        <f t="shared" si="281"/>
        <v>1</v>
      </c>
      <c r="X4545" t="str">
        <f t="shared" si="282"/>
        <v>25-48 Months</v>
      </c>
      <c r="Y4545" s="1" t="str">
        <f t="shared" si="283"/>
        <v>Low</v>
      </c>
    </row>
    <row r="4546" spans="1:25" x14ac:dyDescent="0.2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 t="shared" ref="V4546:V4609" si="284">IF(U4546="Yes",1,0)</f>
        <v>1</v>
      </c>
      <c r="W4546">
        <f t="shared" ref="W4546:W4609" si="285">IF(U4546="No",1,0)</f>
        <v>0</v>
      </c>
      <c r="X4546" t="str">
        <f t="shared" ref="X4546:X4609" si="286">IF(F4546&lt;=12,"0-12 Months",IF(F4546&lt;=24,"13-24 Months",IF(F4546&lt;=48,"25-48 Months","49+ Months")))</f>
        <v>0-12 Months</v>
      </c>
      <c r="Y4546" s="1" t="str">
        <f t="shared" ref="Y4546:Y4609" si="287">IF(S4546&lt;50,"Low",IF(S4546&lt;80,"Medium","High"))</f>
        <v>High</v>
      </c>
    </row>
    <row r="4547" spans="1:25" x14ac:dyDescent="0.2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 t="shared" si="284"/>
        <v>0</v>
      </c>
      <c r="W4547">
        <f t="shared" si="285"/>
        <v>1</v>
      </c>
      <c r="X4547" t="str">
        <f t="shared" si="286"/>
        <v>0-12 Months</v>
      </c>
      <c r="Y4547" s="1" t="str">
        <f t="shared" si="287"/>
        <v>Low</v>
      </c>
    </row>
    <row r="4548" spans="1:25" x14ac:dyDescent="0.2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 t="shared" si="284"/>
        <v>1</v>
      </c>
      <c r="W4548">
        <f t="shared" si="285"/>
        <v>0</v>
      </c>
      <c r="X4548" t="str">
        <f t="shared" si="286"/>
        <v>0-12 Months</v>
      </c>
      <c r="Y4548" s="1" t="str">
        <f t="shared" si="287"/>
        <v>High</v>
      </c>
    </row>
    <row r="4549" spans="1:25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 t="shared" si="284"/>
        <v>0</v>
      </c>
      <c r="W4549">
        <f t="shared" si="285"/>
        <v>1</v>
      </c>
      <c r="X4549" t="str">
        <f t="shared" si="286"/>
        <v>49+ Months</v>
      </c>
      <c r="Y4549" s="1" t="str">
        <f t="shared" si="287"/>
        <v>High</v>
      </c>
    </row>
    <row r="4550" spans="1:25" x14ac:dyDescent="0.2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 t="shared" si="284"/>
        <v>1</v>
      </c>
      <c r="W4550">
        <f t="shared" si="285"/>
        <v>0</v>
      </c>
      <c r="X4550" t="str">
        <f t="shared" si="286"/>
        <v>13-24 Months</v>
      </c>
      <c r="Y4550" s="1" t="str">
        <f t="shared" si="287"/>
        <v>High</v>
      </c>
    </row>
    <row r="4551" spans="1:25" x14ac:dyDescent="0.2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 t="shared" si="284"/>
        <v>0</v>
      </c>
      <c r="W4551">
        <f t="shared" si="285"/>
        <v>1</v>
      </c>
      <c r="X4551" t="str">
        <f t="shared" si="286"/>
        <v>13-24 Months</v>
      </c>
      <c r="Y4551" s="1" t="str">
        <f t="shared" si="287"/>
        <v>High</v>
      </c>
    </row>
    <row r="4552" spans="1:25" x14ac:dyDescent="0.2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 t="shared" si="284"/>
        <v>0</v>
      </c>
      <c r="W4552">
        <f t="shared" si="285"/>
        <v>1</v>
      </c>
      <c r="X4552" t="str">
        <f t="shared" si="286"/>
        <v>49+ Months</v>
      </c>
      <c r="Y4552" s="1" t="str">
        <f t="shared" si="287"/>
        <v>Low</v>
      </c>
    </row>
    <row r="4553" spans="1:25" x14ac:dyDescent="0.2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 t="shared" si="284"/>
        <v>0</v>
      </c>
      <c r="W4553">
        <f t="shared" si="285"/>
        <v>1</v>
      </c>
      <c r="X4553" t="str">
        <f t="shared" si="286"/>
        <v>49+ Months</v>
      </c>
      <c r="Y4553" s="1" t="str">
        <f t="shared" si="287"/>
        <v>High</v>
      </c>
    </row>
    <row r="4554" spans="1:25" x14ac:dyDescent="0.2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 t="shared" si="284"/>
        <v>0</v>
      </c>
      <c r="W4554">
        <f t="shared" si="285"/>
        <v>1</v>
      </c>
      <c r="X4554" t="str">
        <f t="shared" si="286"/>
        <v>0-12 Months</v>
      </c>
      <c r="Y4554" s="1" t="str">
        <f t="shared" si="287"/>
        <v>Low</v>
      </c>
    </row>
    <row r="4555" spans="1:25" x14ac:dyDescent="0.2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 t="shared" si="284"/>
        <v>0</v>
      </c>
      <c r="W4555">
        <f t="shared" si="285"/>
        <v>1</v>
      </c>
      <c r="X4555" t="str">
        <f t="shared" si="286"/>
        <v>49+ Months</v>
      </c>
      <c r="Y4555" s="1" t="str">
        <f t="shared" si="287"/>
        <v>High</v>
      </c>
    </row>
    <row r="4556" spans="1:25" x14ac:dyDescent="0.2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 t="shared" si="284"/>
        <v>0</v>
      </c>
      <c r="W4556">
        <f t="shared" si="285"/>
        <v>1</v>
      </c>
      <c r="X4556" t="str">
        <f t="shared" si="286"/>
        <v>13-24 Months</v>
      </c>
      <c r="Y4556" s="1" t="str">
        <f t="shared" si="287"/>
        <v>High</v>
      </c>
    </row>
    <row r="4557" spans="1:25" x14ac:dyDescent="0.2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 t="shared" si="284"/>
        <v>0</v>
      </c>
      <c r="W4557">
        <f t="shared" si="285"/>
        <v>1</v>
      </c>
      <c r="X4557" t="str">
        <f t="shared" si="286"/>
        <v>13-24 Months</v>
      </c>
      <c r="Y4557" s="1" t="str">
        <f t="shared" si="287"/>
        <v>Low</v>
      </c>
    </row>
    <row r="4558" spans="1:25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 t="shared" si="284"/>
        <v>1</v>
      </c>
      <c r="W4558">
        <f t="shared" si="285"/>
        <v>0</v>
      </c>
      <c r="X4558" t="str">
        <f t="shared" si="286"/>
        <v>0-12 Months</v>
      </c>
      <c r="Y4558" s="1" t="str">
        <f t="shared" si="287"/>
        <v>Medium</v>
      </c>
    </row>
    <row r="4559" spans="1:25" x14ac:dyDescent="0.2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 t="shared" si="284"/>
        <v>0</v>
      </c>
      <c r="W4559">
        <f t="shared" si="285"/>
        <v>1</v>
      </c>
      <c r="X4559" t="str">
        <f t="shared" si="286"/>
        <v>49+ Months</v>
      </c>
      <c r="Y4559" s="1" t="str">
        <f t="shared" si="287"/>
        <v>Medium</v>
      </c>
    </row>
    <row r="4560" spans="1:25" x14ac:dyDescent="0.2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 t="shared" si="284"/>
        <v>1</v>
      </c>
      <c r="W4560">
        <f t="shared" si="285"/>
        <v>0</v>
      </c>
      <c r="X4560" t="str">
        <f t="shared" si="286"/>
        <v>25-48 Months</v>
      </c>
      <c r="Y4560" s="1" t="str">
        <f t="shared" si="287"/>
        <v>High</v>
      </c>
    </row>
    <row r="4561" spans="1:25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 t="shared" si="284"/>
        <v>0</v>
      </c>
      <c r="W4561">
        <f t="shared" si="285"/>
        <v>1</v>
      </c>
      <c r="X4561" t="str">
        <f t="shared" si="286"/>
        <v>0-12 Months</v>
      </c>
      <c r="Y4561" s="1" t="str">
        <f t="shared" si="287"/>
        <v>Low</v>
      </c>
    </row>
    <row r="4562" spans="1:25" x14ac:dyDescent="0.2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 t="shared" si="284"/>
        <v>0</v>
      </c>
      <c r="W4562">
        <f t="shared" si="285"/>
        <v>1</v>
      </c>
      <c r="X4562" t="str">
        <f t="shared" si="286"/>
        <v>0-12 Months</v>
      </c>
      <c r="Y4562" s="1" t="str">
        <f t="shared" si="287"/>
        <v>High</v>
      </c>
    </row>
    <row r="4563" spans="1:25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 t="shared" si="284"/>
        <v>0</v>
      </c>
      <c r="W4563">
        <f t="shared" si="285"/>
        <v>1</v>
      </c>
      <c r="X4563" t="str">
        <f t="shared" si="286"/>
        <v>0-12 Months</v>
      </c>
      <c r="Y4563" s="1" t="str">
        <f t="shared" si="287"/>
        <v>Medium</v>
      </c>
    </row>
    <row r="4564" spans="1:25" x14ac:dyDescent="0.2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 t="shared" si="284"/>
        <v>0</v>
      </c>
      <c r="W4564">
        <f t="shared" si="285"/>
        <v>1</v>
      </c>
      <c r="X4564" t="str">
        <f t="shared" si="286"/>
        <v>49+ Months</v>
      </c>
      <c r="Y4564" s="1" t="str">
        <f t="shared" si="287"/>
        <v>High</v>
      </c>
    </row>
    <row r="4565" spans="1:25" x14ac:dyDescent="0.2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 t="shared" si="284"/>
        <v>1</v>
      </c>
      <c r="W4565">
        <f t="shared" si="285"/>
        <v>0</v>
      </c>
      <c r="X4565" t="str">
        <f t="shared" si="286"/>
        <v>0-12 Months</v>
      </c>
      <c r="Y4565" s="1" t="str">
        <f t="shared" si="287"/>
        <v>High</v>
      </c>
    </row>
    <row r="4566" spans="1:25" x14ac:dyDescent="0.2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 t="shared" si="284"/>
        <v>1</v>
      </c>
      <c r="W4566">
        <f t="shared" si="285"/>
        <v>0</v>
      </c>
      <c r="X4566" t="str">
        <f t="shared" si="286"/>
        <v>0-12 Months</v>
      </c>
      <c r="Y4566" s="1" t="str">
        <f t="shared" si="287"/>
        <v>Low</v>
      </c>
    </row>
    <row r="4567" spans="1:25" x14ac:dyDescent="0.2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 t="shared" si="284"/>
        <v>0</v>
      </c>
      <c r="W4567">
        <f t="shared" si="285"/>
        <v>1</v>
      </c>
      <c r="X4567" t="str">
        <f t="shared" si="286"/>
        <v>49+ Months</v>
      </c>
      <c r="Y4567" s="1" t="str">
        <f t="shared" si="287"/>
        <v>Medium</v>
      </c>
    </row>
    <row r="4568" spans="1:25" x14ac:dyDescent="0.2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 t="shared" si="284"/>
        <v>0</v>
      </c>
      <c r="W4568">
        <f t="shared" si="285"/>
        <v>1</v>
      </c>
      <c r="X4568" t="str">
        <f t="shared" si="286"/>
        <v>49+ Months</v>
      </c>
      <c r="Y4568" s="1" t="str">
        <f t="shared" si="287"/>
        <v>High</v>
      </c>
    </row>
    <row r="4569" spans="1:25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 t="shared" si="284"/>
        <v>0</v>
      </c>
      <c r="W4569">
        <f t="shared" si="285"/>
        <v>1</v>
      </c>
      <c r="X4569" t="str">
        <f t="shared" si="286"/>
        <v>25-48 Months</v>
      </c>
      <c r="Y4569" s="1" t="str">
        <f t="shared" si="287"/>
        <v>High</v>
      </c>
    </row>
    <row r="4570" spans="1:25" x14ac:dyDescent="0.2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 t="shared" si="284"/>
        <v>0</v>
      </c>
      <c r="W4570">
        <f t="shared" si="285"/>
        <v>1</v>
      </c>
      <c r="X4570" t="str">
        <f t="shared" si="286"/>
        <v>25-48 Months</v>
      </c>
      <c r="Y4570" s="1" t="str">
        <f t="shared" si="287"/>
        <v>High</v>
      </c>
    </row>
    <row r="4571" spans="1:25" x14ac:dyDescent="0.2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 t="shared" si="284"/>
        <v>1</v>
      </c>
      <c r="W4571">
        <f t="shared" si="285"/>
        <v>0</v>
      </c>
      <c r="X4571" t="str">
        <f t="shared" si="286"/>
        <v>13-24 Months</v>
      </c>
      <c r="Y4571" s="1" t="str">
        <f t="shared" si="287"/>
        <v>Low</v>
      </c>
    </row>
    <row r="4572" spans="1:25" x14ac:dyDescent="0.2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 t="shared" si="284"/>
        <v>0</v>
      </c>
      <c r="W4572">
        <f t="shared" si="285"/>
        <v>1</v>
      </c>
      <c r="X4572" t="str">
        <f t="shared" si="286"/>
        <v>0-12 Months</v>
      </c>
      <c r="Y4572" s="1" t="str">
        <f t="shared" si="287"/>
        <v>Low</v>
      </c>
    </row>
    <row r="4573" spans="1:25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 t="shared" si="284"/>
        <v>0</v>
      </c>
      <c r="W4573">
        <f t="shared" si="285"/>
        <v>1</v>
      </c>
      <c r="X4573" t="str">
        <f t="shared" si="286"/>
        <v>13-24 Months</v>
      </c>
      <c r="Y4573" s="1" t="str">
        <f t="shared" si="287"/>
        <v>Medium</v>
      </c>
    </row>
    <row r="4574" spans="1:25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 t="shared" si="284"/>
        <v>0</v>
      </c>
      <c r="W4574">
        <f t="shared" si="285"/>
        <v>1</v>
      </c>
      <c r="X4574" t="str">
        <f t="shared" si="286"/>
        <v>49+ Months</v>
      </c>
      <c r="Y4574" s="1" t="str">
        <f t="shared" si="287"/>
        <v>High</v>
      </c>
    </row>
    <row r="4575" spans="1:25" x14ac:dyDescent="0.2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 t="shared" si="284"/>
        <v>0</v>
      </c>
      <c r="W4575">
        <f t="shared" si="285"/>
        <v>1</v>
      </c>
      <c r="X4575" t="str">
        <f t="shared" si="286"/>
        <v>49+ Months</v>
      </c>
      <c r="Y4575" s="1" t="str">
        <f t="shared" si="287"/>
        <v>Low</v>
      </c>
    </row>
    <row r="4576" spans="1:25" x14ac:dyDescent="0.2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 t="shared" si="284"/>
        <v>0</v>
      </c>
      <c r="W4576">
        <f t="shared" si="285"/>
        <v>1</v>
      </c>
      <c r="X4576" t="str">
        <f t="shared" si="286"/>
        <v>49+ Months</v>
      </c>
      <c r="Y4576" s="1" t="str">
        <f t="shared" si="287"/>
        <v>High</v>
      </c>
    </row>
    <row r="4577" spans="1:25" x14ac:dyDescent="0.2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 t="shared" si="284"/>
        <v>0</v>
      </c>
      <c r="W4577">
        <f t="shared" si="285"/>
        <v>1</v>
      </c>
      <c r="X4577" t="str">
        <f t="shared" si="286"/>
        <v>0-12 Months</v>
      </c>
      <c r="Y4577" s="1" t="str">
        <f t="shared" si="287"/>
        <v>Low</v>
      </c>
    </row>
    <row r="4578" spans="1:25" x14ac:dyDescent="0.2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 t="shared" si="284"/>
        <v>0</v>
      </c>
      <c r="W4578">
        <f t="shared" si="285"/>
        <v>1</v>
      </c>
      <c r="X4578" t="str">
        <f t="shared" si="286"/>
        <v>13-24 Months</v>
      </c>
      <c r="Y4578" s="1" t="str">
        <f t="shared" si="287"/>
        <v>Low</v>
      </c>
    </row>
    <row r="4579" spans="1:25" x14ac:dyDescent="0.2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 t="shared" si="284"/>
        <v>0</v>
      </c>
      <c r="W4579">
        <f t="shared" si="285"/>
        <v>1</v>
      </c>
      <c r="X4579" t="str">
        <f t="shared" si="286"/>
        <v>49+ Months</v>
      </c>
      <c r="Y4579" s="1" t="str">
        <f t="shared" si="287"/>
        <v>High</v>
      </c>
    </row>
    <row r="4580" spans="1:25" x14ac:dyDescent="0.2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 t="shared" si="284"/>
        <v>0</v>
      </c>
      <c r="W4580">
        <f t="shared" si="285"/>
        <v>1</v>
      </c>
      <c r="X4580" t="str">
        <f t="shared" si="286"/>
        <v>0-12 Months</v>
      </c>
      <c r="Y4580" s="1" t="str">
        <f t="shared" si="287"/>
        <v>Medium</v>
      </c>
    </row>
    <row r="4581" spans="1:25" x14ac:dyDescent="0.2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 t="shared" si="284"/>
        <v>0</v>
      </c>
      <c r="W4581">
        <f t="shared" si="285"/>
        <v>1</v>
      </c>
      <c r="X4581" t="str">
        <f t="shared" si="286"/>
        <v>25-48 Months</v>
      </c>
      <c r="Y4581" s="1" t="str">
        <f t="shared" si="287"/>
        <v>High</v>
      </c>
    </row>
    <row r="4582" spans="1:25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 t="shared" si="284"/>
        <v>0</v>
      </c>
      <c r="W4582">
        <f t="shared" si="285"/>
        <v>1</v>
      </c>
      <c r="X4582" t="str">
        <f t="shared" si="286"/>
        <v>49+ Months</v>
      </c>
      <c r="Y4582" s="1" t="str">
        <f t="shared" si="287"/>
        <v>Low</v>
      </c>
    </row>
    <row r="4583" spans="1:25" x14ac:dyDescent="0.2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 t="shared" si="284"/>
        <v>0</v>
      </c>
      <c r="W4583">
        <f t="shared" si="285"/>
        <v>1</v>
      </c>
      <c r="X4583" t="str">
        <f t="shared" si="286"/>
        <v>49+ Months</v>
      </c>
      <c r="Y4583" s="1" t="str">
        <f t="shared" si="287"/>
        <v>Low</v>
      </c>
    </row>
    <row r="4584" spans="1:25" x14ac:dyDescent="0.2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 t="shared" si="284"/>
        <v>0</v>
      </c>
      <c r="W4584">
        <f t="shared" si="285"/>
        <v>1</v>
      </c>
      <c r="X4584" t="str">
        <f t="shared" si="286"/>
        <v>49+ Months</v>
      </c>
      <c r="Y4584" s="1" t="str">
        <f t="shared" si="287"/>
        <v>High</v>
      </c>
    </row>
    <row r="4585" spans="1:25" x14ac:dyDescent="0.2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 t="shared" si="284"/>
        <v>0</v>
      </c>
      <c r="W4585">
        <f t="shared" si="285"/>
        <v>1</v>
      </c>
      <c r="X4585" t="str">
        <f t="shared" si="286"/>
        <v>49+ Months</v>
      </c>
      <c r="Y4585" s="1" t="str">
        <f t="shared" si="287"/>
        <v>High</v>
      </c>
    </row>
    <row r="4586" spans="1:25" x14ac:dyDescent="0.2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 t="shared" si="284"/>
        <v>0</v>
      </c>
      <c r="W4586">
        <f t="shared" si="285"/>
        <v>1</v>
      </c>
      <c r="X4586" t="str">
        <f t="shared" si="286"/>
        <v>49+ Months</v>
      </c>
      <c r="Y4586" s="1" t="str">
        <f t="shared" si="287"/>
        <v>Medium</v>
      </c>
    </row>
    <row r="4587" spans="1:25" x14ac:dyDescent="0.2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 t="shared" si="284"/>
        <v>1</v>
      </c>
      <c r="W4587">
        <f t="shared" si="285"/>
        <v>0</v>
      </c>
      <c r="X4587" t="str">
        <f t="shared" si="286"/>
        <v>0-12 Months</v>
      </c>
      <c r="Y4587" s="1" t="str">
        <f t="shared" si="287"/>
        <v>High</v>
      </c>
    </row>
    <row r="4588" spans="1:25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 t="shared" si="284"/>
        <v>0</v>
      </c>
      <c r="W4588">
        <f t="shared" si="285"/>
        <v>1</v>
      </c>
      <c r="X4588" t="str">
        <f t="shared" si="286"/>
        <v>49+ Months</v>
      </c>
      <c r="Y4588" s="1" t="str">
        <f t="shared" si="287"/>
        <v>High</v>
      </c>
    </row>
    <row r="4589" spans="1:25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 t="shared" si="284"/>
        <v>0</v>
      </c>
      <c r="W4589">
        <f t="shared" si="285"/>
        <v>1</v>
      </c>
      <c r="X4589" t="str">
        <f t="shared" si="286"/>
        <v>25-48 Months</v>
      </c>
      <c r="Y4589" s="1" t="str">
        <f t="shared" si="287"/>
        <v>High</v>
      </c>
    </row>
    <row r="4590" spans="1:25" x14ac:dyDescent="0.2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 t="shared" si="284"/>
        <v>0</v>
      </c>
      <c r="W4590">
        <f t="shared" si="285"/>
        <v>1</v>
      </c>
      <c r="X4590" t="str">
        <f t="shared" si="286"/>
        <v>25-48 Months</v>
      </c>
      <c r="Y4590" s="1" t="str">
        <f t="shared" si="287"/>
        <v>High</v>
      </c>
    </row>
    <row r="4591" spans="1:25" x14ac:dyDescent="0.2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 t="shared" si="284"/>
        <v>0</v>
      </c>
      <c r="W4591">
        <f t="shared" si="285"/>
        <v>1</v>
      </c>
      <c r="X4591" t="str">
        <f t="shared" si="286"/>
        <v>0-12 Months</v>
      </c>
      <c r="Y4591" s="1" t="str">
        <f t="shared" si="287"/>
        <v>Low</v>
      </c>
    </row>
    <row r="4592" spans="1:25" x14ac:dyDescent="0.2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 t="shared" si="284"/>
        <v>0</v>
      </c>
      <c r="W4592">
        <f t="shared" si="285"/>
        <v>1</v>
      </c>
      <c r="X4592" t="str">
        <f t="shared" si="286"/>
        <v>49+ Months</v>
      </c>
      <c r="Y4592" s="1" t="str">
        <f t="shared" si="287"/>
        <v>High</v>
      </c>
    </row>
    <row r="4593" spans="1:25" x14ac:dyDescent="0.2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 t="shared" si="284"/>
        <v>0</v>
      </c>
      <c r="W4593">
        <f t="shared" si="285"/>
        <v>1</v>
      </c>
      <c r="X4593" t="str">
        <f t="shared" si="286"/>
        <v>0-12 Months</v>
      </c>
      <c r="Y4593" s="1" t="str">
        <f t="shared" si="287"/>
        <v>Low</v>
      </c>
    </row>
    <row r="4594" spans="1:25" x14ac:dyDescent="0.2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 t="shared" si="284"/>
        <v>0</v>
      </c>
      <c r="W4594">
        <f t="shared" si="285"/>
        <v>1</v>
      </c>
      <c r="X4594" t="str">
        <f t="shared" si="286"/>
        <v>25-48 Months</v>
      </c>
      <c r="Y4594" s="1" t="str">
        <f t="shared" si="287"/>
        <v>Low</v>
      </c>
    </row>
    <row r="4595" spans="1:25" x14ac:dyDescent="0.2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 t="shared" si="284"/>
        <v>0</v>
      </c>
      <c r="W4595">
        <f t="shared" si="285"/>
        <v>1</v>
      </c>
      <c r="X4595" t="str">
        <f t="shared" si="286"/>
        <v>0-12 Months</v>
      </c>
      <c r="Y4595" s="1" t="str">
        <f t="shared" si="287"/>
        <v>Low</v>
      </c>
    </row>
    <row r="4596" spans="1:25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 t="shared" si="284"/>
        <v>1</v>
      </c>
      <c r="W4596">
        <f t="shared" si="285"/>
        <v>0</v>
      </c>
      <c r="X4596" t="str">
        <f t="shared" si="286"/>
        <v>13-24 Months</v>
      </c>
      <c r="Y4596" s="1" t="str">
        <f t="shared" si="287"/>
        <v>High</v>
      </c>
    </row>
    <row r="4597" spans="1:25" x14ac:dyDescent="0.2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 t="shared" si="284"/>
        <v>0</v>
      </c>
      <c r="W4597">
        <f t="shared" si="285"/>
        <v>1</v>
      </c>
      <c r="X4597" t="str">
        <f t="shared" si="286"/>
        <v>49+ Months</v>
      </c>
      <c r="Y4597" s="1" t="str">
        <f t="shared" si="287"/>
        <v>High</v>
      </c>
    </row>
    <row r="4598" spans="1:25" x14ac:dyDescent="0.2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 t="shared" si="284"/>
        <v>0</v>
      </c>
      <c r="W4598">
        <f t="shared" si="285"/>
        <v>1</v>
      </c>
      <c r="X4598" t="str">
        <f t="shared" si="286"/>
        <v>13-24 Months</v>
      </c>
      <c r="Y4598" s="1" t="str">
        <f t="shared" si="287"/>
        <v>High</v>
      </c>
    </row>
    <row r="4599" spans="1:25" x14ac:dyDescent="0.2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 t="shared" si="284"/>
        <v>1</v>
      </c>
      <c r="W4599">
        <f t="shared" si="285"/>
        <v>0</v>
      </c>
      <c r="X4599" t="str">
        <f t="shared" si="286"/>
        <v>0-12 Months</v>
      </c>
      <c r="Y4599" s="1" t="str">
        <f t="shared" si="287"/>
        <v>High</v>
      </c>
    </row>
    <row r="4600" spans="1:25" x14ac:dyDescent="0.2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 t="shared" si="284"/>
        <v>0</v>
      </c>
      <c r="W4600">
        <f t="shared" si="285"/>
        <v>1</v>
      </c>
      <c r="X4600" t="str">
        <f t="shared" si="286"/>
        <v>13-24 Months</v>
      </c>
      <c r="Y4600" s="1" t="str">
        <f t="shared" si="287"/>
        <v>Medium</v>
      </c>
    </row>
    <row r="4601" spans="1:25" x14ac:dyDescent="0.2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 t="shared" si="284"/>
        <v>0</v>
      </c>
      <c r="W4601">
        <f t="shared" si="285"/>
        <v>1</v>
      </c>
      <c r="X4601" t="str">
        <f t="shared" si="286"/>
        <v>49+ Months</v>
      </c>
      <c r="Y4601" s="1" t="str">
        <f t="shared" si="287"/>
        <v>Medium</v>
      </c>
    </row>
    <row r="4602" spans="1:25" x14ac:dyDescent="0.2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 t="shared" si="284"/>
        <v>0</v>
      </c>
      <c r="W4602">
        <f t="shared" si="285"/>
        <v>1</v>
      </c>
      <c r="X4602" t="str">
        <f t="shared" si="286"/>
        <v>49+ Months</v>
      </c>
      <c r="Y4602" s="1" t="str">
        <f t="shared" si="287"/>
        <v>High</v>
      </c>
    </row>
    <row r="4603" spans="1:25" x14ac:dyDescent="0.2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 t="shared" si="284"/>
        <v>0</v>
      </c>
      <c r="W4603">
        <f t="shared" si="285"/>
        <v>1</v>
      </c>
      <c r="X4603" t="str">
        <f t="shared" si="286"/>
        <v>25-48 Months</v>
      </c>
      <c r="Y4603" s="1" t="str">
        <f t="shared" si="287"/>
        <v>High</v>
      </c>
    </row>
    <row r="4604" spans="1:25" x14ac:dyDescent="0.2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 t="shared" si="284"/>
        <v>0</v>
      </c>
      <c r="W4604">
        <f t="shared" si="285"/>
        <v>1</v>
      </c>
      <c r="X4604" t="str">
        <f t="shared" si="286"/>
        <v>49+ Months</v>
      </c>
      <c r="Y4604" s="1" t="str">
        <f t="shared" si="287"/>
        <v>Low</v>
      </c>
    </row>
    <row r="4605" spans="1:25" x14ac:dyDescent="0.2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 t="shared" si="284"/>
        <v>0</v>
      </c>
      <c r="W4605">
        <f t="shared" si="285"/>
        <v>1</v>
      </c>
      <c r="X4605" t="str">
        <f t="shared" si="286"/>
        <v>0-12 Months</v>
      </c>
      <c r="Y4605" s="1" t="str">
        <f t="shared" si="287"/>
        <v>Low</v>
      </c>
    </row>
    <row r="4606" spans="1:25" x14ac:dyDescent="0.2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 t="shared" si="284"/>
        <v>0</v>
      </c>
      <c r="W4606">
        <f t="shared" si="285"/>
        <v>1</v>
      </c>
      <c r="X4606" t="str">
        <f t="shared" si="286"/>
        <v>49+ Months</v>
      </c>
      <c r="Y4606" s="1" t="str">
        <f t="shared" si="287"/>
        <v>High</v>
      </c>
    </row>
    <row r="4607" spans="1:25" x14ac:dyDescent="0.2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 t="shared" si="284"/>
        <v>0</v>
      </c>
      <c r="W4607">
        <f t="shared" si="285"/>
        <v>1</v>
      </c>
      <c r="X4607" t="str">
        <f t="shared" si="286"/>
        <v>49+ Months</v>
      </c>
      <c r="Y4607" s="1" t="str">
        <f t="shared" si="287"/>
        <v>Medium</v>
      </c>
    </row>
    <row r="4608" spans="1:25" x14ac:dyDescent="0.2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 t="shared" si="284"/>
        <v>0</v>
      </c>
      <c r="W4608">
        <f t="shared" si="285"/>
        <v>1</v>
      </c>
      <c r="X4608" t="str">
        <f t="shared" si="286"/>
        <v>0-12 Months</v>
      </c>
      <c r="Y4608" s="1" t="str">
        <f t="shared" si="287"/>
        <v>Low</v>
      </c>
    </row>
    <row r="4609" spans="1:25" x14ac:dyDescent="0.2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 t="shared" si="284"/>
        <v>0</v>
      </c>
      <c r="W4609">
        <f t="shared" si="285"/>
        <v>1</v>
      </c>
      <c r="X4609" t="str">
        <f t="shared" si="286"/>
        <v>0-12 Months</v>
      </c>
      <c r="Y4609" s="1" t="str">
        <f t="shared" si="287"/>
        <v>Medium</v>
      </c>
    </row>
    <row r="4610" spans="1:25" x14ac:dyDescent="0.2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 t="shared" ref="V4610:V4673" si="288">IF(U4610="Yes",1,0)</f>
        <v>0</v>
      </c>
      <c r="W4610">
        <f t="shared" ref="W4610:W4673" si="289">IF(U4610="No",1,0)</f>
        <v>1</v>
      </c>
      <c r="X4610" t="str">
        <f t="shared" ref="X4610:X4673" si="290">IF(F4610&lt;=12,"0-12 Months",IF(F4610&lt;=24,"13-24 Months",IF(F4610&lt;=48,"25-48 Months","49+ Months")))</f>
        <v>49+ Months</v>
      </c>
      <c r="Y4610" s="1" t="str">
        <f t="shared" ref="Y4610:Y4673" si="291">IF(S4610&lt;50,"Low",IF(S4610&lt;80,"Medium","High"))</f>
        <v>Medium</v>
      </c>
    </row>
    <row r="4611" spans="1:25" x14ac:dyDescent="0.2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 t="shared" si="288"/>
        <v>0</v>
      </c>
      <c r="W4611">
        <f t="shared" si="289"/>
        <v>1</v>
      </c>
      <c r="X4611" t="str">
        <f t="shared" si="290"/>
        <v>25-48 Months</v>
      </c>
      <c r="Y4611" s="1" t="str">
        <f t="shared" si="291"/>
        <v>Medium</v>
      </c>
    </row>
    <row r="4612" spans="1:25" x14ac:dyDescent="0.2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 t="shared" si="288"/>
        <v>1</v>
      </c>
      <c r="W4612">
        <f t="shared" si="289"/>
        <v>0</v>
      </c>
      <c r="X4612" t="str">
        <f t="shared" si="290"/>
        <v>49+ Months</v>
      </c>
      <c r="Y4612" s="1" t="str">
        <f t="shared" si="291"/>
        <v>High</v>
      </c>
    </row>
    <row r="4613" spans="1:25" x14ac:dyDescent="0.2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 t="shared" si="288"/>
        <v>0</v>
      </c>
      <c r="W4613">
        <f t="shared" si="289"/>
        <v>1</v>
      </c>
      <c r="X4613" t="str">
        <f t="shared" si="290"/>
        <v>49+ Months</v>
      </c>
      <c r="Y4613" s="1" t="str">
        <f t="shared" si="291"/>
        <v>Low</v>
      </c>
    </row>
    <row r="4614" spans="1:25" x14ac:dyDescent="0.2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 t="shared" si="288"/>
        <v>0</v>
      </c>
      <c r="W4614">
        <f t="shared" si="289"/>
        <v>1</v>
      </c>
      <c r="X4614" t="str">
        <f t="shared" si="290"/>
        <v>49+ Months</v>
      </c>
      <c r="Y4614" s="1" t="str">
        <f t="shared" si="291"/>
        <v>Low</v>
      </c>
    </row>
    <row r="4615" spans="1:25" x14ac:dyDescent="0.2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 t="shared" si="288"/>
        <v>1</v>
      </c>
      <c r="W4615">
        <f t="shared" si="289"/>
        <v>0</v>
      </c>
      <c r="X4615" t="str">
        <f t="shared" si="290"/>
        <v>49+ Months</v>
      </c>
      <c r="Y4615" s="1" t="str">
        <f t="shared" si="291"/>
        <v>Medium</v>
      </c>
    </row>
    <row r="4616" spans="1:25" x14ac:dyDescent="0.2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 t="shared" si="288"/>
        <v>0</v>
      </c>
      <c r="W4616">
        <f t="shared" si="289"/>
        <v>1</v>
      </c>
      <c r="X4616" t="str">
        <f t="shared" si="290"/>
        <v>0-12 Months</v>
      </c>
      <c r="Y4616" s="1" t="str">
        <f t="shared" si="291"/>
        <v>Low</v>
      </c>
    </row>
    <row r="4617" spans="1:25" x14ac:dyDescent="0.2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 t="shared" si="288"/>
        <v>0</v>
      </c>
      <c r="W4617">
        <f t="shared" si="289"/>
        <v>1</v>
      </c>
      <c r="X4617" t="str">
        <f t="shared" si="290"/>
        <v>49+ Months</v>
      </c>
      <c r="Y4617" s="1" t="str">
        <f t="shared" si="291"/>
        <v>Medium</v>
      </c>
    </row>
    <row r="4618" spans="1:25" x14ac:dyDescent="0.2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 t="shared" si="288"/>
        <v>0</v>
      </c>
      <c r="W4618">
        <f t="shared" si="289"/>
        <v>1</v>
      </c>
      <c r="X4618" t="str">
        <f t="shared" si="290"/>
        <v>13-24 Months</v>
      </c>
      <c r="Y4618" s="1" t="str">
        <f t="shared" si="291"/>
        <v>Medium</v>
      </c>
    </row>
    <row r="4619" spans="1:25" x14ac:dyDescent="0.2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 t="shared" si="288"/>
        <v>0</v>
      </c>
      <c r="W4619">
        <f t="shared" si="289"/>
        <v>1</v>
      </c>
      <c r="X4619" t="str">
        <f t="shared" si="290"/>
        <v>0-12 Months</v>
      </c>
      <c r="Y4619" s="1" t="str">
        <f t="shared" si="291"/>
        <v>Low</v>
      </c>
    </row>
    <row r="4620" spans="1:25" x14ac:dyDescent="0.2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 t="shared" si="288"/>
        <v>0</v>
      </c>
      <c r="W4620">
        <f t="shared" si="289"/>
        <v>1</v>
      </c>
      <c r="X4620" t="str">
        <f t="shared" si="290"/>
        <v>0-12 Months</v>
      </c>
      <c r="Y4620" s="1" t="str">
        <f t="shared" si="291"/>
        <v>High</v>
      </c>
    </row>
    <row r="4621" spans="1:25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 t="shared" si="288"/>
        <v>1</v>
      </c>
      <c r="W4621">
        <f t="shared" si="289"/>
        <v>0</v>
      </c>
      <c r="X4621" t="str">
        <f t="shared" si="290"/>
        <v>0-12 Months</v>
      </c>
      <c r="Y4621" s="1" t="str">
        <f t="shared" si="291"/>
        <v>Medium</v>
      </c>
    </row>
    <row r="4622" spans="1:25" x14ac:dyDescent="0.2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 t="shared" si="288"/>
        <v>0</v>
      </c>
      <c r="W4622">
        <f t="shared" si="289"/>
        <v>1</v>
      </c>
      <c r="X4622" t="str">
        <f t="shared" si="290"/>
        <v>49+ Months</v>
      </c>
      <c r="Y4622" s="1" t="str">
        <f t="shared" si="291"/>
        <v>High</v>
      </c>
    </row>
    <row r="4623" spans="1:25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 t="shared" si="288"/>
        <v>0</v>
      </c>
      <c r="W4623">
        <f t="shared" si="289"/>
        <v>1</v>
      </c>
      <c r="X4623" t="str">
        <f t="shared" si="290"/>
        <v>0-12 Months</v>
      </c>
      <c r="Y4623" s="1" t="str">
        <f t="shared" si="291"/>
        <v>Low</v>
      </c>
    </row>
    <row r="4624" spans="1:25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 t="shared" si="288"/>
        <v>0</v>
      </c>
      <c r="W4624">
        <f t="shared" si="289"/>
        <v>1</v>
      </c>
      <c r="X4624" t="str">
        <f t="shared" si="290"/>
        <v>49+ Months</v>
      </c>
      <c r="Y4624" s="1" t="str">
        <f t="shared" si="291"/>
        <v>High</v>
      </c>
    </row>
    <row r="4625" spans="1:25" x14ac:dyDescent="0.2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 t="shared" si="288"/>
        <v>0</v>
      </c>
      <c r="W4625">
        <f t="shared" si="289"/>
        <v>1</v>
      </c>
      <c r="X4625" t="str">
        <f t="shared" si="290"/>
        <v>49+ Months</v>
      </c>
      <c r="Y4625" s="1" t="str">
        <f t="shared" si="291"/>
        <v>High</v>
      </c>
    </row>
    <row r="4626" spans="1:25" x14ac:dyDescent="0.2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 t="shared" si="288"/>
        <v>1</v>
      </c>
      <c r="W4626">
        <f t="shared" si="289"/>
        <v>0</v>
      </c>
      <c r="X4626" t="str">
        <f t="shared" si="290"/>
        <v>0-12 Months</v>
      </c>
      <c r="Y4626" s="1" t="str">
        <f t="shared" si="291"/>
        <v>High</v>
      </c>
    </row>
    <row r="4627" spans="1:25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 t="shared" si="288"/>
        <v>0</v>
      </c>
      <c r="W4627">
        <f t="shared" si="289"/>
        <v>1</v>
      </c>
      <c r="X4627" t="str">
        <f t="shared" si="290"/>
        <v>0-12 Months</v>
      </c>
      <c r="Y4627" s="1" t="str">
        <f t="shared" si="291"/>
        <v>Medium</v>
      </c>
    </row>
    <row r="4628" spans="1:25" x14ac:dyDescent="0.2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 t="shared" si="288"/>
        <v>0</v>
      </c>
      <c r="W4628">
        <f t="shared" si="289"/>
        <v>1</v>
      </c>
      <c r="X4628" t="str">
        <f t="shared" si="290"/>
        <v>49+ Months</v>
      </c>
      <c r="Y4628" s="1" t="str">
        <f t="shared" si="291"/>
        <v>High</v>
      </c>
    </row>
    <row r="4629" spans="1:25" x14ac:dyDescent="0.2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 t="shared" si="288"/>
        <v>0</v>
      </c>
      <c r="W4629">
        <f t="shared" si="289"/>
        <v>1</v>
      </c>
      <c r="X4629" t="str">
        <f t="shared" si="290"/>
        <v>49+ Months</v>
      </c>
      <c r="Y4629" s="1" t="str">
        <f t="shared" si="291"/>
        <v>High</v>
      </c>
    </row>
    <row r="4630" spans="1:25" x14ac:dyDescent="0.2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 t="shared" si="288"/>
        <v>0</v>
      </c>
      <c r="W4630">
        <f t="shared" si="289"/>
        <v>1</v>
      </c>
      <c r="X4630" t="str">
        <f t="shared" si="290"/>
        <v>0-12 Months</v>
      </c>
      <c r="Y4630" s="1" t="str">
        <f t="shared" si="291"/>
        <v>Medium</v>
      </c>
    </row>
    <row r="4631" spans="1:25" x14ac:dyDescent="0.2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 t="shared" si="288"/>
        <v>0</v>
      </c>
      <c r="W4631">
        <f t="shared" si="289"/>
        <v>1</v>
      </c>
      <c r="X4631" t="str">
        <f t="shared" si="290"/>
        <v>13-24 Months</v>
      </c>
      <c r="Y4631" s="1" t="str">
        <f t="shared" si="291"/>
        <v>Low</v>
      </c>
    </row>
    <row r="4632" spans="1:25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 t="shared" si="288"/>
        <v>0</v>
      </c>
      <c r="W4632">
        <f t="shared" si="289"/>
        <v>1</v>
      </c>
      <c r="X4632" t="str">
        <f t="shared" si="290"/>
        <v>13-24 Months</v>
      </c>
      <c r="Y4632" s="1" t="str">
        <f t="shared" si="291"/>
        <v>Medium</v>
      </c>
    </row>
    <row r="4633" spans="1:25" x14ac:dyDescent="0.2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 t="shared" si="288"/>
        <v>1</v>
      </c>
      <c r="W4633">
        <f t="shared" si="289"/>
        <v>0</v>
      </c>
      <c r="X4633" t="str">
        <f t="shared" si="290"/>
        <v>0-12 Months</v>
      </c>
      <c r="Y4633" s="1" t="str">
        <f t="shared" si="291"/>
        <v>High</v>
      </c>
    </row>
    <row r="4634" spans="1:25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 t="shared" si="288"/>
        <v>1</v>
      </c>
      <c r="W4634">
        <f t="shared" si="289"/>
        <v>0</v>
      </c>
      <c r="X4634" t="str">
        <f t="shared" si="290"/>
        <v>0-12 Months</v>
      </c>
      <c r="Y4634" s="1" t="str">
        <f t="shared" si="291"/>
        <v>Low</v>
      </c>
    </row>
    <row r="4635" spans="1:25" x14ac:dyDescent="0.2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 t="shared" si="288"/>
        <v>0</v>
      </c>
      <c r="W4635">
        <f t="shared" si="289"/>
        <v>1</v>
      </c>
      <c r="X4635" t="str">
        <f t="shared" si="290"/>
        <v>49+ Months</v>
      </c>
      <c r="Y4635" s="1" t="str">
        <f t="shared" si="291"/>
        <v>Low</v>
      </c>
    </row>
    <row r="4636" spans="1:25" x14ac:dyDescent="0.2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 t="shared" si="288"/>
        <v>0</v>
      </c>
      <c r="W4636">
        <f t="shared" si="289"/>
        <v>1</v>
      </c>
      <c r="X4636" t="str">
        <f t="shared" si="290"/>
        <v>0-12 Months</v>
      </c>
      <c r="Y4636" s="1" t="str">
        <f t="shared" si="291"/>
        <v>Low</v>
      </c>
    </row>
    <row r="4637" spans="1:25" x14ac:dyDescent="0.2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 t="shared" si="288"/>
        <v>0</v>
      </c>
      <c r="W4637">
        <f t="shared" si="289"/>
        <v>1</v>
      </c>
      <c r="X4637" t="str">
        <f t="shared" si="290"/>
        <v>25-48 Months</v>
      </c>
      <c r="Y4637" s="1" t="str">
        <f t="shared" si="291"/>
        <v>Low</v>
      </c>
    </row>
    <row r="4638" spans="1:25" x14ac:dyDescent="0.2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 t="shared" si="288"/>
        <v>0</v>
      </c>
      <c r="W4638">
        <f t="shared" si="289"/>
        <v>1</v>
      </c>
      <c r="X4638" t="str">
        <f t="shared" si="290"/>
        <v>25-48 Months</v>
      </c>
      <c r="Y4638" s="1" t="str">
        <f t="shared" si="291"/>
        <v>Low</v>
      </c>
    </row>
    <row r="4639" spans="1:25" x14ac:dyDescent="0.2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 t="shared" si="288"/>
        <v>0</v>
      </c>
      <c r="W4639">
        <f t="shared" si="289"/>
        <v>1</v>
      </c>
      <c r="X4639" t="str">
        <f t="shared" si="290"/>
        <v>49+ Months</v>
      </c>
      <c r="Y4639" s="1" t="str">
        <f t="shared" si="291"/>
        <v>Medium</v>
      </c>
    </row>
    <row r="4640" spans="1:25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 t="shared" si="288"/>
        <v>1</v>
      </c>
      <c r="W4640">
        <f t="shared" si="289"/>
        <v>0</v>
      </c>
      <c r="X4640" t="str">
        <f t="shared" si="290"/>
        <v>0-12 Months</v>
      </c>
      <c r="Y4640" s="1" t="str">
        <f t="shared" si="291"/>
        <v>Medium</v>
      </c>
    </row>
    <row r="4641" spans="1:25" x14ac:dyDescent="0.2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 t="shared" si="288"/>
        <v>0</v>
      </c>
      <c r="W4641">
        <f t="shared" si="289"/>
        <v>1</v>
      </c>
      <c r="X4641" t="str">
        <f t="shared" si="290"/>
        <v>25-48 Months</v>
      </c>
      <c r="Y4641" s="1" t="str">
        <f t="shared" si="291"/>
        <v>High</v>
      </c>
    </row>
    <row r="4642" spans="1:25" x14ac:dyDescent="0.2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 t="shared" si="288"/>
        <v>1</v>
      </c>
      <c r="W4642">
        <f t="shared" si="289"/>
        <v>0</v>
      </c>
      <c r="X4642" t="str">
        <f t="shared" si="290"/>
        <v>0-12 Months</v>
      </c>
      <c r="Y4642" s="1" t="str">
        <f t="shared" si="291"/>
        <v>Medium</v>
      </c>
    </row>
    <row r="4643" spans="1:25" x14ac:dyDescent="0.2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 t="shared" si="288"/>
        <v>0</v>
      </c>
      <c r="W4643">
        <f t="shared" si="289"/>
        <v>1</v>
      </c>
      <c r="X4643" t="str">
        <f t="shared" si="290"/>
        <v>0-12 Months</v>
      </c>
      <c r="Y4643" s="1" t="str">
        <f t="shared" si="291"/>
        <v>Low</v>
      </c>
    </row>
    <row r="4644" spans="1:25" x14ac:dyDescent="0.2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 t="shared" si="288"/>
        <v>1</v>
      </c>
      <c r="W4644">
        <f t="shared" si="289"/>
        <v>0</v>
      </c>
      <c r="X4644" t="str">
        <f t="shared" si="290"/>
        <v>49+ Months</v>
      </c>
      <c r="Y4644" s="1" t="str">
        <f t="shared" si="291"/>
        <v>Medium</v>
      </c>
    </row>
    <row r="4645" spans="1:25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 t="shared" si="288"/>
        <v>0</v>
      </c>
      <c r="W4645">
        <f t="shared" si="289"/>
        <v>1</v>
      </c>
      <c r="X4645" t="str">
        <f t="shared" si="290"/>
        <v>0-12 Months</v>
      </c>
      <c r="Y4645" s="1" t="str">
        <f t="shared" si="291"/>
        <v>Medium</v>
      </c>
    </row>
    <row r="4646" spans="1:25" x14ac:dyDescent="0.2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 t="shared" si="288"/>
        <v>0</v>
      </c>
      <c r="W4646">
        <f t="shared" si="289"/>
        <v>1</v>
      </c>
      <c r="X4646" t="str">
        <f t="shared" si="290"/>
        <v>13-24 Months</v>
      </c>
      <c r="Y4646" s="1" t="str">
        <f t="shared" si="291"/>
        <v>Medium</v>
      </c>
    </row>
    <row r="4647" spans="1:25" x14ac:dyDescent="0.2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 t="shared" si="288"/>
        <v>1</v>
      </c>
      <c r="W4647">
        <f t="shared" si="289"/>
        <v>0</v>
      </c>
      <c r="X4647" t="str">
        <f t="shared" si="290"/>
        <v>25-48 Months</v>
      </c>
      <c r="Y4647" s="1" t="str">
        <f t="shared" si="291"/>
        <v>High</v>
      </c>
    </row>
    <row r="4648" spans="1:25" x14ac:dyDescent="0.2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 t="shared" si="288"/>
        <v>0</v>
      </c>
      <c r="W4648">
        <f t="shared" si="289"/>
        <v>1</v>
      </c>
      <c r="X4648" t="str">
        <f t="shared" si="290"/>
        <v>0-12 Months</v>
      </c>
      <c r="Y4648" s="1" t="str">
        <f t="shared" si="291"/>
        <v>Medium</v>
      </c>
    </row>
    <row r="4649" spans="1:25" x14ac:dyDescent="0.2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 t="shared" si="288"/>
        <v>0</v>
      </c>
      <c r="W4649">
        <f t="shared" si="289"/>
        <v>1</v>
      </c>
      <c r="X4649" t="str">
        <f t="shared" si="290"/>
        <v>0-12 Months</v>
      </c>
      <c r="Y4649" s="1" t="str">
        <f t="shared" si="291"/>
        <v>Low</v>
      </c>
    </row>
    <row r="4650" spans="1:25" x14ac:dyDescent="0.2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 t="shared" si="288"/>
        <v>0</v>
      </c>
      <c r="W4650">
        <f t="shared" si="289"/>
        <v>1</v>
      </c>
      <c r="X4650" t="str">
        <f t="shared" si="290"/>
        <v>0-12 Months</v>
      </c>
      <c r="Y4650" s="1" t="str">
        <f t="shared" si="291"/>
        <v>Medium</v>
      </c>
    </row>
    <row r="4651" spans="1:25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 t="shared" si="288"/>
        <v>0</v>
      </c>
      <c r="W4651">
        <f t="shared" si="289"/>
        <v>1</v>
      </c>
      <c r="X4651" t="str">
        <f t="shared" si="290"/>
        <v>49+ Months</v>
      </c>
      <c r="Y4651" s="1" t="str">
        <f t="shared" si="291"/>
        <v>High</v>
      </c>
    </row>
    <row r="4652" spans="1:25" x14ac:dyDescent="0.2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 t="shared" si="288"/>
        <v>0</v>
      </c>
      <c r="W4652">
        <f t="shared" si="289"/>
        <v>1</v>
      </c>
      <c r="X4652" t="str">
        <f t="shared" si="290"/>
        <v>25-48 Months</v>
      </c>
      <c r="Y4652" s="1" t="str">
        <f t="shared" si="291"/>
        <v>Low</v>
      </c>
    </row>
    <row r="4653" spans="1:25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 t="shared" si="288"/>
        <v>1</v>
      </c>
      <c r="W4653">
        <f t="shared" si="289"/>
        <v>0</v>
      </c>
      <c r="X4653" t="str">
        <f t="shared" si="290"/>
        <v>13-24 Months</v>
      </c>
      <c r="Y4653" s="1" t="str">
        <f t="shared" si="291"/>
        <v>High</v>
      </c>
    </row>
    <row r="4654" spans="1:25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 t="shared" si="288"/>
        <v>0</v>
      </c>
      <c r="W4654">
        <f t="shared" si="289"/>
        <v>1</v>
      </c>
      <c r="X4654" t="str">
        <f t="shared" si="290"/>
        <v>13-24 Months</v>
      </c>
      <c r="Y4654" s="1" t="str">
        <f t="shared" si="291"/>
        <v>Low</v>
      </c>
    </row>
    <row r="4655" spans="1:25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 t="shared" si="288"/>
        <v>1</v>
      </c>
      <c r="W4655">
        <f t="shared" si="289"/>
        <v>0</v>
      </c>
      <c r="X4655" t="str">
        <f t="shared" si="290"/>
        <v>25-48 Months</v>
      </c>
      <c r="Y4655" s="1" t="str">
        <f t="shared" si="291"/>
        <v>Medium</v>
      </c>
    </row>
    <row r="4656" spans="1:25" x14ac:dyDescent="0.2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 t="shared" si="288"/>
        <v>0</v>
      </c>
      <c r="W4656">
        <f t="shared" si="289"/>
        <v>1</v>
      </c>
      <c r="X4656" t="str">
        <f t="shared" si="290"/>
        <v>25-48 Months</v>
      </c>
      <c r="Y4656" s="1" t="str">
        <f t="shared" si="291"/>
        <v>Low</v>
      </c>
    </row>
    <row r="4657" spans="1:25" x14ac:dyDescent="0.2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 t="shared" si="288"/>
        <v>0</v>
      </c>
      <c r="W4657">
        <f t="shared" si="289"/>
        <v>1</v>
      </c>
      <c r="X4657" t="str">
        <f t="shared" si="290"/>
        <v>25-48 Months</v>
      </c>
      <c r="Y4657" s="1" t="str">
        <f t="shared" si="291"/>
        <v>Medium</v>
      </c>
    </row>
    <row r="4658" spans="1:25" x14ac:dyDescent="0.2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 t="shared" si="288"/>
        <v>0</v>
      </c>
      <c r="W4658">
        <f t="shared" si="289"/>
        <v>1</v>
      </c>
      <c r="X4658" t="str">
        <f t="shared" si="290"/>
        <v>13-24 Months</v>
      </c>
      <c r="Y4658" s="1" t="str">
        <f t="shared" si="291"/>
        <v>Medium</v>
      </c>
    </row>
    <row r="4659" spans="1:25" x14ac:dyDescent="0.2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 t="shared" si="288"/>
        <v>0</v>
      </c>
      <c r="W4659">
        <f t="shared" si="289"/>
        <v>1</v>
      </c>
      <c r="X4659" t="str">
        <f t="shared" si="290"/>
        <v>25-48 Months</v>
      </c>
      <c r="Y4659" s="1" t="str">
        <f t="shared" si="291"/>
        <v>Low</v>
      </c>
    </row>
    <row r="4660" spans="1:25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 t="shared" si="288"/>
        <v>0</v>
      </c>
      <c r="W4660">
        <f t="shared" si="289"/>
        <v>1</v>
      </c>
      <c r="X4660" t="str">
        <f t="shared" si="290"/>
        <v>0-12 Months</v>
      </c>
      <c r="Y4660" s="1" t="str">
        <f t="shared" si="291"/>
        <v>Low</v>
      </c>
    </row>
    <row r="4661" spans="1:25" x14ac:dyDescent="0.2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 t="shared" si="288"/>
        <v>0</v>
      </c>
      <c r="W4661">
        <f t="shared" si="289"/>
        <v>1</v>
      </c>
      <c r="X4661" t="str">
        <f t="shared" si="290"/>
        <v>49+ Months</v>
      </c>
      <c r="Y4661" s="1" t="str">
        <f t="shared" si="291"/>
        <v>High</v>
      </c>
    </row>
    <row r="4662" spans="1:25" x14ac:dyDescent="0.2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 t="shared" si="288"/>
        <v>1</v>
      </c>
      <c r="W4662">
        <f t="shared" si="289"/>
        <v>0</v>
      </c>
      <c r="X4662" t="str">
        <f t="shared" si="290"/>
        <v>0-12 Months</v>
      </c>
      <c r="Y4662" s="1" t="str">
        <f t="shared" si="291"/>
        <v>Low</v>
      </c>
    </row>
    <row r="4663" spans="1:25" x14ac:dyDescent="0.2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 t="shared" si="288"/>
        <v>0</v>
      </c>
      <c r="W4663">
        <f t="shared" si="289"/>
        <v>1</v>
      </c>
      <c r="X4663" t="str">
        <f t="shared" si="290"/>
        <v>49+ Months</v>
      </c>
      <c r="Y4663" s="1" t="str">
        <f t="shared" si="291"/>
        <v>High</v>
      </c>
    </row>
    <row r="4664" spans="1:25" x14ac:dyDescent="0.2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 t="shared" si="288"/>
        <v>0</v>
      </c>
      <c r="W4664">
        <f t="shared" si="289"/>
        <v>1</v>
      </c>
      <c r="X4664" t="str">
        <f t="shared" si="290"/>
        <v>13-24 Months</v>
      </c>
      <c r="Y4664" s="1" t="str">
        <f t="shared" si="291"/>
        <v>Low</v>
      </c>
    </row>
    <row r="4665" spans="1:25" x14ac:dyDescent="0.2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 t="shared" si="288"/>
        <v>1</v>
      </c>
      <c r="W4665">
        <f t="shared" si="289"/>
        <v>0</v>
      </c>
      <c r="X4665" t="str">
        <f t="shared" si="290"/>
        <v>0-12 Months</v>
      </c>
      <c r="Y4665" s="1" t="str">
        <f t="shared" si="291"/>
        <v>Medium</v>
      </c>
    </row>
    <row r="4666" spans="1:25" x14ac:dyDescent="0.2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 t="shared" si="288"/>
        <v>1</v>
      </c>
      <c r="W4666">
        <f t="shared" si="289"/>
        <v>0</v>
      </c>
      <c r="X4666" t="str">
        <f t="shared" si="290"/>
        <v>0-12 Months</v>
      </c>
      <c r="Y4666" s="1" t="str">
        <f t="shared" si="291"/>
        <v>Medium</v>
      </c>
    </row>
    <row r="4667" spans="1:25" x14ac:dyDescent="0.2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 t="shared" si="288"/>
        <v>0</v>
      </c>
      <c r="W4667">
        <f t="shared" si="289"/>
        <v>1</v>
      </c>
      <c r="X4667" t="str">
        <f t="shared" si="290"/>
        <v>49+ Months</v>
      </c>
      <c r="Y4667" s="1" t="str">
        <f t="shared" si="291"/>
        <v>Low</v>
      </c>
    </row>
    <row r="4668" spans="1:25" x14ac:dyDescent="0.2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 t="shared" si="288"/>
        <v>0</v>
      </c>
      <c r="W4668">
        <f t="shared" si="289"/>
        <v>1</v>
      </c>
      <c r="X4668" t="str">
        <f t="shared" si="290"/>
        <v>25-48 Months</v>
      </c>
      <c r="Y4668" s="1" t="str">
        <f t="shared" si="291"/>
        <v>Low</v>
      </c>
    </row>
    <row r="4669" spans="1:25" x14ac:dyDescent="0.2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 t="shared" si="288"/>
        <v>0</v>
      </c>
      <c r="W4669">
        <f t="shared" si="289"/>
        <v>1</v>
      </c>
      <c r="X4669" t="str">
        <f t="shared" si="290"/>
        <v>13-24 Months</v>
      </c>
      <c r="Y4669" s="1" t="str">
        <f t="shared" si="291"/>
        <v>Low</v>
      </c>
    </row>
    <row r="4670" spans="1:25" x14ac:dyDescent="0.2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 t="shared" si="288"/>
        <v>0</v>
      </c>
      <c r="W4670">
        <f t="shared" si="289"/>
        <v>1</v>
      </c>
      <c r="X4670" t="str">
        <f t="shared" si="290"/>
        <v>0-12 Months</v>
      </c>
      <c r="Y4670" s="1" t="str">
        <f t="shared" si="291"/>
        <v>Medium</v>
      </c>
    </row>
    <row r="4671" spans="1:25" x14ac:dyDescent="0.2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 t="shared" si="288"/>
        <v>0</v>
      </c>
      <c r="W4671">
        <f t="shared" si="289"/>
        <v>1</v>
      </c>
      <c r="X4671" t="str">
        <f t="shared" si="290"/>
        <v>49+ Months</v>
      </c>
      <c r="Y4671" s="1" t="str">
        <f t="shared" si="291"/>
        <v>Low</v>
      </c>
    </row>
    <row r="4672" spans="1:25" x14ac:dyDescent="0.2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 t="shared" si="288"/>
        <v>0</v>
      </c>
      <c r="W4672">
        <f t="shared" si="289"/>
        <v>1</v>
      </c>
      <c r="X4672" t="str">
        <f t="shared" si="290"/>
        <v>25-48 Months</v>
      </c>
      <c r="Y4672" s="1" t="str">
        <f t="shared" si="291"/>
        <v>Low</v>
      </c>
    </row>
    <row r="4673" spans="1:25" x14ac:dyDescent="0.2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 t="shared" si="288"/>
        <v>1</v>
      </c>
      <c r="W4673">
        <f t="shared" si="289"/>
        <v>0</v>
      </c>
      <c r="X4673" t="str">
        <f t="shared" si="290"/>
        <v>25-48 Months</v>
      </c>
      <c r="Y4673" s="1" t="str">
        <f t="shared" si="291"/>
        <v>High</v>
      </c>
    </row>
    <row r="4674" spans="1:25" x14ac:dyDescent="0.2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 t="shared" ref="V4674:V4737" si="292">IF(U4674="Yes",1,0)</f>
        <v>0</v>
      </c>
      <c r="W4674">
        <f t="shared" ref="W4674:W4737" si="293">IF(U4674="No",1,0)</f>
        <v>1</v>
      </c>
      <c r="X4674" t="str">
        <f t="shared" ref="X4674:X4737" si="294">IF(F4674&lt;=12,"0-12 Months",IF(F4674&lt;=24,"13-24 Months",IF(F4674&lt;=48,"25-48 Months","49+ Months")))</f>
        <v>13-24 Months</v>
      </c>
      <c r="Y4674" s="1" t="str">
        <f t="shared" ref="Y4674:Y4737" si="295">IF(S4674&lt;50,"Low",IF(S4674&lt;80,"Medium","High"))</f>
        <v>Low</v>
      </c>
    </row>
    <row r="4675" spans="1:25" x14ac:dyDescent="0.2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 t="shared" si="292"/>
        <v>1</v>
      </c>
      <c r="W4675">
        <f t="shared" si="293"/>
        <v>0</v>
      </c>
      <c r="X4675" t="str">
        <f t="shared" si="294"/>
        <v>25-48 Months</v>
      </c>
      <c r="Y4675" s="1" t="str">
        <f t="shared" si="295"/>
        <v>High</v>
      </c>
    </row>
    <row r="4676" spans="1:25" x14ac:dyDescent="0.2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 t="shared" si="292"/>
        <v>0</v>
      </c>
      <c r="W4676">
        <f t="shared" si="293"/>
        <v>1</v>
      </c>
      <c r="X4676" t="str">
        <f t="shared" si="294"/>
        <v>25-48 Months</v>
      </c>
      <c r="Y4676" s="1" t="str">
        <f t="shared" si="295"/>
        <v>Medium</v>
      </c>
    </row>
    <row r="4677" spans="1:25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 t="shared" si="292"/>
        <v>1</v>
      </c>
      <c r="W4677">
        <f t="shared" si="293"/>
        <v>0</v>
      </c>
      <c r="X4677" t="str">
        <f t="shared" si="294"/>
        <v>25-48 Months</v>
      </c>
      <c r="Y4677" s="1" t="str">
        <f t="shared" si="295"/>
        <v>High</v>
      </c>
    </row>
    <row r="4678" spans="1:25" x14ac:dyDescent="0.2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 t="shared" si="292"/>
        <v>0</v>
      </c>
      <c r="W4678">
        <f t="shared" si="293"/>
        <v>1</v>
      </c>
      <c r="X4678" t="str">
        <f t="shared" si="294"/>
        <v>13-24 Months</v>
      </c>
      <c r="Y4678" s="1" t="str">
        <f t="shared" si="295"/>
        <v>Low</v>
      </c>
    </row>
    <row r="4679" spans="1:25" x14ac:dyDescent="0.2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 t="shared" si="292"/>
        <v>1</v>
      </c>
      <c r="W4679">
        <f t="shared" si="293"/>
        <v>0</v>
      </c>
      <c r="X4679" t="str">
        <f t="shared" si="294"/>
        <v>0-12 Months</v>
      </c>
      <c r="Y4679" s="1" t="str">
        <f t="shared" si="295"/>
        <v>High</v>
      </c>
    </row>
    <row r="4680" spans="1:25" x14ac:dyDescent="0.2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 t="shared" si="292"/>
        <v>1</v>
      </c>
      <c r="W4680">
        <f t="shared" si="293"/>
        <v>0</v>
      </c>
      <c r="X4680" t="str">
        <f t="shared" si="294"/>
        <v>0-12 Months</v>
      </c>
      <c r="Y4680" s="1" t="str">
        <f t="shared" si="295"/>
        <v>High</v>
      </c>
    </row>
    <row r="4681" spans="1:25" x14ac:dyDescent="0.2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 t="shared" si="292"/>
        <v>0</v>
      </c>
      <c r="W4681">
        <f t="shared" si="293"/>
        <v>1</v>
      </c>
      <c r="X4681" t="str">
        <f t="shared" si="294"/>
        <v>49+ Months</v>
      </c>
      <c r="Y4681" s="1" t="str">
        <f t="shared" si="295"/>
        <v>High</v>
      </c>
    </row>
    <row r="4682" spans="1:25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 t="shared" si="292"/>
        <v>0</v>
      </c>
      <c r="W4682">
        <f t="shared" si="293"/>
        <v>1</v>
      </c>
      <c r="X4682" t="str">
        <f t="shared" si="294"/>
        <v>13-24 Months</v>
      </c>
      <c r="Y4682" s="1" t="str">
        <f t="shared" si="295"/>
        <v>Medium</v>
      </c>
    </row>
    <row r="4683" spans="1:25" x14ac:dyDescent="0.2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 t="shared" si="292"/>
        <v>1</v>
      </c>
      <c r="W4683">
        <f t="shared" si="293"/>
        <v>0</v>
      </c>
      <c r="X4683" t="str">
        <f t="shared" si="294"/>
        <v>0-12 Months</v>
      </c>
      <c r="Y4683" s="1" t="str">
        <f t="shared" si="295"/>
        <v>High</v>
      </c>
    </row>
    <row r="4684" spans="1:25" x14ac:dyDescent="0.2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 t="shared" si="292"/>
        <v>1</v>
      </c>
      <c r="W4684">
        <f t="shared" si="293"/>
        <v>0</v>
      </c>
      <c r="X4684" t="str">
        <f t="shared" si="294"/>
        <v>25-48 Months</v>
      </c>
      <c r="Y4684" s="1" t="str">
        <f t="shared" si="295"/>
        <v>High</v>
      </c>
    </row>
    <row r="4685" spans="1:25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 t="shared" si="292"/>
        <v>0</v>
      </c>
      <c r="W4685">
        <f t="shared" si="293"/>
        <v>1</v>
      </c>
      <c r="X4685" t="str">
        <f t="shared" si="294"/>
        <v>13-24 Months</v>
      </c>
      <c r="Y4685" s="1" t="str">
        <f t="shared" si="295"/>
        <v>High</v>
      </c>
    </row>
    <row r="4686" spans="1:25" x14ac:dyDescent="0.2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 t="shared" si="292"/>
        <v>1</v>
      </c>
      <c r="W4686">
        <f t="shared" si="293"/>
        <v>0</v>
      </c>
      <c r="X4686" t="str">
        <f t="shared" si="294"/>
        <v>49+ Months</v>
      </c>
      <c r="Y4686" s="1" t="str">
        <f t="shared" si="295"/>
        <v>High</v>
      </c>
    </row>
    <row r="4687" spans="1:25" x14ac:dyDescent="0.2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 t="shared" si="292"/>
        <v>0</v>
      </c>
      <c r="W4687">
        <f t="shared" si="293"/>
        <v>1</v>
      </c>
      <c r="X4687" t="str">
        <f t="shared" si="294"/>
        <v>25-48 Months</v>
      </c>
      <c r="Y4687" s="1" t="str">
        <f t="shared" si="295"/>
        <v>High</v>
      </c>
    </row>
    <row r="4688" spans="1:25" x14ac:dyDescent="0.2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 t="shared" si="292"/>
        <v>0</v>
      </c>
      <c r="W4688">
        <f t="shared" si="293"/>
        <v>1</v>
      </c>
      <c r="X4688" t="str">
        <f t="shared" si="294"/>
        <v>49+ Months</v>
      </c>
      <c r="Y4688" s="1" t="str">
        <f t="shared" si="295"/>
        <v>High</v>
      </c>
    </row>
    <row r="4689" spans="1:25" x14ac:dyDescent="0.2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 t="shared" si="292"/>
        <v>1</v>
      </c>
      <c r="W4689">
        <f t="shared" si="293"/>
        <v>0</v>
      </c>
      <c r="X4689" t="str">
        <f t="shared" si="294"/>
        <v>13-24 Months</v>
      </c>
      <c r="Y4689" s="1" t="str">
        <f t="shared" si="295"/>
        <v>High</v>
      </c>
    </row>
    <row r="4690" spans="1:25" x14ac:dyDescent="0.2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 t="shared" si="292"/>
        <v>0</v>
      </c>
      <c r="W4690">
        <f t="shared" si="293"/>
        <v>1</v>
      </c>
      <c r="X4690" t="str">
        <f t="shared" si="294"/>
        <v>49+ Months</v>
      </c>
      <c r="Y4690" s="1" t="str">
        <f t="shared" si="295"/>
        <v>High</v>
      </c>
    </row>
    <row r="4691" spans="1:25" x14ac:dyDescent="0.2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 t="shared" si="292"/>
        <v>0</v>
      </c>
      <c r="W4691">
        <f t="shared" si="293"/>
        <v>1</v>
      </c>
      <c r="X4691" t="str">
        <f t="shared" si="294"/>
        <v>0-12 Months</v>
      </c>
      <c r="Y4691" s="1" t="str">
        <f t="shared" si="295"/>
        <v>Low</v>
      </c>
    </row>
    <row r="4692" spans="1:25" x14ac:dyDescent="0.2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 t="shared" si="292"/>
        <v>0</v>
      </c>
      <c r="W4692">
        <f t="shared" si="293"/>
        <v>1</v>
      </c>
      <c r="X4692" t="str">
        <f t="shared" si="294"/>
        <v>25-48 Months</v>
      </c>
      <c r="Y4692" s="1" t="str">
        <f t="shared" si="295"/>
        <v>Medium</v>
      </c>
    </row>
    <row r="4693" spans="1:25" x14ac:dyDescent="0.2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 t="shared" si="292"/>
        <v>1</v>
      </c>
      <c r="W4693">
        <f t="shared" si="293"/>
        <v>0</v>
      </c>
      <c r="X4693" t="str">
        <f t="shared" si="294"/>
        <v>49+ Months</v>
      </c>
      <c r="Y4693" s="1" t="str">
        <f t="shared" si="295"/>
        <v>High</v>
      </c>
    </row>
    <row r="4694" spans="1:25" x14ac:dyDescent="0.2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 t="shared" si="292"/>
        <v>0</v>
      </c>
      <c r="W4694">
        <f t="shared" si="293"/>
        <v>1</v>
      </c>
      <c r="X4694" t="str">
        <f t="shared" si="294"/>
        <v>13-24 Months</v>
      </c>
      <c r="Y4694" s="1" t="str">
        <f t="shared" si="295"/>
        <v>High</v>
      </c>
    </row>
    <row r="4695" spans="1:25" x14ac:dyDescent="0.2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 t="shared" si="292"/>
        <v>0</v>
      </c>
      <c r="W4695">
        <f t="shared" si="293"/>
        <v>1</v>
      </c>
      <c r="X4695" t="str">
        <f t="shared" si="294"/>
        <v>49+ Months</v>
      </c>
      <c r="Y4695" s="1" t="str">
        <f t="shared" si="295"/>
        <v>Low</v>
      </c>
    </row>
    <row r="4696" spans="1:25" x14ac:dyDescent="0.2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 t="shared" si="292"/>
        <v>0</v>
      </c>
      <c r="W4696">
        <f t="shared" si="293"/>
        <v>1</v>
      </c>
      <c r="X4696" t="str">
        <f t="shared" si="294"/>
        <v>13-24 Months</v>
      </c>
      <c r="Y4696" s="1" t="str">
        <f t="shared" si="295"/>
        <v>Low</v>
      </c>
    </row>
    <row r="4697" spans="1:25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 t="shared" si="292"/>
        <v>0</v>
      </c>
      <c r="W4697">
        <f t="shared" si="293"/>
        <v>1</v>
      </c>
      <c r="X4697" t="str">
        <f t="shared" si="294"/>
        <v>25-48 Months</v>
      </c>
      <c r="Y4697" s="1" t="str">
        <f t="shared" si="295"/>
        <v>Low</v>
      </c>
    </row>
    <row r="4698" spans="1:25" x14ac:dyDescent="0.2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 t="shared" si="292"/>
        <v>0</v>
      </c>
      <c r="W4698">
        <f t="shared" si="293"/>
        <v>1</v>
      </c>
      <c r="X4698" t="str">
        <f t="shared" si="294"/>
        <v>49+ Months</v>
      </c>
      <c r="Y4698" s="1" t="str">
        <f t="shared" si="295"/>
        <v>High</v>
      </c>
    </row>
    <row r="4699" spans="1:25" x14ac:dyDescent="0.2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 t="shared" si="292"/>
        <v>0</v>
      </c>
      <c r="W4699">
        <f t="shared" si="293"/>
        <v>1</v>
      </c>
      <c r="X4699" t="str">
        <f t="shared" si="294"/>
        <v>49+ Months</v>
      </c>
      <c r="Y4699" s="1" t="str">
        <f t="shared" si="295"/>
        <v>High</v>
      </c>
    </row>
    <row r="4700" spans="1:25" x14ac:dyDescent="0.2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 t="shared" si="292"/>
        <v>1</v>
      </c>
      <c r="W4700">
        <f t="shared" si="293"/>
        <v>0</v>
      </c>
      <c r="X4700" t="str">
        <f t="shared" si="294"/>
        <v>49+ Months</v>
      </c>
      <c r="Y4700" s="1" t="str">
        <f t="shared" si="295"/>
        <v>High</v>
      </c>
    </row>
    <row r="4701" spans="1:25" x14ac:dyDescent="0.2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 t="shared" si="292"/>
        <v>0</v>
      </c>
      <c r="W4701">
        <f t="shared" si="293"/>
        <v>1</v>
      </c>
      <c r="X4701" t="str">
        <f t="shared" si="294"/>
        <v>49+ Months</v>
      </c>
      <c r="Y4701" s="1" t="str">
        <f t="shared" si="295"/>
        <v>High</v>
      </c>
    </row>
    <row r="4702" spans="1:25" x14ac:dyDescent="0.2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 t="shared" si="292"/>
        <v>0</v>
      </c>
      <c r="W4702">
        <f t="shared" si="293"/>
        <v>1</v>
      </c>
      <c r="X4702" t="str">
        <f t="shared" si="294"/>
        <v>0-12 Months</v>
      </c>
      <c r="Y4702" s="1" t="str">
        <f t="shared" si="295"/>
        <v>Low</v>
      </c>
    </row>
    <row r="4703" spans="1:25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 t="shared" si="292"/>
        <v>0</v>
      </c>
      <c r="W4703">
        <f t="shared" si="293"/>
        <v>1</v>
      </c>
      <c r="X4703" t="str">
        <f t="shared" si="294"/>
        <v>13-24 Months</v>
      </c>
      <c r="Y4703" s="1" t="str">
        <f t="shared" si="295"/>
        <v>High</v>
      </c>
    </row>
    <row r="4704" spans="1:25" x14ac:dyDescent="0.2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 t="shared" si="292"/>
        <v>0</v>
      </c>
      <c r="W4704">
        <f t="shared" si="293"/>
        <v>1</v>
      </c>
      <c r="X4704" t="str">
        <f t="shared" si="294"/>
        <v>49+ Months</v>
      </c>
      <c r="Y4704" s="1" t="str">
        <f t="shared" si="295"/>
        <v>Medium</v>
      </c>
    </row>
    <row r="4705" spans="1:25" x14ac:dyDescent="0.2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 t="shared" si="292"/>
        <v>1</v>
      </c>
      <c r="W4705">
        <f t="shared" si="293"/>
        <v>0</v>
      </c>
      <c r="X4705" t="str">
        <f t="shared" si="294"/>
        <v>13-24 Months</v>
      </c>
      <c r="Y4705" s="1" t="str">
        <f t="shared" si="295"/>
        <v>Medium</v>
      </c>
    </row>
    <row r="4706" spans="1:25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 t="shared" si="292"/>
        <v>0</v>
      </c>
      <c r="W4706">
        <f t="shared" si="293"/>
        <v>1</v>
      </c>
      <c r="X4706" t="str">
        <f t="shared" si="294"/>
        <v>0-12 Months</v>
      </c>
      <c r="Y4706" s="1" t="str">
        <f t="shared" si="295"/>
        <v>Medium</v>
      </c>
    </row>
    <row r="4707" spans="1:25" x14ac:dyDescent="0.2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 t="shared" si="292"/>
        <v>0</v>
      </c>
      <c r="W4707">
        <f t="shared" si="293"/>
        <v>1</v>
      </c>
      <c r="X4707" t="str">
        <f t="shared" si="294"/>
        <v>0-12 Months</v>
      </c>
      <c r="Y4707" s="1" t="str">
        <f t="shared" si="295"/>
        <v>Medium</v>
      </c>
    </row>
    <row r="4708" spans="1:25" x14ac:dyDescent="0.2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 t="shared" si="292"/>
        <v>1</v>
      </c>
      <c r="W4708">
        <f t="shared" si="293"/>
        <v>0</v>
      </c>
      <c r="X4708" t="str">
        <f t="shared" si="294"/>
        <v>0-12 Months</v>
      </c>
      <c r="Y4708" s="1" t="str">
        <f t="shared" si="295"/>
        <v>Low</v>
      </c>
    </row>
    <row r="4709" spans="1:25" x14ac:dyDescent="0.2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 t="shared" si="292"/>
        <v>0</v>
      </c>
      <c r="W4709">
        <f t="shared" si="293"/>
        <v>1</v>
      </c>
      <c r="X4709" t="str">
        <f t="shared" si="294"/>
        <v>49+ Months</v>
      </c>
      <c r="Y4709" s="1" t="str">
        <f t="shared" si="295"/>
        <v>High</v>
      </c>
    </row>
    <row r="4710" spans="1:25" x14ac:dyDescent="0.2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 t="shared" si="292"/>
        <v>0</v>
      </c>
      <c r="W4710">
        <f t="shared" si="293"/>
        <v>1</v>
      </c>
      <c r="X4710" t="str">
        <f t="shared" si="294"/>
        <v>49+ Months</v>
      </c>
      <c r="Y4710" s="1" t="str">
        <f t="shared" si="295"/>
        <v>Medium</v>
      </c>
    </row>
    <row r="4711" spans="1:25" x14ac:dyDescent="0.2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 t="shared" si="292"/>
        <v>0</v>
      </c>
      <c r="W4711">
        <f t="shared" si="293"/>
        <v>1</v>
      </c>
      <c r="X4711" t="str">
        <f t="shared" si="294"/>
        <v>49+ Months</v>
      </c>
      <c r="Y4711" s="1" t="str">
        <f t="shared" si="295"/>
        <v>High</v>
      </c>
    </row>
    <row r="4712" spans="1:25" x14ac:dyDescent="0.2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 t="shared" si="292"/>
        <v>0</v>
      </c>
      <c r="W4712">
        <f t="shared" si="293"/>
        <v>1</v>
      </c>
      <c r="X4712" t="str">
        <f t="shared" si="294"/>
        <v>0-12 Months</v>
      </c>
      <c r="Y4712" s="1" t="str">
        <f t="shared" si="295"/>
        <v>Low</v>
      </c>
    </row>
    <row r="4713" spans="1:25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 t="shared" si="292"/>
        <v>0</v>
      </c>
      <c r="W4713">
        <f t="shared" si="293"/>
        <v>1</v>
      </c>
      <c r="X4713" t="str">
        <f t="shared" si="294"/>
        <v>25-48 Months</v>
      </c>
      <c r="Y4713" s="1" t="str">
        <f t="shared" si="295"/>
        <v>Low</v>
      </c>
    </row>
    <row r="4714" spans="1:25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 t="shared" si="292"/>
        <v>0</v>
      </c>
      <c r="W4714">
        <f t="shared" si="293"/>
        <v>1</v>
      </c>
      <c r="X4714" t="str">
        <f t="shared" si="294"/>
        <v>49+ Months</v>
      </c>
      <c r="Y4714" s="1" t="str">
        <f t="shared" si="295"/>
        <v>High</v>
      </c>
    </row>
    <row r="4715" spans="1:25" x14ac:dyDescent="0.2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 t="shared" si="292"/>
        <v>0</v>
      </c>
      <c r="W4715">
        <f t="shared" si="293"/>
        <v>1</v>
      </c>
      <c r="X4715" t="str">
        <f t="shared" si="294"/>
        <v>49+ Months</v>
      </c>
      <c r="Y4715" s="1" t="str">
        <f t="shared" si="295"/>
        <v>High</v>
      </c>
    </row>
    <row r="4716" spans="1:25" x14ac:dyDescent="0.2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 t="shared" si="292"/>
        <v>0</v>
      </c>
      <c r="W4716">
        <f t="shared" si="293"/>
        <v>1</v>
      </c>
      <c r="X4716" t="str">
        <f t="shared" si="294"/>
        <v>49+ Months</v>
      </c>
      <c r="Y4716" s="1" t="str">
        <f t="shared" si="295"/>
        <v>High</v>
      </c>
    </row>
    <row r="4717" spans="1:25" x14ac:dyDescent="0.2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 t="shared" si="292"/>
        <v>0</v>
      </c>
      <c r="W4717">
        <f t="shared" si="293"/>
        <v>1</v>
      </c>
      <c r="X4717" t="str">
        <f t="shared" si="294"/>
        <v>49+ Months</v>
      </c>
      <c r="Y4717" s="1" t="str">
        <f t="shared" si="295"/>
        <v>High</v>
      </c>
    </row>
    <row r="4718" spans="1:25" x14ac:dyDescent="0.2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 t="shared" si="292"/>
        <v>0</v>
      </c>
      <c r="W4718">
        <f t="shared" si="293"/>
        <v>1</v>
      </c>
      <c r="X4718" t="str">
        <f t="shared" si="294"/>
        <v>49+ Months</v>
      </c>
      <c r="Y4718" s="1" t="str">
        <f t="shared" si="295"/>
        <v>Medium</v>
      </c>
    </row>
    <row r="4719" spans="1:25" x14ac:dyDescent="0.2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 t="shared" si="292"/>
        <v>0</v>
      </c>
      <c r="W4719">
        <f t="shared" si="293"/>
        <v>1</v>
      </c>
      <c r="X4719" t="str">
        <f t="shared" si="294"/>
        <v>25-48 Months</v>
      </c>
      <c r="Y4719" s="1" t="str">
        <f t="shared" si="295"/>
        <v>High</v>
      </c>
    </row>
    <row r="4720" spans="1:25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 t="shared" si="292"/>
        <v>0</v>
      </c>
      <c r="W4720">
        <f t="shared" si="293"/>
        <v>1</v>
      </c>
      <c r="X4720" t="str">
        <f t="shared" si="294"/>
        <v>13-24 Months</v>
      </c>
      <c r="Y4720" s="1" t="str">
        <f t="shared" si="295"/>
        <v>Low</v>
      </c>
    </row>
    <row r="4721" spans="1:25" x14ac:dyDescent="0.2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 t="shared" si="292"/>
        <v>1</v>
      </c>
      <c r="W4721">
        <f t="shared" si="293"/>
        <v>0</v>
      </c>
      <c r="X4721" t="str">
        <f t="shared" si="294"/>
        <v>25-48 Months</v>
      </c>
      <c r="Y4721" s="1" t="str">
        <f t="shared" si="295"/>
        <v>High</v>
      </c>
    </row>
    <row r="4722" spans="1:25" x14ac:dyDescent="0.2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 t="shared" si="292"/>
        <v>0</v>
      </c>
      <c r="W4722">
        <f t="shared" si="293"/>
        <v>1</v>
      </c>
      <c r="X4722" t="str">
        <f t="shared" si="294"/>
        <v>49+ Months</v>
      </c>
      <c r="Y4722" s="1" t="str">
        <f t="shared" si="295"/>
        <v>High</v>
      </c>
    </row>
    <row r="4723" spans="1:25" x14ac:dyDescent="0.2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 t="shared" si="292"/>
        <v>1</v>
      </c>
      <c r="W4723">
        <f t="shared" si="293"/>
        <v>0</v>
      </c>
      <c r="X4723" t="str">
        <f t="shared" si="294"/>
        <v>0-12 Months</v>
      </c>
      <c r="Y4723" s="1" t="str">
        <f t="shared" si="295"/>
        <v>Low</v>
      </c>
    </row>
    <row r="4724" spans="1:25" x14ac:dyDescent="0.2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 t="shared" si="292"/>
        <v>0</v>
      </c>
      <c r="W4724">
        <f t="shared" si="293"/>
        <v>1</v>
      </c>
      <c r="X4724" t="str">
        <f t="shared" si="294"/>
        <v>49+ Months</v>
      </c>
      <c r="Y4724" s="1" t="str">
        <f t="shared" si="295"/>
        <v>Medium</v>
      </c>
    </row>
    <row r="4725" spans="1:25" x14ac:dyDescent="0.2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 t="shared" si="292"/>
        <v>1</v>
      </c>
      <c r="W4725">
        <f t="shared" si="293"/>
        <v>0</v>
      </c>
      <c r="X4725" t="str">
        <f t="shared" si="294"/>
        <v>0-12 Months</v>
      </c>
      <c r="Y4725" s="1" t="str">
        <f t="shared" si="295"/>
        <v>Medium</v>
      </c>
    </row>
    <row r="4726" spans="1:25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 t="shared" si="292"/>
        <v>0</v>
      </c>
      <c r="W4726">
        <f t="shared" si="293"/>
        <v>1</v>
      </c>
      <c r="X4726" t="str">
        <f t="shared" si="294"/>
        <v>49+ Months</v>
      </c>
      <c r="Y4726" s="1" t="str">
        <f t="shared" si="295"/>
        <v>High</v>
      </c>
    </row>
    <row r="4727" spans="1:25" x14ac:dyDescent="0.2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 t="shared" si="292"/>
        <v>1</v>
      </c>
      <c r="W4727">
        <f t="shared" si="293"/>
        <v>0</v>
      </c>
      <c r="X4727" t="str">
        <f t="shared" si="294"/>
        <v>0-12 Months</v>
      </c>
      <c r="Y4727" s="1" t="str">
        <f t="shared" si="295"/>
        <v>Medium</v>
      </c>
    </row>
    <row r="4728" spans="1:25" x14ac:dyDescent="0.2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 t="shared" si="292"/>
        <v>0</v>
      </c>
      <c r="W4728">
        <f t="shared" si="293"/>
        <v>1</v>
      </c>
      <c r="X4728" t="str">
        <f t="shared" si="294"/>
        <v>49+ Months</v>
      </c>
      <c r="Y4728" s="1" t="str">
        <f t="shared" si="295"/>
        <v>Low</v>
      </c>
    </row>
    <row r="4729" spans="1:25" x14ac:dyDescent="0.2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 t="shared" si="292"/>
        <v>0</v>
      </c>
      <c r="W4729">
        <f t="shared" si="293"/>
        <v>1</v>
      </c>
      <c r="X4729" t="str">
        <f t="shared" si="294"/>
        <v>49+ Months</v>
      </c>
      <c r="Y4729" s="1" t="str">
        <f t="shared" si="295"/>
        <v>Low</v>
      </c>
    </row>
    <row r="4730" spans="1:25" x14ac:dyDescent="0.2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 t="shared" si="292"/>
        <v>0</v>
      </c>
      <c r="W4730">
        <f t="shared" si="293"/>
        <v>1</v>
      </c>
      <c r="X4730" t="str">
        <f t="shared" si="294"/>
        <v>25-48 Months</v>
      </c>
      <c r="Y4730" s="1" t="str">
        <f t="shared" si="295"/>
        <v>Low</v>
      </c>
    </row>
    <row r="4731" spans="1:25" x14ac:dyDescent="0.2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 t="shared" si="292"/>
        <v>0</v>
      </c>
      <c r="W4731">
        <f t="shared" si="293"/>
        <v>1</v>
      </c>
      <c r="X4731" t="str">
        <f t="shared" si="294"/>
        <v>49+ Months</v>
      </c>
      <c r="Y4731" s="1" t="str">
        <f t="shared" si="295"/>
        <v>Medium</v>
      </c>
    </row>
    <row r="4732" spans="1:25" x14ac:dyDescent="0.2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 t="shared" si="292"/>
        <v>0</v>
      </c>
      <c r="W4732">
        <f t="shared" si="293"/>
        <v>1</v>
      </c>
      <c r="X4732" t="str">
        <f t="shared" si="294"/>
        <v>25-48 Months</v>
      </c>
      <c r="Y4732" s="1" t="str">
        <f t="shared" si="295"/>
        <v>High</v>
      </c>
    </row>
    <row r="4733" spans="1:25" x14ac:dyDescent="0.2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 t="shared" si="292"/>
        <v>0</v>
      </c>
      <c r="W4733">
        <f t="shared" si="293"/>
        <v>1</v>
      </c>
      <c r="X4733" t="str">
        <f t="shared" si="294"/>
        <v>13-24 Months</v>
      </c>
      <c r="Y4733" s="1" t="str">
        <f t="shared" si="295"/>
        <v>Low</v>
      </c>
    </row>
    <row r="4734" spans="1:25" x14ac:dyDescent="0.2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 t="shared" si="292"/>
        <v>0</v>
      </c>
      <c r="W4734">
        <f t="shared" si="293"/>
        <v>1</v>
      </c>
      <c r="X4734" t="str">
        <f t="shared" si="294"/>
        <v>49+ Months</v>
      </c>
      <c r="Y4734" s="1" t="str">
        <f t="shared" si="295"/>
        <v>Low</v>
      </c>
    </row>
    <row r="4735" spans="1:25" x14ac:dyDescent="0.2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 t="shared" si="292"/>
        <v>0</v>
      </c>
      <c r="W4735">
        <f t="shared" si="293"/>
        <v>1</v>
      </c>
      <c r="X4735" t="str">
        <f t="shared" si="294"/>
        <v>0-12 Months</v>
      </c>
      <c r="Y4735" s="1" t="str">
        <f t="shared" si="295"/>
        <v>High</v>
      </c>
    </row>
    <row r="4736" spans="1:25" x14ac:dyDescent="0.2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 t="shared" si="292"/>
        <v>1</v>
      </c>
      <c r="W4736">
        <f t="shared" si="293"/>
        <v>0</v>
      </c>
      <c r="X4736" t="str">
        <f t="shared" si="294"/>
        <v>25-48 Months</v>
      </c>
      <c r="Y4736" s="1" t="str">
        <f t="shared" si="295"/>
        <v>High</v>
      </c>
    </row>
    <row r="4737" spans="1:25" x14ac:dyDescent="0.2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 t="shared" si="292"/>
        <v>0</v>
      </c>
      <c r="W4737">
        <f t="shared" si="293"/>
        <v>1</v>
      </c>
      <c r="X4737" t="str">
        <f t="shared" si="294"/>
        <v>25-48 Months</v>
      </c>
      <c r="Y4737" s="1" t="str">
        <f t="shared" si="295"/>
        <v>High</v>
      </c>
    </row>
    <row r="4738" spans="1:25" x14ac:dyDescent="0.2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 t="shared" ref="V4738:V4801" si="296">IF(U4738="Yes",1,0)</f>
        <v>0</v>
      </c>
      <c r="W4738">
        <f t="shared" ref="W4738:W4801" si="297">IF(U4738="No",1,0)</f>
        <v>1</v>
      </c>
      <c r="X4738" t="str">
        <f t="shared" ref="X4738:X4801" si="298">IF(F4738&lt;=12,"0-12 Months",IF(F4738&lt;=24,"13-24 Months",IF(F4738&lt;=48,"25-48 Months","49+ Months")))</f>
        <v>49+ Months</v>
      </c>
      <c r="Y4738" s="1" t="str">
        <f t="shared" ref="Y4738:Y4801" si="299">IF(S4738&lt;50,"Low",IF(S4738&lt;80,"Medium","High"))</f>
        <v>High</v>
      </c>
    </row>
    <row r="4739" spans="1:25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 t="shared" si="296"/>
        <v>0</v>
      </c>
      <c r="W4739">
        <f t="shared" si="297"/>
        <v>1</v>
      </c>
      <c r="X4739" t="str">
        <f t="shared" si="298"/>
        <v>49+ Months</v>
      </c>
      <c r="Y4739" s="1" t="str">
        <f t="shared" si="299"/>
        <v>High</v>
      </c>
    </row>
    <row r="4740" spans="1:25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 t="shared" si="296"/>
        <v>1</v>
      </c>
      <c r="W4740">
        <f t="shared" si="297"/>
        <v>0</v>
      </c>
      <c r="X4740" t="str">
        <f t="shared" si="298"/>
        <v>0-12 Months</v>
      </c>
      <c r="Y4740" s="1" t="str">
        <f t="shared" si="299"/>
        <v>High</v>
      </c>
    </row>
    <row r="4741" spans="1:25" x14ac:dyDescent="0.2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 t="shared" si="296"/>
        <v>0</v>
      </c>
      <c r="W4741">
        <f t="shared" si="297"/>
        <v>1</v>
      </c>
      <c r="X4741" t="str">
        <f t="shared" si="298"/>
        <v>0-12 Months</v>
      </c>
      <c r="Y4741" s="1" t="str">
        <f t="shared" si="299"/>
        <v>Medium</v>
      </c>
    </row>
    <row r="4742" spans="1:25" x14ac:dyDescent="0.2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 t="shared" si="296"/>
        <v>1</v>
      </c>
      <c r="W4742">
        <f t="shared" si="297"/>
        <v>0</v>
      </c>
      <c r="X4742" t="str">
        <f t="shared" si="298"/>
        <v>13-24 Months</v>
      </c>
      <c r="Y4742" s="1" t="str">
        <f t="shared" si="299"/>
        <v>Low</v>
      </c>
    </row>
    <row r="4743" spans="1:25" x14ac:dyDescent="0.2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 t="shared" si="296"/>
        <v>0</v>
      </c>
      <c r="W4743">
        <f t="shared" si="297"/>
        <v>1</v>
      </c>
      <c r="X4743" t="str">
        <f t="shared" si="298"/>
        <v>13-24 Months</v>
      </c>
      <c r="Y4743" s="1" t="str">
        <f t="shared" si="299"/>
        <v>High</v>
      </c>
    </row>
    <row r="4744" spans="1:25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 t="shared" si="296"/>
        <v>0</v>
      </c>
      <c r="W4744">
        <f t="shared" si="297"/>
        <v>1</v>
      </c>
      <c r="X4744" t="str">
        <f t="shared" si="298"/>
        <v>49+ Months</v>
      </c>
      <c r="Y4744" s="1" t="str">
        <f t="shared" si="299"/>
        <v>Low</v>
      </c>
    </row>
    <row r="4745" spans="1:25" x14ac:dyDescent="0.2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 t="shared" si="296"/>
        <v>0</v>
      </c>
      <c r="W4745">
        <f t="shared" si="297"/>
        <v>1</v>
      </c>
      <c r="X4745" t="str">
        <f t="shared" si="298"/>
        <v>49+ Months</v>
      </c>
      <c r="Y4745" s="1" t="str">
        <f t="shared" si="299"/>
        <v>Medium</v>
      </c>
    </row>
    <row r="4746" spans="1:25" x14ac:dyDescent="0.2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 t="shared" si="296"/>
        <v>0</v>
      </c>
      <c r="W4746">
        <f t="shared" si="297"/>
        <v>1</v>
      </c>
      <c r="X4746" t="str">
        <f t="shared" si="298"/>
        <v>49+ Months</v>
      </c>
      <c r="Y4746" s="1" t="str">
        <f t="shared" si="299"/>
        <v>Low</v>
      </c>
    </row>
    <row r="4747" spans="1:25" x14ac:dyDescent="0.2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 t="shared" si="296"/>
        <v>0</v>
      </c>
      <c r="W4747">
        <f t="shared" si="297"/>
        <v>1</v>
      </c>
      <c r="X4747" t="str">
        <f t="shared" si="298"/>
        <v>25-48 Months</v>
      </c>
      <c r="Y4747" s="1" t="str">
        <f t="shared" si="299"/>
        <v>High</v>
      </c>
    </row>
    <row r="4748" spans="1:25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 t="shared" si="296"/>
        <v>1</v>
      </c>
      <c r="W4748">
        <f t="shared" si="297"/>
        <v>0</v>
      </c>
      <c r="X4748" t="str">
        <f t="shared" si="298"/>
        <v>0-12 Months</v>
      </c>
      <c r="Y4748" s="1" t="str">
        <f t="shared" si="299"/>
        <v>Medium</v>
      </c>
    </row>
    <row r="4749" spans="1:25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 t="shared" si="296"/>
        <v>0</v>
      </c>
      <c r="W4749">
        <f t="shared" si="297"/>
        <v>1</v>
      </c>
      <c r="X4749" t="str">
        <f t="shared" si="298"/>
        <v>25-48 Months</v>
      </c>
      <c r="Y4749" s="1" t="str">
        <f t="shared" si="299"/>
        <v>Low</v>
      </c>
    </row>
    <row r="4750" spans="1:25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 t="shared" si="296"/>
        <v>0</v>
      </c>
      <c r="W4750">
        <f t="shared" si="297"/>
        <v>1</v>
      </c>
      <c r="X4750" t="str">
        <f t="shared" si="298"/>
        <v>13-24 Months</v>
      </c>
      <c r="Y4750" s="1" t="str">
        <f t="shared" si="299"/>
        <v>Low</v>
      </c>
    </row>
    <row r="4751" spans="1:25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 t="shared" si="296"/>
        <v>1</v>
      </c>
      <c r="W4751">
        <f t="shared" si="297"/>
        <v>0</v>
      </c>
      <c r="X4751" t="str">
        <f t="shared" si="298"/>
        <v>0-12 Months</v>
      </c>
      <c r="Y4751" s="1" t="str">
        <f t="shared" si="299"/>
        <v>Low</v>
      </c>
    </row>
    <row r="4752" spans="1:25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 t="shared" si="296"/>
        <v>0</v>
      </c>
      <c r="W4752">
        <f t="shared" si="297"/>
        <v>1</v>
      </c>
      <c r="X4752" t="str">
        <f t="shared" si="298"/>
        <v>0-12 Months</v>
      </c>
      <c r="Y4752" s="1" t="str">
        <f t="shared" si="299"/>
        <v>Low</v>
      </c>
    </row>
    <row r="4753" spans="1:25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 t="shared" si="296"/>
        <v>1</v>
      </c>
      <c r="W4753">
        <f t="shared" si="297"/>
        <v>0</v>
      </c>
      <c r="X4753" t="str">
        <f t="shared" si="298"/>
        <v>0-12 Months</v>
      </c>
      <c r="Y4753" s="1" t="str">
        <f t="shared" si="299"/>
        <v>Low</v>
      </c>
    </row>
    <row r="4754" spans="1:25" x14ac:dyDescent="0.2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 t="shared" si="296"/>
        <v>0</v>
      </c>
      <c r="W4754">
        <f t="shared" si="297"/>
        <v>1</v>
      </c>
      <c r="X4754" t="str">
        <f t="shared" si="298"/>
        <v>13-24 Months</v>
      </c>
      <c r="Y4754" s="1" t="str">
        <f t="shared" si="299"/>
        <v>Low</v>
      </c>
    </row>
    <row r="4755" spans="1:25" x14ac:dyDescent="0.2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 t="shared" si="296"/>
        <v>1</v>
      </c>
      <c r="W4755">
        <f t="shared" si="297"/>
        <v>0</v>
      </c>
      <c r="X4755" t="str">
        <f t="shared" si="298"/>
        <v>0-12 Months</v>
      </c>
      <c r="Y4755" s="1" t="str">
        <f t="shared" si="299"/>
        <v>High</v>
      </c>
    </row>
    <row r="4756" spans="1:25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 t="shared" si="296"/>
        <v>0</v>
      </c>
      <c r="W4756">
        <f t="shared" si="297"/>
        <v>1</v>
      </c>
      <c r="X4756" t="str">
        <f t="shared" si="298"/>
        <v>49+ Months</v>
      </c>
      <c r="Y4756" s="1" t="str">
        <f t="shared" si="299"/>
        <v>Low</v>
      </c>
    </row>
    <row r="4757" spans="1:25" x14ac:dyDescent="0.2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 t="shared" si="296"/>
        <v>0</v>
      </c>
      <c r="W4757">
        <f t="shared" si="297"/>
        <v>1</v>
      </c>
      <c r="X4757" t="str">
        <f t="shared" si="298"/>
        <v>25-48 Months</v>
      </c>
      <c r="Y4757" s="1" t="str">
        <f t="shared" si="299"/>
        <v>High</v>
      </c>
    </row>
    <row r="4758" spans="1:25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 t="shared" si="296"/>
        <v>0</v>
      </c>
      <c r="W4758">
        <f t="shared" si="297"/>
        <v>1</v>
      </c>
      <c r="X4758" t="str">
        <f t="shared" si="298"/>
        <v>25-48 Months</v>
      </c>
      <c r="Y4758" s="1" t="str">
        <f t="shared" si="299"/>
        <v>Medium</v>
      </c>
    </row>
    <row r="4759" spans="1:25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 t="shared" si="296"/>
        <v>1</v>
      </c>
      <c r="W4759">
        <f t="shared" si="297"/>
        <v>0</v>
      </c>
      <c r="X4759" t="str">
        <f t="shared" si="298"/>
        <v>0-12 Months</v>
      </c>
      <c r="Y4759" s="1" t="str">
        <f t="shared" si="299"/>
        <v>Medium</v>
      </c>
    </row>
    <row r="4760" spans="1:25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 t="shared" si="296"/>
        <v>0</v>
      </c>
      <c r="W4760">
        <f t="shared" si="297"/>
        <v>1</v>
      </c>
      <c r="X4760" t="str">
        <f t="shared" si="298"/>
        <v>49+ Months</v>
      </c>
      <c r="Y4760" s="1" t="str">
        <f t="shared" si="299"/>
        <v>Low</v>
      </c>
    </row>
    <row r="4761" spans="1:25" x14ac:dyDescent="0.2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 t="shared" si="296"/>
        <v>1</v>
      </c>
      <c r="W4761">
        <f t="shared" si="297"/>
        <v>0</v>
      </c>
      <c r="X4761" t="str">
        <f t="shared" si="298"/>
        <v>0-12 Months</v>
      </c>
      <c r="Y4761" s="1" t="str">
        <f t="shared" si="299"/>
        <v>Medium</v>
      </c>
    </row>
    <row r="4762" spans="1:25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 t="shared" si="296"/>
        <v>0</v>
      </c>
      <c r="W4762">
        <f t="shared" si="297"/>
        <v>1</v>
      </c>
      <c r="X4762" t="str">
        <f t="shared" si="298"/>
        <v>49+ Months</v>
      </c>
      <c r="Y4762" s="1" t="str">
        <f t="shared" si="299"/>
        <v>Medium</v>
      </c>
    </row>
    <row r="4763" spans="1:25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 t="shared" si="296"/>
        <v>0</v>
      </c>
      <c r="W4763">
        <f t="shared" si="297"/>
        <v>1</v>
      </c>
      <c r="X4763" t="str">
        <f t="shared" si="298"/>
        <v>49+ Months</v>
      </c>
      <c r="Y4763" s="1" t="str">
        <f t="shared" si="299"/>
        <v>Low</v>
      </c>
    </row>
    <row r="4764" spans="1:25" x14ac:dyDescent="0.2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 t="shared" si="296"/>
        <v>0</v>
      </c>
      <c r="W4764">
        <f t="shared" si="297"/>
        <v>1</v>
      </c>
      <c r="X4764" t="str">
        <f t="shared" si="298"/>
        <v>25-48 Months</v>
      </c>
      <c r="Y4764" s="1" t="str">
        <f t="shared" si="299"/>
        <v>Medium</v>
      </c>
    </row>
    <row r="4765" spans="1:25" x14ac:dyDescent="0.2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 t="shared" si="296"/>
        <v>0</v>
      </c>
      <c r="W4765">
        <f t="shared" si="297"/>
        <v>1</v>
      </c>
      <c r="X4765" t="str">
        <f t="shared" si="298"/>
        <v>49+ Months</v>
      </c>
      <c r="Y4765" s="1" t="str">
        <f t="shared" si="299"/>
        <v>High</v>
      </c>
    </row>
    <row r="4766" spans="1:25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 t="shared" si="296"/>
        <v>1</v>
      </c>
      <c r="W4766">
        <f t="shared" si="297"/>
        <v>0</v>
      </c>
      <c r="X4766" t="str">
        <f t="shared" si="298"/>
        <v>0-12 Months</v>
      </c>
      <c r="Y4766" s="1" t="str">
        <f t="shared" si="299"/>
        <v>Low</v>
      </c>
    </row>
    <row r="4767" spans="1:25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 t="shared" si="296"/>
        <v>0</v>
      </c>
      <c r="W4767">
        <f t="shared" si="297"/>
        <v>1</v>
      </c>
      <c r="X4767" t="str">
        <f t="shared" si="298"/>
        <v>25-48 Months</v>
      </c>
      <c r="Y4767" s="1" t="str">
        <f t="shared" si="299"/>
        <v>Low</v>
      </c>
    </row>
    <row r="4768" spans="1:25" x14ac:dyDescent="0.2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 t="shared" si="296"/>
        <v>0</v>
      </c>
      <c r="W4768">
        <f t="shared" si="297"/>
        <v>1</v>
      </c>
      <c r="X4768" t="str">
        <f t="shared" si="298"/>
        <v>49+ Months</v>
      </c>
      <c r="Y4768" s="1" t="str">
        <f t="shared" si="299"/>
        <v>High</v>
      </c>
    </row>
    <row r="4769" spans="1:25" x14ac:dyDescent="0.2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 t="shared" si="296"/>
        <v>0</v>
      </c>
      <c r="W4769">
        <f t="shared" si="297"/>
        <v>1</v>
      </c>
      <c r="X4769" t="str">
        <f t="shared" si="298"/>
        <v>0-12 Months</v>
      </c>
      <c r="Y4769" s="1" t="str">
        <f t="shared" si="299"/>
        <v>Low</v>
      </c>
    </row>
    <row r="4770" spans="1:25" x14ac:dyDescent="0.2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 t="shared" si="296"/>
        <v>0</v>
      </c>
      <c r="W4770">
        <f t="shared" si="297"/>
        <v>1</v>
      </c>
      <c r="X4770" t="str">
        <f t="shared" si="298"/>
        <v>49+ Months</v>
      </c>
      <c r="Y4770" s="1" t="str">
        <f t="shared" si="299"/>
        <v>Low</v>
      </c>
    </row>
    <row r="4771" spans="1:25" x14ac:dyDescent="0.2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 t="shared" si="296"/>
        <v>0</v>
      </c>
      <c r="W4771">
        <f t="shared" si="297"/>
        <v>1</v>
      </c>
      <c r="X4771" t="str">
        <f t="shared" si="298"/>
        <v>25-48 Months</v>
      </c>
      <c r="Y4771" s="1" t="str">
        <f t="shared" si="299"/>
        <v>Low</v>
      </c>
    </row>
    <row r="4772" spans="1:25" x14ac:dyDescent="0.2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 t="shared" si="296"/>
        <v>0</v>
      </c>
      <c r="W4772">
        <f t="shared" si="297"/>
        <v>1</v>
      </c>
      <c r="X4772" t="str">
        <f t="shared" si="298"/>
        <v>0-12 Months</v>
      </c>
      <c r="Y4772" s="1" t="str">
        <f t="shared" si="299"/>
        <v>Low</v>
      </c>
    </row>
    <row r="4773" spans="1:25" x14ac:dyDescent="0.2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 t="shared" si="296"/>
        <v>1</v>
      </c>
      <c r="W4773">
        <f t="shared" si="297"/>
        <v>0</v>
      </c>
      <c r="X4773" t="str">
        <f t="shared" si="298"/>
        <v>0-12 Months</v>
      </c>
      <c r="Y4773" s="1" t="str">
        <f t="shared" si="299"/>
        <v>Medium</v>
      </c>
    </row>
    <row r="4774" spans="1:25" x14ac:dyDescent="0.2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 t="shared" si="296"/>
        <v>0</v>
      </c>
      <c r="W4774">
        <f t="shared" si="297"/>
        <v>1</v>
      </c>
      <c r="X4774" t="str">
        <f t="shared" si="298"/>
        <v>49+ Months</v>
      </c>
      <c r="Y4774" s="1" t="str">
        <f t="shared" si="299"/>
        <v>Medium</v>
      </c>
    </row>
    <row r="4775" spans="1:25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 t="shared" si="296"/>
        <v>1</v>
      </c>
      <c r="W4775">
        <f t="shared" si="297"/>
        <v>0</v>
      </c>
      <c r="X4775" t="str">
        <f t="shared" si="298"/>
        <v>25-48 Months</v>
      </c>
      <c r="Y4775" s="1" t="str">
        <f t="shared" si="299"/>
        <v>Medium</v>
      </c>
    </row>
    <row r="4776" spans="1:25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 t="shared" si="296"/>
        <v>0</v>
      </c>
      <c r="W4776">
        <f t="shared" si="297"/>
        <v>1</v>
      </c>
      <c r="X4776" t="str">
        <f t="shared" si="298"/>
        <v>49+ Months</v>
      </c>
      <c r="Y4776" s="1" t="str">
        <f t="shared" si="299"/>
        <v>High</v>
      </c>
    </row>
    <row r="4777" spans="1:25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 t="shared" si="296"/>
        <v>1</v>
      </c>
      <c r="W4777">
        <f t="shared" si="297"/>
        <v>0</v>
      </c>
      <c r="X4777" t="str">
        <f t="shared" si="298"/>
        <v>13-24 Months</v>
      </c>
      <c r="Y4777" s="1" t="str">
        <f t="shared" si="299"/>
        <v>High</v>
      </c>
    </row>
    <row r="4778" spans="1:25" x14ac:dyDescent="0.2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 t="shared" si="296"/>
        <v>0</v>
      </c>
      <c r="W4778">
        <f t="shared" si="297"/>
        <v>1</v>
      </c>
      <c r="X4778" t="str">
        <f t="shared" si="298"/>
        <v>0-12 Months</v>
      </c>
      <c r="Y4778" s="1" t="str">
        <f t="shared" si="299"/>
        <v>Medium</v>
      </c>
    </row>
    <row r="4779" spans="1:25" x14ac:dyDescent="0.2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 t="shared" si="296"/>
        <v>0</v>
      </c>
      <c r="W4779">
        <f t="shared" si="297"/>
        <v>1</v>
      </c>
      <c r="X4779" t="str">
        <f t="shared" si="298"/>
        <v>0-12 Months</v>
      </c>
      <c r="Y4779" s="1" t="str">
        <f t="shared" si="299"/>
        <v>Medium</v>
      </c>
    </row>
    <row r="4780" spans="1:25" x14ac:dyDescent="0.2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 t="shared" si="296"/>
        <v>0</v>
      </c>
      <c r="W4780">
        <f t="shared" si="297"/>
        <v>1</v>
      </c>
      <c r="X4780" t="str">
        <f t="shared" si="298"/>
        <v>49+ Months</v>
      </c>
      <c r="Y4780" s="1" t="str">
        <f t="shared" si="299"/>
        <v>Low</v>
      </c>
    </row>
    <row r="4781" spans="1:25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 t="shared" si="296"/>
        <v>0</v>
      </c>
      <c r="W4781">
        <f t="shared" si="297"/>
        <v>1</v>
      </c>
      <c r="X4781" t="str">
        <f t="shared" si="298"/>
        <v>13-24 Months</v>
      </c>
      <c r="Y4781" s="1" t="str">
        <f t="shared" si="299"/>
        <v>High</v>
      </c>
    </row>
    <row r="4782" spans="1:25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 t="shared" si="296"/>
        <v>0</v>
      </c>
      <c r="W4782">
        <f t="shared" si="297"/>
        <v>1</v>
      </c>
      <c r="X4782" t="str">
        <f t="shared" si="298"/>
        <v>0-12 Months</v>
      </c>
      <c r="Y4782" s="1" t="str">
        <f t="shared" si="299"/>
        <v>Medium</v>
      </c>
    </row>
    <row r="4783" spans="1:25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 t="shared" si="296"/>
        <v>0</v>
      </c>
      <c r="W4783">
        <f t="shared" si="297"/>
        <v>1</v>
      </c>
      <c r="X4783" t="str">
        <f t="shared" si="298"/>
        <v>49+ Months</v>
      </c>
      <c r="Y4783" s="1" t="str">
        <f t="shared" si="299"/>
        <v>Low</v>
      </c>
    </row>
    <row r="4784" spans="1:25" x14ac:dyDescent="0.2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 t="shared" si="296"/>
        <v>0</v>
      </c>
      <c r="W4784">
        <f t="shared" si="297"/>
        <v>1</v>
      </c>
      <c r="X4784" t="str">
        <f t="shared" si="298"/>
        <v>0-12 Months</v>
      </c>
      <c r="Y4784" s="1" t="str">
        <f t="shared" si="299"/>
        <v>Medium</v>
      </c>
    </row>
    <row r="4785" spans="1:25" x14ac:dyDescent="0.2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 t="shared" si="296"/>
        <v>0</v>
      </c>
      <c r="W4785">
        <f t="shared" si="297"/>
        <v>1</v>
      </c>
      <c r="X4785" t="str">
        <f t="shared" si="298"/>
        <v>49+ Months</v>
      </c>
      <c r="Y4785" s="1" t="str">
        <f t="shared" si="299"/>
        <v>Medium</v>
      </c>
    </row>
    <row r="4786" spans="1:25" x14ac:dyDescent="0.2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 t="shared" si="296"/>
        <v>0</v>
      </c>
      <c r="W4786">
        <f t="shared" si="297"/>
        <v>1</v>
      </c>
      <c r="X4786" t="str">
        <f t="shared" si="298"/>
        <v>0-12 Months</v>
      </c>
      <c r="Y4786" s="1" t="str">
        <f t="shared" si="299"/>
        <v>Low</v>
      </c>
    </row>
    <row r="4787" spans="1:25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 t="shared" si="296"/>
        <v>1</v>
      </c>
      <c r="W4787">
        <f t="shared" si="297"/>
        <v>0</v>
      </c>
      <c r="X4787" t="str">
        <f t="shared" si="298"/>
        <v>13-24 Months</v>
      </c>
      <c r="Y4787" s="1" t="str">
        <f t="shared" si="299"/>
        <v>High</v>
      </c>
    </row>
    <row r="4788" spans="1:25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 t="shared" si="296"/>
        <v>0</v>
      </c>
      <c r="W4788">
        <f t="shared" si="297"/>
        <v>1</v>
      </c>
      <c r="X4788" t="str">
        <f t="shared" si="298"/>
        <v>49+ Months</v>
      </c>
      <c r="Y4788" s="1" t="str">
        <f t="shared" si="299"/>
        <v>High</v>
      </c>
    </row>
    <row r="4789" spans="1:25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 t="shared" si="296"/>
        <v>0</v>
      </c>
      <c r="W4789">
        <f t="shared" si="297"/>
        <v>1</v>
      </c>
      <c r="X4789" t="str">
        <f t="shared" si="298"/>
        <v>0-12 Months</v>
      </c>
      <c r="Y4789" s="1" t="str">
        <f t="shared" si="299"/>
        <v>Medium</v>
      </c>
    </row>
    <row r="4790" spans="1:25" x14ac:dyDescent="0.2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 t="shared" si="296"/>
        <v>0</v>
      </c>
      <c r="W4790">
        <f t="shared" si="297"/>
        <v>1</v>
      </c>
      <c r="X4790" t="str">
        <f t="shared" si="298"/>
        <v>49+ Months</v>
      </c>
      <c r="Y4790" s="1" t="str">
        <f t="shared" si="299"/>
        <v>Medium</v>
      </c>
    </row>
    <row r="4791" spans="1:25" x14ac:dyDescent="0.2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 t="shared" si="296"/>
        <v>1</v>
      </c>
      <c r="W4791">
        <f t="shared" si="297"/>
        <v>0</v>
      </c>
      <c r="X4791" t="str">
        <f t="shared" si="298"/>
        <v>0-12 Months</v>
      </c>
      <c r="Y4791" s="1" t="str">
        <f t="shared" si="299"/>
        <v>Medium</v>
      </c>
    </row>
    <row r="4792" spans="1:25" x14ac:dyDescent="0.2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 t="shared" si="296"/>
        <v>0</v>
      </c>
      <c r="W4792">
        <f t="shared" si="297"/>
        <v>1</v>
      </c>
      <c r="X4792" t="str">
        <f t="shared" si="298"/>
        <v>25-48 Months</v>
      </c>
      <c r="Y4792" s="1" t="str">
        <f t="shared" si="299"/>
        <v>High</v>
      </c>
    </row>
    <row r="4793" spans="1:25" x14ac:dyDescent="0.2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 t="shared" si="296"/>
        <v>0</v>
      </c>
      <c r="W4793">
        <f t="shared" si="297"/>
        <v>1</v>
      </c>
      <c r="X4793" t="str">
        <f t="shared" si="298"/>
        <v>0-12 Months</v>
      </c>
      <c r="Y4793" s="1" t="str">
        <f t="shared" si="299"/>
        <v>Low</v>
      </c>
    </row>
    <row r="4794" spans="1:25" x14ac:dyDescent="0.2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 t="shared" si="296"/>
        <v>1</v>
      </c>
      <c r="W4794">
        <f t="shared" si="297"/>
        <v>0</v>
      </c>
      <c r="X4794" t="str">
        <f t="shared" si="298"/>
        <v>49+ Months</v>
      </c>
      <c r="Y4794" s="1" t="str">
        <f t="shared" si="299"/>
        <v>High</v>
      </c>
    </row>
    <row r="4795" spans="1:25" x14ac:dyDescent="0.2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 t="shared" si="296"/>
        <v>0</v>
      </c>
      <c r="W4795">
        <f t="shared" si="297"/>
        <v>1</v>
      </c>
      <c r="X4795" t="str">
        <f t="shared" si="298"/>
        <v>49+ Months</v>
      </c>
      <c r="Y4795" s="1" t="str">
        <f t="shared" si="299"/>
        <v>High</v>
      </c>
    </row>
    <row r="4796" spans="1:25" x14ac:dyDescent="0.2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 t="shared" si="296"/>
        <v>0</v>
      </c>
      <c r="W4796">
        <f t="shared" si="297"/>
        <v>1</v>
      </c>
      <c r="X4796" t="str">
        <f t="shared" si="298"/>
        <v>0-12 Months</v>
      </c>
      <c r="Y4796" s="1" t="str">
        <f t="shared" si="299"/>
        <v>Low</v>
      </c>
    </row>
    <row r="4797" spans="1:25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 t="shared" si="296"/>
        <v>1</v>
      </c>
      <c r="W4797">
        <f t="shared" si="297"/>
        <v>0</v>
      </c>
      <c r="X4797" t="str">
        <f t="shared" si="298"/>
        <v>49+ Months</v>
      </c>
      <c r="Y4797" s="1" t="str">
        <f t="shared" si="299"/>
        <v>Low</v>
      </c>
    </row>
    <row r="4798" spans="1:25" x14ac:dyDescent="0.2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 t="shared" si="296"/>
        <v>0</v>
      </c>
      <c r="W4798">
        <f t="shared" si="297"/>
        <v>1</v>
      </c>
      <c r="X4798" t="str">
        <f t="shared" si="298"/>
        <v>49+ Months</v>
      </c>
      <c r="Y4798" s="1" t="str">
        <f t="shared" si="299"/>
        <v>High</v>
      </c>
    </row>
    <row r="4799" spans="1:25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 t="shared" si="296"/>
        <v>0</v>
      </c>
      <c r="W4799">
        <f t="shared" si="297"/>
        <v>1</v>
      </c>
      <c r="X4799" t="str">
        <f t="shared" si="298"/>
        <v>49+ Months</v>
      </c>
      <c r="Y4799" s="1" t="str">
        <f t="shared" si="299"/>
        <v>High</v>
      </c>
    </row>
    <row r="4800" spans="1:25" x14ac:dyDescent="0.2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 t="shared" si="296"/>
        <v>0</v>
      </c>
      <c r="W4800">
        <f t="shared" si="297"/>
        <v>1</v>
      </c>
      <c r="X4800" t="str">
        <f t="shared" si="298"/>
        <v>25-48 Months</v>
      </c>
      <c r="Y4800" s="1" t="str">
        <f t="shared" si="299"/>
        <v>Medium</v>
      </c>
    </row>
    <row r="4801" spans="1:25" x14ac:dyDescent="0.2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 t="shared" si="296"/>
        <v>0</v>
      </c>
      <c r="W4801">
        <f t="shared" si="297"/>
        <v>1</v>
      </c>
      <c r="X4801" t="str">
        <f t="shared" si="298"/>
        <v>0-12 Months</v>
      </c>
      <c r="Y4801" s="1" t="str">
        <f t="shared" si="299"/>
        <v>Low</v>
      </c>
    </row>
    <row r="4802" spans="1:25" x14ac:dyDescent="0.2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 t="shared" ref="V4802:V4865" si="300">IF(U4802="Yes",1,0)</f>
        <v>1</v>
      </c>
      <c r="W4802">
        <f t="shared" ref="W4802:W4865" si="301">IF(U4802="No",1,0)</f>
        <v>0</v>
      </c>
      <c r="X4802" t="str">
        <f t="shared" ref="X4802:X4865" si="302">IF(F4802&lt;=12,"0-12 Months",IF(F4802&lt;=24,"13-24 Months",IF(F4802&lt;=48,"25-48 Months","49+ Months")))</f>
        <v>0-12 Months</v>
      </c>
      <c r="Y4802" s="1" t="str">
        <f t="shared" ref="Y4802:Y4865" si="303">IF(S4802&lt;50,"Low",IF(S4802&lt;80,"Medium","High"))</f>
        <v>High</v>
      </c>
    </row>
    <row r="4803" spans="1:25" x14ac:dyDescent="0.2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 t="shared" si="300"/>
        <v>0</v>
      </c>
      <c r="W4803">
        <f t="shared" si="301"/>
        <v>1</v>
      </c>
      <c r="X4803" t="str">
        <f t="shared" si="302"/>
        <v>49+ Months</v>
      </c>
      <c r="Y4803" s="1" t="str">
        <f t="shared" si="303"/>
        <v>High</v>
      </c>
    </row>
    <row r="4804" spans="1:25" x14ac:dyDescent="0.2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 t="shared" si="300"/>
        <v>0</v>
      </c>
      <c r="W4804">
        <f t="shared" si="301"/>
        <v>1</v>
      </c>
      <c r="X4804" t="str">
        <f t="shared" si="302"/>
        <v>25-48 Months</v>
      </c>
      <c r="Y4804" s="1" t="str">
        <f t="shared" si="303"/>
        <v>Medium</v>
      </c>
    </row>
    <row r="4805" spans="1:25" x14ac:dyDescent="0.2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 t="shared" si="300"/>
        <v>0</v>
      </c>
      <c r="W4805">
        <f t="shared" si="301"/>
        <v>1</v>
      </c>
      <c r="X4805" t="str">
        <f t="shared" si="302"/>
        <v>25-48 Months</v>
      </c>
      <c r="Y4805" s="1" t="str">
        <f t="shared" si="303"/>
        <v>High</v>
      </c>
    </row>
    <row r="4806" spans="1:25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 t="shared" si="300"/>
        <v>0</v>
      </c>
      <c r="W4806">
        <f t="shared" si="301"/>
        <v>1</v>
      </c>
      <c r="X4806" t="str">
        <f t="shared" si="302"/>
        <v>49+ Months</v>
      </c>
      <c r="Y4806" s="1" t="str">
        <f t="shared" si="303"/>
        <v>High</v>
      </c>
    </row>
    <row r="4807" spans="1:25" x14ac:dyDescent="0.2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 t="shared" si="300"/>
        <v>0</v>
      </c>
      <c r="W4807">
        <f t="shared" si="301"/>
        <v>1</v>
      </c>
      <c r="X4807" t="str">
        <f t="shared" si="302"/>
        <v>49+ Months</v>
      </c>
      <c r="Y4807" s="1" t="str">
        <f t="shared" si="303"/>
        <v>Low</v>
      </c>
    </row>
    <row r="4808" spans="1:25" x14ac:dyDescent="0.2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 t="shared" si="300"/>
        <v>0</v>
      </c>
      <c r="W4808">
        <f t="shared" si="301"/>
        <v>1</v>
      </c>
      <c r="X4808" t="str">
        <f t="shared" si="302"/>
        <v>49+ Months</v>
      </c>
      <c r="Y4808" s="1" t="str">
        <f t="shared" si="303"/>
        <v>Low</v>
      </c>
    </row>
    <row r="4809" spans="1:25" x14ac:dyDescent="0.2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 t="shared" si="300"/>
        <v>0</v>
      </c>
      <c r="W4809">
        <f t="shared" si="301"/>
        <v>1</v>
      </c>
      <c r="X4809" t="str">
        <f t="shared" si="302"/>
        <v>25-48 Months</v>
      </c>
      <c r="Y4809" s="1" t="str">
        <f t="shared" si="303"/>
        <v>High</v>
      </c>
    </row>
    <row r="4810" spans="1:25" x14ac:dyDescent="0.2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 t="shared" si="300"/>
        <v>0</v>
      </c>
      <c r="W4810">
        <f t="shared" si="301"/>
        <v>1</v>
      </c>
      <c r="X4810" t="str">
        <f t="shared" si="302"/>
        <v>49+ Months</v>
      </c>
      <c r="Y4810" s="1" t="str">
        <f t="shared" si="303"/>
        <v>High</v>
      </c>
    </row>
    <row r="4811" spans="1:25" x14ac:dyDescent="0.2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 t="shared" si="300"/>
        <v>0</v>
      </c>
      <c r="W4811">
        <f t="shared" si="301"/>
        <v>1</v>
      </c>
      <c r="X4811" t="str">
        <f t="shared" si="302"/>
        <v>0-12 Months</v>
      </c>
      <c r="Y4811" s="1" t="str">
        <f t="shared" si="303"/>
        <v>Low</v>
      </c>
    </row>
    <row r="4812" spans="1:25" x14ac:dyDescent="0.2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 t="shared" si="300"/>
        <v>1</v>
      </c>
      <c r="W4812">
        <f t="shared" si="301"/>
        <v>0</v>
      </c>
      <c r="X4812" t="str">
        <f t="shared" si="302"/>
        <v>13-24 Months</v>
      </c>
      <c r="Y4812" s="1" t="str">
        <f t="shared" si="303"/>
        <v>High</v>
      </c>
    </row>
    <row r="4813" spans="1:25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 t="shared" si="300"/>
        <v>1</v>
      </c>
      <c r="W4813">
        <f t="shared" si="301"/>
        <v>0</v>
      </c>
      <c r="X4813" t="str">
        <f t="shared" si="302"/>
        <v>0-12 Months</v>
      </c>
      <c r="Y4813" s="1" t="str">
        <f t="shared" si="303"/>
        <v>Low</v>
      </c>
    </row>
    <row r="4814" spans="1:25" x14ac:dyDescent="0.2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 t="shared" si="300"/>
        <v>1</v>
      </c>
      <c r="W4814">
        <f t="shared" si="301"/>
        <v>0</v>
      </c>
      <c r="X4814" t="str">
        <f t="shared" si="302"/>
        <v>0-12 Months</v>
      </c>
      <c r="Y4814" s="1" t="str">
        <f t="shared" si="303"/>
        <v>Medium</v>
      </c>
    </row>
    <row r="4815" spans="1:25" x14ac:dyDescent="0.2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 t="shared" si="300"/>
        <v>0</v>
      </c>
      <c r="W4815">
        <f t="shared" si="301"/>
        <v>1</v>
      </c>
      <c r="X4815" t="str">
        <f t="shared" si="302"/>
        <v>25-48 Months</v>
      </c>
      <c r="Y4815" s="1" t="str">
        <f t="shared" si="303"/>
        <v>High</v>
      </c>
    </row>
    <row r="4816" spans="1:25" x14ac:dyDescent="0.2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 t="shared" si="300"/>
        <v>1</v>
      </c>
      <c r="W4816">
        <f t="shared" si="301"/>
        <v>0</v>
      </c>
      <c r="X4816" t="str">
        <f t="shared" si="302"/>
        <v>13-24 Months</v>
      </c>
      <c r="Y4816" s="1" t="str">
        <f t="shared" si="303"/>
        <v>High</v>
      </c>
    </row>
    <row r="4817" spans="1:25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 t="shared" si="300"/>
        <v>1</v>
      </c>
      <c r="W4817">
        <f t="shared" si="301"/>
        <v>0</v>
      </c>
      <c r="X4817" t="str">
        <f t="shared" si="302"/>
        <v>25-48 Months</v>
      </c>
      <c r="Y4817" s="1" t="str">
        <f t="shared" si="303"/>
        <v>Medium</v>
      </c>
    </row>
    <row r="4818" spans="1:25" x14ac:dyDescent="0.2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 t="shared" si="300"/>
        <v>0</v>
      </c>
      <c r="W4818">
        <f t="shared" si="301"/>
        <v>1</v>
      </c>
      <c r="X4818" t="str">
        <f t="shared" si="302"/>
        <v>49+ Months</v>
      </c>
      <c r="Y4818" s="1" t="str">
        <f t="shared" si="303"/>
        <v>Medium</v>
      </c>
    </row>
    <row r="4819" spans="1:25" x14ac:dyDescent="0.2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 t="shared" si="300"/>
        <v>0</v>
      </c>
      <c r="W4819">
        <f t="shared" si="301"/>
        <v>1</v>
      </c>
      <c r="X4819" t="str">
        <f t="shared" si="302"/>
        <v>0-12 Months</v>
      </c>
      <c r="Y4819" s="1" t="str">
        <f t="shared" si="303"/>
        <v>Low</v>
      </c>
    </row>
    <row r="4820" spans="1:25" x14ac:dyDescent="0.2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 t="shared" si="300"/>
        <v>0</v>
      </c>
      <c r="W4820">
        <f t="shared" si="301"/>
        <v>1</v>
      </c>
      <c r="X4820" t="str">
        <f t="shared" si="302"/>
        <v>49+ Months</v>
      </c>
      <c r="Y4820" s="1" t="str">
        <f t="shared" si="303"/>
        <v>High</v>
      </c>
    </row>
    <row r="4821" spans="1:25" x14ac:dyDescent="0.2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 t="shared" si="300"/>
        <v>1</v>
      </c>
      <c r="W4821">
        <f t="shared" si="301"/>
        <v>0</v>
      </c>
      <c r="X4821" t="str">
        <f t="shared" si="302"/>
        <v>49+ Months</v>
      </c>
      <c r="Y4821" s="1" t="str">
        <f t="shared" si="303"/>
        <v>Low</v>
      </c>
    </row>
    <row r="4822" spans="1:25" x14ac:dyDescent="0.2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 t="shared" si="300"/>
        <v>0</v>
      </c>
      <c r="W4822">
        <f t="shared" si="301"/>
        <v>1</v>
      </c>
      <c r="X4822" t="str">
        <f t="shared" si="302"/>
        <v>49+ Months</v>
      </c>
      <c r="Y4822" s="1" t="str">
        <f t="shared" si="303"/>
        <v>High</v>
      </c>
    </row>
    <row r="4823" spans="1:25" x14ac:dyDescent="0.2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 t="shared" si="300"/>
        <v>0</v>
      </c>
      <c r="W4823">
        <f t="shared" si="301"/>
        <v>1</v>
      </c>
      <c r="X4823" t="str">
        <f t="shared" si="302"/>
        <v>49+ Months</v>
      </c>
      <c r="Y4823" s="1" t="str">
        <f t="shared" si="303"/>
        <v>Medium</v>
      </c>
    </row>
    <row r="4824" spans="1:25" x14ac:dyDescent="0.2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 t="shared" si="300"/>
        <v>0</v>
      </c>
      <c r="W4824">
        <f t="shared" si="301"/>
        <v>1</v>
      </c>
      <c r="X4824" t="str">
        <f t="shared" si="302"/>
        <v>49+ Months</v>
      </c>
      <c r="Y4824" s="1" t="str">
        <f t="shared" si="303"/>
        <v>High</v>
      </c>
    </row>
    <row r="4825" spans="1:25" x14ac:dyDescent="0.2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 t="shared" si="300"/>
        <v>1</v>
      </c>
      <c r="W4825">
        <f t="shared" si="301"/>
        <v>0</v>
      </c>
      <c r="X4825" t="str">
        <f t="shared" si="302"/>
        <v>0-12 Months</v>
      </c>
      <c r="Y4825" s="1" t="str">
        <f t="shared" si="303"/>
        <v>Medium</v>
      </c>
    </row>
    <row r="4826" spans="1:25" x14ac:dyDescent="0.2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 t="shared" si="300"/>
        <v>0</v>
      </c>
      <c r="W4826">
        <f t="shared" si="301"/>
        <v>1</v>
      </c>
      <c r="X4826" t="str">
        <f t="shared" si="302"/>
        <v>49+ Months</v>
      </c>
      <c r="Y4826" s="1" t="str">
        <f t="shared" si="303"/>
        <v>High</v>
      </c>
    </row>
    <row r="4827" spans="1:25" x14ac:dyDescent="0.2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 t="shared" si="300"/>
        <v>0</v>
      </c>
      <c r="W4827">
        <f t="shared" si="301"/>
        <v>1</v>
      </c>
      <c r="X4827" t="str">
        <f t="shared" si="302"/>
        <v>13-24 Months</v>
      </c>
      <c r="Y4827" s="1" t="str">
        <f t="shared" si="303"/>
        <v>High</v>
      </c>
    </row>
    <row r="4828" spans="1:25" x14ac:dyDescent="0.2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 t="shared" si="300"/>
        <v>1</v>
      </c>
      <c r="W4828">
        <f t="shared" si="301"/>
        <v>0</v>
      </c>
      <c r="X4828" t="str">
        <f t="shared" si="302"/>
        <v>0-12 Months</v>
      </c>
      <c r="Y4828" s="1" t="str">
        <f t="shared" si="303"/>
        <v>High</v>
      </c>
    </row>
    <row r="4829" spans="1:25" x14ac:dyDescent="0.2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 t="shared" si="300"/>
        <v>1</v>
      </c>
      <c r="W4829">
        <f t="shared" si="301"/>
        <v>0</v>
      </c>
      <c r="X4829" t="str">
        <f t="shared" si="302"/>
        <v>13-24 Months</v>
      </c>
      <c r="Y4829" s="1" t="str">
        <f t="shared" si="303"/>
        <v>High</v>
      </c>
    </row>
    <row r="4830" spans="1:25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 t="shared" si="300"/>
        <v>0</v>
      </c>
      <c r="W4830">
        <f t="shared" si="301"/>
        <v>1</v>
      </c>
      <c r="X4830" t="str">
        <f t="shared" si="302"/>
        <v>25-48 Months</v>
      </c>
      <c r="Y4830" s="1" t="str">
        <f t="shared" si="303"/>
        <v>Low</v>
      </c>
    </row>
    <row r="4831" spans="1:25" x14ac:dyDescent="0.2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 t="shared" si="300"/>
        <v>0</v>
      </c>
      <c r="W4831">
        <f t="shared" si="301"/>
        <v>1</v>
      </c>
      <c r="X4831" t="str">
        <f t="shared" si="302"/>
        <v>0-12 Months</v>
      </c>
      <c r="Y4831" s="1" t="str">
        <f t="shared" si="303"/>
        <v>Low</v>
      </c>
    </row>
    <row r="4832" spans="1:25" x14ac:dyDescent="0.2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 t="shared" si="300"/>
        <v>0</v>
      </c>
      <c r="W4832">
        <f t="shared" si="301"/>
        <v>1</v>
      </c>
      <c r="X4832" t="str">
        <f t="shared" si="302"/>
        <v>49+ Months</v>
      </c>
      <c r="Y4832" s="1" t="str">
        <f t="shared" si="303"/>
        <v>Medium</v>
      </c>
    </row>
    <row r="4833" spans="1:25" x14ac:dyDescent="0.2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 t="shared" si="300"/>
        <v>0</v>
      </c>
      <c r="W4833">
        <f t="shared" si="301"/>
        <v>1</v>
      </c>
      <c r="X4833" t="str">
        <f t="shared" si="302"/>
        <v>13-24 Months</v>
      </c>
      <c r="Y4833" s="1" t="str">
        <f t="shared" si="303"/>
        <v>Low</v>
      </c>
    </row>
    <row r="4834" spans="1:25" x14ac:dyDescent="0.2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 t="shared" si="300"/>
        <v>0</v>
      </c>
      <c r="W4834">
        <f t="shared" si="301"/>
        <v>1</v>
      </c>
      <c r="X4834" t="str">
        <f t="shared" si="302"/>
        <v>25-48 Months</v>
      </c>
      <c r="Y4834" s="1" t="str">
        <f t="shared" si="303"/>
        <v>Medium</v>
      </c>
    </row>
    <row r="4835" spans="1:25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 t="shared" si="300"/>
        <v>0</v>
      </c>
      <c r="W4835">
        <f t="shared" si="301"/>
        <v>1</v>
      </c>
      <c r="X4835" t="str">
        <f t="shared" si="302"/>
        <v>25-48 Months</v>
      </c>
      <c r="Y4835" s="1" t="str">
        <f t="shared" si="303"/>
        <v>Low</v>
      </c>
    </row>
    <row r="4836" spans="1:25" x14ac:dyDescent="0.2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 t="shared" si="300"/>
        <v>0</v>
      </c>
      <c r="W4836">
        <f t="shared" si="301"/>
        <v>1</v>
      </c>
      <c r="X4836" t="str">
        <f t="shared" si="302"/>
        <v>49+ Months</v>
      </c>
      <c r="Y4836" s="1" t="str">
        <f t="shared" si="303"/>
        <v>Low</v>
      </c>
    </row>
    <row r="4837" spans="1:25" x14ac:dyDescent="0.2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 t="shared" si="300"/>
        <v>0</v>
      </c>
      <c r="W4837">
        <f t="shared" si="301"/>
        <v>1</v>
      </c>
      <c r="X4837" t="str">
        <f t="shared" si="302"/>
        <v>49+ Months</v>
      </c>
      <c r="Y4837" s="1" t="str">
        <f t="shared" si="303"/>
        <v>High</v>
      </c>
    </row>
    <row r="4838" spans="1:25" x14ac:dyDescent="0.2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 t="shared" si="300"/>
        <v>0</v>
      </c>
      <c r="W4838">
        <f t="shared" si="301"/>
        <v>1</v>
      </c>
      <c r="X4838" t="str">
        <f t="shared" si="302"/>
        <v>25-48 Months</v>
      </c>
      <c r="Y4838" s="1" t="str">
        <f t="shared" si="303"/>
        <v>Medium</v>
      </c>
    </row>
    <row r="4839" spans="1:25" x14ac:dyDescent="0.2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 t="shared" si="300"/>
        <v>1</v>
      </c>
      <c r="W4839">
        <f t="shared" si="301"/>
        <v>0</v>
      </c>
      <c r="X4839" t="str">
        <f t="shared" si="302"/>
        <v>0-12 Months</v>
      </c>
      <c r="Y4839" s="1" t="str">
        <f t="shared" si="303"/>
        <v>Medium</v>
      </c>
    </row>
    <row r="4840" spans="1:25" x14ac:dyDescent="0.2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 t="shared" si="300"/>
        <v>0</v>
      </c>
      <c r="W4840">
        <f t="shared" si="301"/>
        <v>1</v>
      </c>
      <c r="X4840" t="str">
        <f t="shared" si="302"/>
        <v>49+ Months</v>
      </c>
      <c r="Y4840" s="1" t="str">
        <f t="shared" si="303"/>
        <v>High</v>
      </c>
    </row>
    <row r="4841" spans="1:25" x14ac:dyDescent="0.2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 t="shared" si="300"/>
        <v>1</v>
      </c>
      <c r="W4841">
        <f t="shared" si="301"/>
        <v>0</v>
      </c>
      <c r="X4841" t="str">
        <f t="shared" si="302"/>
        <v>0-12 Months</v>
      </c>
      <c r="Y4841" s="1" t="str">
        <f t="shared" si="303"/>
        <v>Medium</v>
      </c>
    </row>
    <row r="4842" spans="1:25" x14ac:dyDescent="0.2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 t="shared" si="300"/>
        <v>0</v>
      </c>
      <c r="W4842">
        <f t="shared" si="301"/>
        <v>1</v>
      </c>
      <c r="X4842" t="str">
        <f t="shared" si="302"/>
        <v>25-48 Months</v>
      </c>
      <c r="Y4842" s="1" t="str">
        <f t="shared" si="303"/>
        <v>Low</v>
      </c>
    </row>
    <row r="4843" spans="1:25" x14ac:dyDescent="0.2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 t="shared" si="300"/>
        <v>0</v>
      </c>
      <c r="W4843">
        <f t="shared" si="301"/>
        <v>1</v>
      </c>
      <c r="X4843" t="str">
        <f t="shared" si="302"/>
        <v>13-24 Months</v>
      </c>
      <c r="Y4843" s="1" t="str">
        <f t="shared" si="303"/>
        <v>High</v>
      </c>
    </row>
    <row r="4844" spans="1:25" x14ac:dyDescent="0.2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 t="shared" si="300"/>
        <v>1</v>
      </c>
      <c r="W4844">
        <f t="shared" si="301"/>
        <v>0</v>
      </c>
      <c r="X4844" t="str">
        <f t="shared" si="302"/>
        <v>0-12 Months</v>
      </c>
      <c r="Y4844" s="1" t="str">
        <f t="shared" si="303"/>
        <v>Medium</v>
      </c>
    </row>
    <row r="4845" spans="1:25" x14ac:dyDescent="0.2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 t="shared" si="300"/>
        <v>0</v>
      </c>
      <c r="W4845">
        <f t="shared" si="301"/>
        <v>1</v>
      </c>
      <c r="X4845" t="str">
        <f t="shared" si="302"/>
        <v>49+ Months</v>
      </c>
      <c r="Y4845" s="1" t="str">
        <f t="shared" si="303"/>
        <v>Low</v>
      </c>
    </row>
    <row r="4846" spans="1:25" x14ac:dyDescent="0.2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 t="shared" si="300"/>
        <v>0</v>
      </c>
      <c r="W4846">
        <f t="shared" si="301"/>
        <v>1</v>
      </c>
      <c r="X4846" t="str">
        <f t="shared" si="302"/>
        <v>25-48 Months</v>
      </c>
      <c r="Y4846" s="1" t="str">
        <f t="shared" si="303"/>
        <v>Low</v>
      </c>
    </row>
    <row r="4847" spans="1:25" x14ac:dyDescent="0.2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 t="shared" si="300"/>
        <v>0</v>
      </c>
      <c r="W4847">
        <f t="shared" si="301"/>
        <v>1</v>
      </c>
      <c r="X4847" t="str">
        <f t="shared" si="302"/>
        <v>13-24 Months</v>
      </c>
      <c r="Y4847" s="1" t="str">
        <f t="shared" si="303"/>
        <v>Low</v>
      </c>
    </row>
    <row r="4848" spans="1:25" x14ac:dyDescent="0.2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 t="shared" si="300"/>
        <v>0</v>
      </c>
      <c r="W4848">
        <f t="shared" si="301"/>
        <v>1</v>
      </c>
      <c r="X4848" t="str">
        <f t="shared" si="302"/>
        <v>0-12 Months</v>
      </c>
      <c r="Y4848" s="1" t="str">
        <f t="shared" si="303"/>
        <v>Medium</v>
      </c>
    </row>
    <row r="4849" spans="1:25" x14ac:dyDescent="0.2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 t="shared" si="300"/>
        <v>1</v>
      </c>
      <c r="W4849">
        <f t="shared" si="301"/>
        <v>0</v>
      </c>
      <c r="X4849" t="str">
        <f t="shared" si="302"/>
        <v>25-48 Months</v>
      </c>
      <c r="Y4849" s="1" t="str">
        <f t="shared" si="303"/>
        <v>Medium</v>
      </c>
    </row>
    <row r="4850" spans="1:25" x14ac:dyDescent="0.2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 t="shared" si="300"/>
        <v>1</v>
      </c>
      <c r="W4850">
        <f t="shared" si="301"/>
        <v>0</v>
      </c>
      <c r="X4850" t="str">
        <f t="shared" si="302"/>
        <v>0-12 Months</v>
      </c>
      <c r="Y4850" s="1" t="str">
        <f t="shared" si="303"/>
        <v>High</v>
      </c>
    </row>
    <row r="4851" spans="1:25" x14ac:dyDescent="0.2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 t="shared" si="300"/>
        <v>0</v>
      </c>
      <c r="W4851">
        <f t="shared" si="301"/>
        <v>1</v>
      </c>
      <c r="X4851" t="str">
        <f t="shared" si="302"/>
        <v>25-48 Months</v>
      </c>
      <c r="Y4851" s="1" t="str">
        <f t="shared" si="303"/>
        <v>Medium</v>
      </c>
    </row>
    <row r="4852" spans="1:25" x14ac:dyDescent="0.2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 t="shared" si="300"/>
        <v>0</v>
      </c>
      <c r="W4852">
        <f t="shared" si="301"/>
        <v>1</v>
      </c>
      <c r="X4852" t="str">
        <f t="shared" si="302"/>
        <v>49+ Months</v>
      </c>
      <c r="Y4852" s="1" t="str">
        <f t="shared" si="303"/>
        <v>High</v>
      </c>
    </row>
    <row r="4853" spans="1:25" x14ac:dyDescent="0.2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 t="shared" si="300"/>
        <v>1</v>
      </c>
      <c r="W4853">
        <f t="shared" si="301"/>
        <v>0</v>
      </c>
      <c r="X4853" t="str">
        <f t="shared" si="302"/>
        <v>0-12 Months</v>
      </c>
      <c r="Y4853" s="1" t="str">
        <f t="shared" si="303"/>
        <v>Medium</v>
      </c>
    </row>
    <row r="4854" spans="1:25" x14ac:dyDescent="0.2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 t="shared" si="300"/>
        <v>0</v>
      </c>
      <c r="W4854">
        <f t="shared" si="301"/>
        <v>1</v>
      </c>
      <c r="X4854" t="str">
        <f t="shared" si="302"/>
        <v>49+ Months</v>
      </c>
      <c r="Y4854" s="1" t="str">
        <f t="shared" si="303"/>
        <v>Low</v>
      </c>
    </row>
    <row r="4855" spans="1:25" x14ac:dyDescent="0.2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 t="shared" si="300"/>
        <v>0</v>
      </c>
      <c r="W4855">
        <f t="shared" si="301"/>
        <v>1</v>
      </c>
      <c r="X4855" t="str">
        <f t="shared" si="302"/>
        <v>49+ Months</v>
      </c>
      <c r="Y4855" s="1" t="str">
        <f t="shared" si="303"/>
        <v>High</v>
      </c>
    </row>
    <row r="4856" spans="1:25" x14ac:dyDescent="0.2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 t="shared" si="300"/>
        <v>0</v>
      </c>
      <c r="W4856">
        <f t="shared" si="301"/>
        <v>1</v>
      </c>
      <c r="X4856" t="str">
        <f t="shared" si="302"/>
        <v>13-24 Months</v>
      </c>
      <c r="Y4856" s="1" t="str">
        <f t="shared" si="303"/>
        <v>Low</v>
      </c>
    </row>
    <row r="4857" spans="1:25" x14ac:dyDescent="0.2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 t="shared" si="300"/>
        <v>0</v>
      </c>
      <c r="W4857">
        <f t="shared" si="301"/>
        <v>1</v>
      </c>
      <c r="X4857" t="str">
        <f t="shared" si="302"/>
        <v>49+ Months</v>
      </c>
      <c r="Y4857" s="1" t="str">
        <f t="shared" si="303"/>
        <v>High</v>
      </c>
    </row>
    <row r="4858" spans="1:25" x14ac:dyDescent="0.2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 t="shared" si="300"/>
        <v>1</v>
      </c>
      <c r="W4858">
        <f t="shared" si="301"/>
        <v>0</v>
      </c>
      <c r="X4858" t="str">
        <f t="shared" si="302"/>
        <v>25-48 Months</v>
      </c>
      <c r="Y4858" s="1" t="str">
        <f t="shared" si="303"/>
        <v>High</v>
      </c>
    </row>
    <row r="4859" spans="1:25" x14ac:dyDescent="0.2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 t="shared" si="300"/>
        <v>0</v>
      </c>
      <c r="W4859">
        <f t="shared" si="301"/>
        <v>1</v>
      </c>
      <c r="X4859" t="str">
        <f t="shared" si="302"/>
        <v>13-24 Months</v>
      </c>
      <c r="Y4859" s="1" t="str">
        <f t="shared" si="303"/>
        <v>Low</v>
      </c>
    </row>
    <row r="4860" spans="1:25" x14ac:dyDescent="0.2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 t="shared" si="300"/>
        <v>0</v>
      </c>
      <c r="W4860">
        <f t="shared" si="301"/>
        <v>1</v>
      </c>
      <c r="X4860" t="str">
        <f t="shared" si="302"/>
        <v>49+ Months</v>
      </c>
      <c r="Y4860" s="1" t="str">
        <f t="shared" si="303"/>
        <v>Medium</v>
      </c>
    </row>
    <row r="4861" spans="1:25" x14ac:dyDescent="0.2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 t="shared" si="300"/>
        <v>0</v>
      </c>
      <c r="W4861">
        <f t="shared" si="301"/>
        <v>1</v>
      </c>
      <c r="X4861" t="str">
        <f t="shared" si="302"/>
        <v>49+ Months</v>
      </c>
      <c r="Y4861" s="1" t="str">
        <f t="shared" si="303"/>
        <v>High</v>
      </c>
    </row>
    <row r="4862" spans="1:25" x14ac:dyDescent="0.2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 t="shared" si="300"/>
        <v>0</v>
      </c>
      <c r="W4862">
        <f t="shared" si="301"/>
        <v>1</v>
      </c>
      <c r="X4862" t="str">
        <f t="shared" si="302"/>
        <v>13-24 Months</v>
      </c>
      <c r="Y4862" s="1" t="str">
        <f t="shared" si="303"/>
        <v>Low</v>
      </c>
    </row>
    <row r="4863" spans="1:25" x14ac:dyDescent="0.2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 t="shared" si="300"/>
        <v>0</v>
      </c>
      <c r="W4863">
        <f t="shared" si="301"/>
        <v>1</v>
      </c>
      <c r="X4863" t="str">
        <f t="shared" si="302"/>
        <v>25-48 Months</v>
      </c>
      <c r="Y4863" s="1" t="str">
        <f t="shared" si="303"/>
        <v>Medium</v>
      </c>
    </row>
    <row r="4864" spans="1:25" x14ac:dyDescent="0.2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 t="shared" si="300"/>
        <v>1</v>
      </c>
      <c r="W4864">
        <f t="shared" si="301"/>
        <v>0</v>
      </c>
      <c r="X4864" t="str">
        <f t="shared" si="302"/>
        <v>0-12 Months</v>
      </c>
      <c r="Y4864" s="1" t="str">
        <f t="shared" si="303"/>
        <v>Medium</v>
      </c>
    </row>
    <row r="4865" spans="1:25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 t="shared" si="300"/>
        <v>0</v>
      </c>
      <c r="W4865">
        <f t="shared" si="301"/>
        <v>1</v>
      </c>
      <c r="X4865" t="str">
        <f t="shared" si="302"/>
        <v>49+ Months</v>
      </c>
      <c r="Y4865" s="1" t="str">
        <f t="shared" si="303"/>
        <v>Low</v>
      </c>
    </row>
    <row r="4866" spans="1:25" x14ac:dyDescent="0.2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 t="shared" ref="V4866:V4929" si="304">IF(U4866="Yes",1,0)</f>
        <v>0</v>
      </c>
      <c r="W4866">
        <f t="shared" ref="W4866:W4929" si="305">IF(U4866="No",1,0)</f>
        <v>1</v>
      </c>
      <c r="X4866" t="str">
        <f t="shared" ref="X4866:X4929" si="306">IF(F4866&lt;=12,"0-12 Months",IF(F4866&lt;=24,"13-24 Months",IF(F4866&lt;=48,"25-48 Months","49+ Months")))</f>
        <v>49+ Months</v>
      </c>
      <c r="Y4866" s="1" t="str">
        <f t="shared" ref="Y4866:Y4929" si="307">IF(S4866&lt;50,"Low",IF(S4866&lt;80,"Medium","High"))</f>
        <v>High</v>
      </c>
    </row>
    <row r="4867" spans="1:25" x14ac:dyDescent="0.2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 t="shared" si="304"/>
        <v>0</v>
      </c>
      <c r="W4867">
        <f t="shared" si="305"/>
        <v>1</v>
      </c>
      <c r="X4867" t="str">
        <f t="shared" si="306"/>
        <v>0-12 Months</v>
      </c>
      <c r="Y4867" s="1" t="str">
        <f t="shared" si="307"/>
        <v>Low</v>
      </c>
    </row>
    <row r="4868" spans="1:25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 t="shared" si="304"/>
        <v>0</v>
      </c>
      <c r="W4868">
        <f t="shared" si="305"/>
        <v>1</v>
      </c>
      <c r="X4868" t="str">
        <f t="shared" si="306"/>
        <v>13-24 Months</v>
      </c>
      <c r="Y4868" s="1" t="str">
        <f t="shared" si="307"/>
        <v>Medium</v>
      </c>
    </row>
    <row r="4869" spans="1:25" x14ac:dyDescent="0.2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 t="shared" si="304"/>
        <v>0</v>
      </c>
      <c r="W4869">
        <f t="shared" si="305"/>
        <v>1</v>
      </c>
      <c r="X4869" t="str">
        <f t="shared" si="306"/>
        <v>25-48 Months</v>
      </c>
      <c r="Y4869" s="1" t="str">
        <f t="shared" si="307"/>
        <v>High</v>
      </c>
    </row>
    <row r="4870" spans="1:25" x14ac:dyDescent="0.2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 t="shared" si="304"/>
        <v>1</v>
      </c>
      <c r="W4870">
        <f t="shared" si="305"/>
        <v>0</v>
      </c>
      <c r="X4870" t="str">
        <f t="shared" si="306"/>
        <v>25-48 Months</v>
      </c>
      <c r="Y4870" s="1" t="str">
        <f t="shared" si="307"/>
        <v>High</v>
      </c>
    </row>
    <row r="4871" spans="1:25" x14ac:dyDescent="0.2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 t="shared" si="304"/>
        <v>0</v>
      </c>
      <c r="W4871">
        <f t="shared" si="305"/>
        <v>1</v>
      </c>
      <c r="X4871" t="str">
        <f t="shared" si="306"/>
        <v>13-24 Months</v>
      </c>
      <c r="Y4871" s="1" t="str">
        <f t="shared" si="307"/>
        <v>High</v>
      </c>
    </row>
    <row r="4872" spans="1:25" x14ac:dyDescent="0.2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 t="shared" si="304"/>
        <v>0</v>
      </c>
      <c r="W4872">
        <f t="shared" si="305"/>
        <v>1</v>
      </c>
      <c r="X4872" t="str">
        <f t="shared" si="306"/>
        <v>25-48 Months</v>
      </c>
      <c r="Y4872" s="1" t="str">
        <f t="shared" si="307"/>
        <v>Medium</v>
      </c>
    </row>
    <row r="4873" spans="1:25" x14ac:dyDescent="0.2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 t="shared" si="304"/>
        <v>0</v>
      </c>
      <c r="W4873">
        <f t="shared" si="305"/>
        <v>1</v>
      </c>
      <c r="X4873" t="str">
        <f t="shared" si="306"/>
        <v>49+ Months</v>
      </c>
      <c r="Y4873" s="1" t="str">
        <f t="shared" si="307"/>
        <v>Medium</v>
      </c>
    </row>
    <row r="4874" spans="1:25" x14ac:dyDescent="0.2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 t="shared" si="304"/>
        <v>0</v>
      </c>
      <c r="W4874">
        <f t="shared" si="305"/>
        <v>1</v>
      </c>
      <c r="X4874" t="str">
        <f t="shared" si="306"/>
        <v>49+ Months</v>
      </c>
      <c r="Y4874" s="1" t="str">
        <f t="shared" si="307"/>
        <v>High</v>
      </c>
    </row>
    <row r="4875" spans="1:25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 t="shared" si="304"/>
        <v>0</v>
      </c>
      <c r="W4875">
        <f t="shared" si="305"/>
        <v>1</v>
      </c>
      <c r="X4875" t="str">
        <f t="shared" si="306"/>
        <v>0-12 Months</v>
      </c>
      <c r="Y4875" s="1" t="str">
        <f t="shared" si="307"/>
        <v>Low</v>
      </c>
    </row>
    <row r="4876" spans="1:25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 t="shared" si="304"/>
        <v>1</v>
      </c>
      <c r="W4876">
        <f t="shared" si="305"/>
        <v>0</v>
      </c>
      <c r="X4876" t="str">
        <f t="shared" si="306"/>
        <v>25-48 Months</v>
      </c>
      <c r="Y4876" s="1" t="str">
        <f t="shared" si="307"/>
        <v>High</v>
      </c>
    </row>
    <row r="4877" spans="1:25" x14ac:dyDescent="0.2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 t="shared" si="304"/>
        <v>1</v>
      </c>
      <c r="W4877">
        <f t="shared" si="305"/>
        <v>0</v>
      </c>
      <c r="X4877" t="str">
        <f t="shared" si="306"/>
        <v>25-48 Months</v>
      </c>
      <c r="Y4877" s="1" t="str">
        <f t="shared" si="307"/>
        <v>High</v>
      </c>
    </row>
    <row r="4878" spans="1:25" x14ac:dyDescent="0.2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 t="shared" si="304"/>
        <v>1</v>
      </c>
      <c r="W4878">
        <f t="shared" si="305"/>
        <v>0</v>
      </c>
      <c r="X4878" t="str">
        <f t="shared" si="306"/>
        <v>0-12 Months</v>
      </c>
      <c r="Y4878" s="1" t="str">
        <f t="shared" si="307"/>
        <v>High</v>
      </c>
    </row>
    <row r="4879" spans="1:25" x14ac:dyDescent="0.2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 t="shared" si="304"/>
        <v>0</v>
      </c>
      <c r="W4879">
        <f t="shared" si="305"/>
        <v>1</v>
      </c>
      <c r="X4879" t="str">
        <f t="shared" si="306"/>
        <v>25-48 Months</v>
      </c>
      <c r="Y4879" s="1" t="str">
        <f t="shared" si="307"/>
        <v>Medium</v>
      </c>
    </row>
    <row r="4880" spans="1:25" x14ac:dyDescent="0.2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 t="shared" si="304"/>
        <v>0</v>
      </c>
      <c r="W4880">
        <f t="shared" si="305"/>
        <v>1</v>
      </c>
      <c r="X4880" t="str">
        <f t="shared" si="306"/>
        <v>25-48 Months</v>
      </c>
      <c r="Y4880" s="1" t="str">
        <f t="shared" si="307"/>
        <v>Medium</v>
      </c>
    </row>
    <row r="4881" spans="1:25" x14ac:dyDescent="0.2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 t="shared" si="304"/>
        <v>0</v>
      </c>
      <c r="W4881">
        <f t="shared" si="305"/>
        <v>1</v>
      </c>
      <c r="X4881" t="str">
        <f t="shared" si="306"/>
        <v>25-48 Months</v>
      </c>
      <c r="Y4881" s="1" t="str">
        <f t="shared" si="307"/>
        <v>Medium</v>
      </c>
    </row>
    <row r="4882" spans="1:25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 t="shared" si="304"/>
        <v>0</v>
      </c>
      <c r="W4882">
        <f t="shared" si="305"/>
        <v>1</v>
      </c>
      <c r="X4882" t="str">
        <f t="shared" si="306"/>
        <v>49+ Months</v>
      </c>
      <c r="Y4882" s="1" t="str">
        <f t="shared" si="307"/>
        <v>Low</v>
      </c>
    </row>
    <row r="4883" spans="1:25" x14ac:dyDescent="0.2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 t="shared" si="304"/>
        <v>0</v>
      </c>
      <c r="W4883">
        <f t="shared" si="305"/>
        <v>1</v>
      </c>
      <c r="X4883" t="str">
        <f t="shared" si="306"/>
        <v>25-48 Months</v>
      </c>
      <c r="Y4883" s="1" t="str">
        <f t="shared" si="307"/>
        <v>Medium</v>
      </c>
    </row>
    <row r="4884" spans="1:25" x14ac:dyDescent="0.2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 t="shared" si="304"/>
        <v>0</v>
      </c>
      <c r="W4884">
        <f t="shared" si="305"/>
        <v>1</v>
      </c>
      <c r="X4884" t="str">
        <f t="shared" si="306"/>
        <v>49+ Months</v>
      </c>
      <c r="Y4884" s="1" t="str">
        <f t="shared" si="307"/>
        <v>Medium</v>
      </c>
    </row>
    <row r="4885" spans="1:25" x14ac:dyDescent="0.2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 t="shared" si="304"/>
        <v>1</v>
      </c>
      <c r="W4885">
        <f t="shared" si="305"/>
        <v>0</v>
      </c>
      <c r="X4885" t="str">
        <f t="shared" si="306"/>
        <v>0-12 Months</v>
      </c>
      <c r="Y4885" s="1" t="str">
        <f t="shared" si="307"/>
        <v>Low</v>
      </c>
    </row>
    <row r="4886" spans="1:25" x14ac:dyDescent="0.2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 t="shared" si="304"/>
        <v>0</v>
      </c>
      <c r="W4886">
        <f t="shared" si="305"/>
        <v>1</v>
      </c>
      <c r="X4886" t="str">
        <f t="shared" si="306"/>
        <v>25-48 Months</v>
      </c>
      <c r="Y4886" s="1" t="str">
        <f t="shared" si="307"/>
        <v>High</v>
      </c>
    </row>
    <row r="4887" spans="1:25" x14ac:dyDescent="0.2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 t="shared" si="304"/>
        <v>0</v>
      </c>
      <c r="W4887">
        <f t="shared" si="305"/>
        <v>1</v>
      </c>
      <c r="X4887" t="str">
        <f t="shared" si="306"/>
        <v>49+ Months</v>
      </c>
      <c r="Y4887" s="1" t="str">
        <f t="shared" si="307"/>
        <v>High</v>
      </c>
    </row>
    <row r="4888" spans="1:25" x14ac:dyDescent="0.2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 t="shared" si="304"/>
        <v>0</v>
      </c>
      <c r="W4888">
        <f t="shared" si="305"/>
        <v>1</v>
      </c>
      <c r="X4888" t="str">
        <f t="shared" si="306"/>
        <v>0-12 Months</v>
      </c>
      <c r="Y4888" s="1" t="str">
        <f t="shared" si="307"/>
        <v>Low</v>
      </c>
    </row>
    <row r="4889" spans="1:25" x14ac:dyDescent="0.2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 t="shared" si="304"/>
        <v>0</v>
      </c>
      <c r="W4889">
        <f t="shared" si="305"/>
        <v>1</v>
      </c>
      <c r="X4889" t="str">
        <f t="shared" si="306"/>
        <v>25-48 Months</v>
      </c>
      <c r="Y4889" s="1" t="str">
        <f t="shared" si="307"/>
        <v>Low</v>
      </c>
    </row>
    <row r="4890" spans="1:25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 t="shared" si="304"/>
        <v>0</v>
      </c>
      <c r="W4890">
        <f t="shared" si="305"/>
        <v>1</v>
      </c>
      <c r="X4890" t="str">
        <f t="shared" si="306"/>
        <v>25-48 Months</v>
      </c>
      <c r="Y4890" s="1" t="str">
        <f t="shared" si="307"/>
        <v>High</v>
      </c>
    </row>
    <row r="4891" spans="1:25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 t="shared" si="304"/>
        <v>0</v>
      </c>
      <c r="W4891">
        <f t="shared" si="305"/>
        <v>1</v>
      </c>
      <c r="X4891" t="str">
        <f t="shared" si="306"/>
        <v>25-48 Months</v>
      </c>
      <c r="Y4891" s="1" t="str">
        <f t="shared" si="307"/>
        <v>High</v>
      </c>
    </row>
    <row r="4892" spans="1:25" x14ac:dyDescent="0.2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 t="shared" si="304"/>
        <v>0</v>
      </c>
      <c r="W4892">
        <f t="shared" si="305"/>
        <v>1</v>
      </c>
      <c r="X4892" t="str">
        <f t="shared" si="306"/>
        <v>49+ Months</v>
      </c>
      <c r="Y4892" s="1" t="str">
        <f t="shared" si="307"/>
        <v>High</v>
      </c>
    </row>
    <row r="4893" spans="1:25" x14ac:dyDescent="0.2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 t="shared" si="304"/>
        <v>0</v>
      </c>
      <c r="W4893">
        <f t="shared" si="305"/>
        <v>1</v>
      </c>
      <c r="X4893" t="str">
        <f t="shared" si="306"/>
        <v>0-12 Months</v>
      </c>
      <c r="Y4893" s="1" t="str">
        <f t="shared" si="307"/>
        <v>Medium</v>
      </c>
    </row>
    <row r="4894" spans="1:25" x14ac:dyDescent="0.2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 t="shared" si="304"/>
        <v>0</v>
      </c>
      <c r="W4894">
        <f t="shared" si="305"/>
        <v>1</v>
      </c>
      <c r="X4894" t="str">
        <f t="shared" si="306"/>
        <v>13-24 Months</v>
      </c>
      <c r="Y4894" s="1" t="str">
        <f t="shared" si="307"/>
        <v>High</v>
      </c>
    </row>
    <row r="4895" spans="1:25" x14ac:dyDescent="0.2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 t="shared" si="304"/>
        <v>1</v>
      </c>
      <c r="W4895">
        <f t="shared" si="305"/>
        <v>0</v>
      </c>
      <c r="X4895" t="str">
        <f t="shared" si="306"/>
        <v>0-12 Months</v>
      </c>
      <c r="Y4895" s="1" t="str">
        <f t="shared" si="307"/>
        <v>Low</v>
      </c>
    </row>
    <row r="4896" spans="1:25" x14ac:dyDescent="0.2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 t="shared" si="304"/>
        <v>0</v>
      </c>
      <c r="W4896">
        <f t="shared" si="305"/>
        <v>1</v>
      </c>
      <c r="X4896" t="str">
        <f t="shared" si="306"/>
        <v>49+ Months</v>
      </c>
      <c r="Y4896" s="1" t="str">
        <f t="shared" si="307"/>
        <v>Medium</v>
      </c>
    </row>
    <row r="4897" spans="1:25" x14ac:dyDescent="0.2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 t="shared" si="304"/>
        <v>0</v>
      </c>
      <c r="W4897">
        <f t="shared" si="305"/>
        <v>1</v>
      </c>
      <c r="X4897" t="str">
        <f t="shared" si="306"/>
        <v>25-48 Months</v>
      </c>
      <c r="Y4897" s="1" t="str">
        <f t="shared" si="307"/>
        <v>High</v>
      </c>
    </row>
    <row r="4898" spans="1:25" x14ac:dyDescent="0.2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 t="shared" si="304"/>
        <v>0</v>
      </c>
      <c r="W4898">
        <f t="shared" si="305"/>
        <v>1</v>
      </c>
      <c r="X4898" t="str">
        <f t="shared" si="306"/>
        <v>13-24 Months</v>
      </c>
      <c r="Y4898" s="1" t="str">
        <f t="shared" si="307"/>
        <v>Low</v>
      </c>
    </row>
    <row r="4899" spans="1:25" x14ac:dyDescent="0.2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 t="shared" si="304"/>
        <v>0</v>
      </c>
      <c r="W4899">
        <f t="shared" si="305"/>
        <v>1</v>
      </c>
      <c r="X4899" t="str">
        <f t="shared" si="306"/>
        <v>13-24 Months</v>
      </c>
      <c r="Y4899" s="1" t="str">
        <f t="shared" si="307"/>
        <v>Low</v>
      </c>
    </row>
    <row r="4900" spans="1:25" x14ac:dyDescent="0.2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 t="shared" si="304"/>
        <v>1</v>
      </c>
      <c r="W4900">
        <f t="shared" si="305"/>
        <v>0</v>
      </c>
      <c r="X4900" t="str">
        <f t="shared" si="306"/>
        <v>0-12 Months</v>
      </c>
      <c r="Y4900" s="1" t="str">
        <f t="shared" si="307"/>
        <v>Low</v>
      </c>
    </row>
    <row r="4901" spans="1:25" x14ac:dyDescent="0.2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 t="shared" si="304"/>
        <v>1</v>
      </c>
      <c r="W4901">
        <f t="shared" si="305"/>
        <v>0</v>
      </c>
      <c r="X4901" t="str">
        <f t="shared" si="306"/>
        <v>0-12 Months</v>
      </c>
      <c r="Y4901" s="1" t="str">
        <f t="shared" si="307"/>
        <v>High</v>
      </c>
    </row>
    <row r="4902" spans="1:25" x14ac:dyDescent="0.2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 t="shared" si="304"/>
        <v>1</v>
      </c>
      <c r="W4902">
        <f t="shared" si="305"/>
        <v>0</v>
      </c>
      <c r="X4902" t="str">
        <f t="shared" si="306"/>
        <v>25-48 Months</v>
      </c>
      <c r="Y4902" s="1" t="str">
        <f t="shared" si="307"/>
        <v>High</v>
      </c>
    </row>
    <row r="4903" spans="1:25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 t="shared" si="304"/>
        <v>1</v>
      </c>
      <c r="W4903">
        <f t="shared" si="305"/>
        <v>0</v>
      </c>
      <c r="X4903" t="str">
        <f t="shared" si="306"/>
        <v>0-12 Months</v>
      </c>
      <c r="Y4903" s="1" t="str">
        <f t="shared" si="307"/>
        <v>Medium</v>
      </c>
    </row>
    <row r="4904" spans="1:25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 t="shared" si="304"/>
        <v>0</v>
      </c>
      <c r="W4904">
        <f t="shared" si="305"/>
        <v>1</v>
      </c>
      <c r="X4904" t="str">
        <f t="shared" si="306"/>
        <v>13-24 Months</v>
      </c>
      <c r="Y4904" s="1" t="str">
        <f t="shared" si="307"/>
        <v>Medium</v>
      </c>
    </row>
    <row r="4905" spans="1:25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 t="shared" si="304"/>
        <v>1</v>
      </c>
      <c r="W4905">
        <f t="shared" si="305"/>
        <v>0</v>
      </c>
      <c r="X4905" t="str">
        <f t="shared" si="306"/>
        <v>0-12 Months</v>
      </c>
      <c r="Y4905" s="1" t="str">
        <f t="shared" si="307"/>
        <v>High</v>
      </c>
    </row>
    <row r="4906" spans="1:25" x14ac:dyDescent="0.2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 t="shared" si="304"/>
        <v>0</v>
      </c>
      <c r="W4906">
        <f t="shared" si="305"/>
        <v>1</v>
      </c>
      <c r="X4906" t="str">
        <f t="shared" si="306"/>
        <v>25-48 Months</v>
      </c>
      <c r="Y4906" s="1" t="str">
        <f t="shared" si="307"/>
        <v>High</v>
      </c>
    </row>
    <row r="4907" spans="1:25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 t="shared" si="304"/>
        <v>0</v>
      </c>
      <c r="W4907">
        <f t="shared" si="305"/>
        <v>1</v>
      </c>
      <c r="X4907" t="str">
        <f t="shared" si="306"/>
        <v>49+ Months</v>
      </c>
      <c r="Y4907" s="1" t="str">
        <f t="shared" si="307"/>
        <v>Low</v>
      </c>
    </row>
    <row r="4908" spans="1:25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 t="shared" si="304"/>
        <v>0</v>
      </c>
      <c r="W4908">
        <f t="shared" si="305"/>
        <v>1</v>
      </c>
      <c r="X4908" t="str">
        <f t="shared" si="306"/>
        <v>49+ Months</v>
      </c>
      <c r="Y4908" s="1" t="str">
        <f t="shared" si="307"/>
        <v>High</v>
      </c>
    </row>
    <row r="4909" spans="1:25" x14ac:dyDescent="0.2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 t="shared" si="304"/>
        <v>0</v>
      </c>
      <c r="W4909">
        <f t="shared" si="305"/>
        <v>1</v>
      </c>
      <c r="X4909" t="str">
        <f t="shared" si="306"/>
        <v>49+ Months</v>
      </c>
      <c r="Y4909" s="1" t="str">
        <f t="shared" si="307"/>
        <v>Low</v>
      </c>
    </row>
    <row r="4910" spans="1:25" x14ac:dyDescent="0.2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 t="shared" si="304"/>
        <v>1</v>
      </c>
      <c r="W4910">
        <f t="shared" si="305"/>
        <v>0</v>
      </c>
      <c r="X4910" t="str">
        <f t="shared" si="306"/>
        <v>25-48 Months</v>
      </c>
      <c r="Y4910" s="1" t="str">
        <f t="shared" si="307"/>
        <v>High</v>
      </c>
    </row>
    <row r="4911" spans="1:25" x14ac:dyDescent="0.2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 t="shared" si="304"/>
        <v>0</v>
      </c>
      <c r="W4911">
        <f t="shared" si="305"/>
        <v>1</v>
      </c>
      <c r="X4911" t="str">
        <f t="shared" si="306"/>
        <v>49+ Months</v>
      </c>
      <c r="Y4911" s="1" t="str">
        <f t="shared" si="307"/>
        <v>High</v>
      </c>
    </row>
    <row r="4912" spans="1:25" x14ac:dyDescent="0.2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 t="shared" si="304"/>
        <v>1</v>
      </c>
      <c r="W4912">
        <f t="shared" si="305"/>
        <v>0</v>
      </c>
      <c r="X4912" t="str">
        <f t="shared" si="306"/>
        <v>25-48 Months</v>
      </c>
      <c r="Y4912" s="1" t="str">
        <f t="shared" si="307"/>
        <v>High</v>
      </c>
    </row>
    <row r="4913" spans="1:25" x14ac:dyDescent="0.2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 t="shared" si="304"/>
        <v>0</v>
      </c>
      <c r="W4913">
        <f t="shared" si="305"/>
        <v>1</v>
      </c>
      <c r="X4913" t="str">
        <f t="shared" si="306"/>
        <v>49+ Months</v>
      </c>
      <c r="Y4913" s="1" t="str">
        <f t="shared" si="307"/>
        <v>High</v>
      </c>
    </row>
    <row r="4914" spans="1:25" x14ac:dyDescent="0.2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 t="shared" si="304"/>
        <v>1</v>
      </c>
      <c r="W4914">
        <f t="shared" si="305"/>
        <v>0</v>
      </c>
      <c r="X4914" t="str">
        <f t="shared" si="306"/>
        <v>25-48 Months</v>
      </c>
      <c r="Y4914" s="1" t="str">
        <f t="shared" si="307"/>
        <v>High</v>
      </c>
    </row>
    <row r="4915" spans="1:25" x14ac:dyDescent="0.2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 t="shared" si="304"/>
        <v>0</v>
      </c>
      <c r="W4915">
        <f t="shared" si="305"/>
        <v>1</v>
      </c>
      <c r="X4915" t="str">
        <f t="shared" si="306"/>
        <v>13-24 Months</v>
      </c>
      <c r="Y4915" s="1" t="str">
        <f t="shared" si="307"/>
        <v>Medium</v>
      </c>
    </row>
    <row r="4916" spans="1:25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 t="shared" si="304"/>
        <v>0</v>
      </c>
      <c r="W4916">
        <f t="shared" si="305"/>
        <v>1</v>
      </c>
      <c r="X4916" t="str">
        <f t="shared" si="306"/>
        <v>49+ Months</v>
      </c>
      <c r="Y4916" s="1" t="str">
        <f t="shared" si="307"/>
        <v>Medium</v>
      </c>
    </row>
    <row r="4917" spans="1:25" x14ac:dyDescent="0.2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 t="shared" si="304"/>
        <v>0</v>
      </c>
      <c r="W4917">
        <f t="shared" si="305"/>
        <v>1</v>
      </c>
      <c r="X4917" t="str">
        <f t="shared" si="306"/>
        <v>13-24 Months</v>
      </c>
      <c r="Y4917" s="1" t="str">
        <f t="shared" si="307"/>
        <v>Low</v>
      </c>
    </row>
    <row r="4918" spans="1:25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 t="shared" si="304"/>
        <v>0</v>
      </c>
      <c r="W4918">
        <f t="shared" si="305"/>
        <v>1</v>
      </c>
      <c r="X4918" t="str">
        <f t="shared" si="306"/>
        <v>0-12 Months</v>
      </c>
      <c r="Y4918" s="1" t="str">
        <f t="shared" si="307"/>
        <v>Medium</v>
      </c>
    </row>
    <row r="4919" spans="1:25" x14ac:dyDescent="0.2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 t="shared" si="304"/>
        <v>0</v>
      </c>
      <c r="W4919">
        <f t="shared" si="305"/>
        <v>1</v>
      </c>
      <c r="X4919" t="str">
        <f t="shared" si="306"/>
        <v>13-24 Months</v>
      </c>
      <c r="Y4919" s="1" t="str">
        <f t="shared" si="307"/>
        <v>Low</v>
      </c>
    </row>
    <row r="4920" spans="1:25" x14ac:dyDescent="0.2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 t="shared" si="304"/>
        <v>0</v>
      </c>
      <c r="W4920">
        <f t="shared" si="305"/>
        <v>1</v>
      </c>
      <c r="X4920" t="str">
        <f t="shared" si="306"/>
        <v>49+ Months</v>
      </c>
      <c r="Y4920" s="1" t="str">
        <f t="shared" si="307"/>
        <v>Low</v>
      </c>
    </row>
    <row r="4921" spans="1:25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 t="shared" si="304"/>
        <v>0</v>
      </c>
      <c r="W4921">
        <f t="shared" si="305"/>
        <v>1</v>
      </c>
      <c r="X4921" t="str">
        <f t="shared" si="306"/>
        <v>49+ Months</v>
      </c>
      <c r="Y4921" s="1" t="str">
        <f t="shared" si="307"/>
        <v>Low</v>
      </c>
    </row>
    <row r="4922" spans="1:25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 t="shared" si="304"/>
        <v>0</v>
      </c>
      <c r="W4922">
        <f t="shared" si="305"/>
        <v>1</v>
      </c>
      <c r="X4922" t="str">
        <f t="shared" si="306"/>
        <v>49+ Months</v>
      </c>
      <c r="Y4922" s="1" t="str">
        <f t="shared" si="307"/>
        <v>Low</v>
      </c>
    </row>
    <row r="4923" spans="1:25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 t="shared" si="304"/>
        <v>0</v>
      </c>
      <c r="W4923">
        <f t="shared" si="305"/>
        <v>1</v>
      </c>
      <c r="X4923" t="str">
        <f t="shared" si="306"/>
        <v>25-48 Months</v>
      </c>
      <c r="Y4923" s="1" t="str">
        <f t="shared" si="307"/>
        <v>High</v>
      </c>
    </row>
    <row r="4924" spans="1:25" x14ac:dyDescent="0.2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 t="shared" si="304"/>
        <v>0</v>
      </c>
      <c r="W4924">
        <f t="shared" si="305"/>
        <v>1</v>
      </c>
      <c r="X4924" t="str">
        <f t="shared" si="306"/>
        <v>49+ Months</v>
      </c>
      <c r="Y4924" s="1" t="str">
        <f t="shared" si="307"/>
        <v>Medium</v>
      </c>
    </row>
    <row r="4925" spans="1:25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 t="shared" si="304"/>
        <v>0</v>
      </c>
      <c r="W4925">
        <f t="shared" si="305"/>
        <v>1</v>
      </c>
      <c r="X4925" t="str">
        <f t="shared" si="306"/>
        <v>49+ Months</v>
      </c>
      <c r="Y4925" s="1" t="str">
        <f t="shared" si="307"/>
        <v>Low</v>
      </c>
    </row>
    <row r="4926" spans="1:25" x14ac:dyDescent="0.2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 t="shared" si="304"/>
        <v>1</v>
      </c>
      <c r="W4926">
        <f t="shared" si="305"/>
        <v>0</v>
      </c>
      <c r="X4926" t="str">
        <f t="shared" si="306"/>
        <v>0-12 Months</v>
      </c>
      <c r="Y4926" s="1" t="str">
        <f t="shared" si="307"/>
        <v>Low</v>
      </c>
    </row>
    <row r="4927" spans="1:25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 t="shared" si="304"/>
        <v>0</v>
      </c>
      <c r="W4927">
        <f t="shared" si="305"/>
        <v>1</v>
      </c>
      <c r="X4927" t="str">
        <f t="shared" si="306"/>
        <v>49+ Months</v>
      </c>
      <c r="Y4927" s="1" t="str">
        <f t="shared" si="307"/>
        <v>High</v>
      </c>
    </row>
    <row r="4928" spans="1:25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 t="shared" si="304"/>
        <v>0</v>
      </c>
      <c r="W4928">
        <f t="shared" si="305"/>
        <v>1</v>
      </c>
      <c r="X4928" t="str">
        <f t="shared" si="306"/>
        <v>49+ Months</v>
      </c>
      <c r="Y4928" s="1" t="str">
        <f t="shared" si="307"/>
        <v>Medium</v>
      </c>
    </row>
    <row r="4929" spans="1:25" x14ac:dyDescent="0.2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 t="shared" si="304"/>
        <v>0</v>
      </c>
      <c r="W4929">
        <f t="shared" si="305"/>
        <v>1</v>
      </c>
      <c r="X4929" t="str">
        <f t="shared" si="306"/>
        <v>25-48 Months</v>
      </c>
      <c r="Y4929" s="1" t="str">
        <f t="shared" si="307"/>
        <v>Low</v>
      </c>
    </row>
    <row r="4930" spans="1:25" x14ac:dyDescent="0.2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 t="shared" ref="V4930:V4993" si="308">IF(U4930="Yes",1,0)</f>
        <v>1</v>
      </c>
      <c r="W4930">
        <f t="shared" ref="W4930:W4993" si="309">IF(U4930="No",1,0)</f>
        <v>0</v>
      </c>
      <c r="X4930" t="str">
        <f t="shared" ref="X4930:X4993" si="310">IF(F4930&lt;=12,"0-12 Months",IF(F4930&lt;=24,"13-24 Months",IF(F4930&lt;=48,"25-48 Months","49+ Months")))</f>
        <v>0-12 Months</v>
      </c>
      <c r="Y4930" s="1" t="str">
        <f t="shared" ref="Y4930:Y4993" si="311">IF(S4930&lt;50,"Low",IF(S4930&lt;80,"Medium","High"))</f>
        <v>Low</v>
      </c>
    </row>
    <row r="4931" spans="1:25" x14ac:dyDescent="0.2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 t="shared" si="308"/>
        <v>0</v>
      </c>
      <c r="W4931">
        <f t="shared" si="309"/>
        <v>1</v>
      </c>
      <c r="X4931" t="str">
        <f t="shared" si="310"/>
        <v>49+ Months</v>
      </c>
      <c r="Y4931" s="1" t="str">
        <f t="shared" si="311"/>
        <v>High</v>
      </c>
    </row>
    <row r="4932" spans="1:25" x14ac:dyDescent="0.2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 t="shared" si="308"/>
        <v>0</v>
      </c>
      <c r="W4932">
        <f t="shared" si="309"/>
        <v>1</v>
      </c>
      <c r="X4932" t="str">
        <f t="shared" si="310"/>
        <v>0-12 Months</v>
      </c>
      <c r="Y4932" s="1" t="str">
        <f t="shared" si="311"/>
        <v>Low</v>
      </c>
    </row>
    <row r="4933" spans="1:25" x14ac:dyDescent="0.2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 t="shared" si="308"/>
        <v>0</v>
      </c>
      <c r="W4933">
        <f t="shared" si="309"/>
        <v>1</v>
      </c>
      <c r="X4933" t="str">
        <f t="shared" si="310"/>
        <v>13-24 Months</v>
      </c>
      <c r="Y4933" s="1" t="str">
        <f t="shared" si="311"/>
        <v>High</v>
      </c>
    </row>
    <row r="4934" spans="1:25" x14ac:dyDescent="0.2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 t="shared" si="308"/>
        <v>0</v>
      </c>
      <c r="W4934">
        <f t="shared" si="309"/>
        <v>1</v>
      </c>
      <c r="X4934" t="str">
        <f t="shared" si="310"/>
        <v>25-48 Months</v>
      </c>
      <c r="Y4934" s="1" t="str">
        <f t="shared" si="311"/>
        <v>High</v>
      </c>
    </row>
    <row r="4935" spans="1:25" x14ac:dyDescent="0.2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 t="shared" si="308"/>
        <v>0</v>
      </c>
      <c r="W4935">
        <f t="shared" si="309"/>
        <v>1</v>
      </c>
      <c r="X4935" t="str">
        <f t="shared" si="310"/>
        <v>0-12 Months</v>
      </c>
      <c r="Y4935" s="1" t="str">
        <f t="shared" si="311"/>
        <v>Medium</v>
      </c>
    </row>
    <row r="4936" spans="1:25" x14ac:dyDescent="0.2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 t="shared" si="308"/>
        <v>0</v>
      </c>
      <c r="W4936">
        <f t="shared" si="309"/>
        <v>1</v>
      </c>
      <c r="X4936" t="str">
        <f t="shared" si="310"/>
        <v>49+ Months</v>
      </c>
      <c r="Y4936" s="1" t="str">
        <f t="shared" si="311"/>
        <v>High</v>
      </c>
    </row>
    <row r="4937" spans="1:25" x14ac:dyDescent="0.2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 t="shared" si="308"/>
        <v>0</v>
      </c>
      <c r="W4937">
        <f t="shared" si="309"/>
        <v>1</v>
      </c>
      <c r="X4937" t="str">
        <f t="shared" si="310"/>
        <v>25-48 Months</v>
      </c>
      <c r="Y4937" s="1" t="str">
        <f t="shared" si="311"/>
        <v>Low</v>
      </c>
    </row>
    <row r="4938" spans="1:25" x14ac:dyDescent="0.2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 t="shared" si="308"/>
        <v>0</v>
      </c>
      <c r="W4938">
        <f t="shared" si="309"/>
        <v>1</v>
      </c>
      <c r="X4938" t="str">
        <f t="shared" si="310"/>
        <v>25-48 Months</v>
      </c>
      <c r="Y4938" s="1" t="str">
        <f t="shared" si="311"/>
        <v>High</v>
      </c>
    </row>
    <row r="4939" spans="1:25" x14ac:dyDescent="0.2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 t="shared" si="308"/>
        <v>0</v>
      </c>
      <c r="W4939">
        <f t="shared" si="309"/>
        <v>1</v>
      </c>
      <c r="X4939" t="str">
        <f t="shared" si="310"/>
        <v>25-48 Months</v>
      </c>
      <c r="Y4939" s="1" t="str">
        <f t="shared" si="311"/>
        <v>Medium</v>
      </c>
    </row>
    <row r="4940" spans="1:25" x14ac:dyDescent="0.2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 t="shared" si="308"/>
        <v>1</v>
      </c>
      <c r="W4940">
        <f t="shared" si="309"/>
        <v>0</v>
      </c>
      <c r="X4940" t="str">
        <f t="shared" si="310"/>
        <v>13-24 Months</v>
      </c>
      <c r="Y4940" s="1" t="str">
        <f t="shared" si="311"/>
        <v>High</v>
      </c>
    </row>
    <row r="4941" spans="1:25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 t="shared" si="308"/>
        <v>0</v>
      </c>
      <c r="W4941">
        <f t="shared" si="309"/>
        <v>1</v>
      </c>
      <c r="X4941" t="str">
        <f t="shared" si="310"/>
        <v>0-12 Months</v>
      </c>
      <c r="Y4941" s="1" t="str">
        <f t="shared" si="311"/>
        <v>Low</v>
      </c>
    </row>
    <row r="4942" spans="1:25" x14ac:dyDescent="0.2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 t="shared" si="308"/>
        <v>0</v>
      </c>
      <c r="W4942">
        <f t="shared" si="309"/>
        <v>1</v>
      </c>
      <c r="X4942" t="str">
        <f t="shared" si="310"/>
        <v>13-24 Months</v>
      </c>
      <c r="Y4942" s="1" t="str">
        <f t="shared" si="311"/>
        <v>Medium</v>
      </c>
    </row>
    <row r="4943" spans="1:25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 t="shared" si="308"/>
        <v>1</v>
      </c>
      <c r="W4943">
        <f t="shared" si="309"/>
        <v>0</v>
      </c>
      <c r="X4943" t="str">
        <f t="shared" si="310"/>
        <v>0-12 Months</v>
      </c>
      <c r="Y4943" s="1" t="str">
        <f t="shared" si="311"/>
        <v>Low</v>
      </c>
    </row>
    <row r="4944" spans="1:25" x14ac:dyDescent="0.2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 t="shared" si="308"/>
        <v>1</v>
      </c>
      <c r="W4944">
        <f t="shared" si="309"/>
        <v>0</v>
      </c>
      <c r="X4944" t="str">
        <f t="shared" si="310"/>
        <v>0-12 Months</v>
      </c>
      <c r="Y4944" s="1" t="str">
        <f t="shared" si="311"/>
        <v>Medium</v>
      </c>
    </row>
    <row r="4945" spans="1:25" x14ac:dyDescent="0.2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 t="shared" si="308"/>
        <v>0</v>
      </c>
      <c r="W4945">
        <f t="shared" si="309"/>
        <v>1</v>
      </c>
      <c r="X4945" t="str">
        <f t="shared" si="310"/>
        <v>49+ Months</v>
      </c>
      <c r="Y4945" s="1" t="str">
        <f t="shared" si="311"/>
        <v>High</v>
      </c>
    </row>
    <row r="4946" spans="1:25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 t="shared" si="308"/>
        <v>0</v>
      </c>
      <c r="W4946">
        <f t="shared" si="309"/>
        <v>1</v>
      </c>
      <c r="X4946" t="str">
        <f t="shared" si="310"/>
        <v>0-12 Months</v>
      </c>
      <c r="Y4946" s="1" t="str">
        <f t="shared" si="311"/>
        <v>Low</v>
      </c>
    </row>
    <row r="4947" spans="1:25" x14ac:dyDescent="0.2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 t="shared" si="308"/>
        <v>0</v>
      </c>
      <c r="W4947">
        <f t="shared" si="309"/>
        <v>1</v>
      </c>
      <c r="X4947" t="str">
        <f t="shared" si="310"/>
        <v>13-24 Months</v>
      </c>
      <c r="Y4947" s="1" t="str">
        <f t="shared" si="311"/>
        <v>Low</v>
      </c>
    </row>
    <row r="4948" spans="1:25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 t="shared" si="308"/>
        <v>1</v>
      </c>
      <c r="W4948">
        <f t="shared" si="309"/>
        <v>0</v>
      </c>
      <c r="X4948" t="str">
        <f t="shared" si="310"/>
        <v>0-12 Months</v>
      </c>
      <c r="Y4948" s="1" t="str">
        <f t="shared" si="311"/>
        <v>High</v>
      </c>
    </row>
    <row r="4949" spans="1:25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 t="shared" si="308"/>
        <v>1</v>
      </c>
      <c r="W4949">
        <f t="shared" si="309"/>
        <v>0</v>
      </c>
      <c r="X4949" t="str">
        <f t="shared" si="310"/>
        <v>25-48 Months</v>
      </c>
      <c r="Y4949" s="1" t="str">
        <f t="shared" si="311"/>
        <v>High</v>
      </c>
    </row>
    <row r="4950" spans="1:25" x14ac:dyDescent="0.2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 t="shared" si="308"/>
        <v>0</v>
      </c>
      <c r="W4950">
        <f t="shared" si="309"/>
        <v>1</v>
      </c>
      <c r="X4950" t="str">
        <f t="shared" si="310"/>
        <v>0-12 Months</v>
      </c>
      <c r="Y4950" s="1" t="str">
        <f t="shared" si="311"/>
        <v>Medium</v>
      </c>
    </row>
    <row r="4951" spans="1:25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 t="shared" si="308"/>
        <v>1</v>
      </c>
      <c r="W4951">
        <f t="shared" si="309"/>
        <v>0</v>
      </c>
      <c r="X4951" t="str">
        <f t="shared" si="310"/>
        <v>0-12 Months</v>
      </c>
      <c r="Y4951" s="1" t="str">
        <f t="shared" si="311"/>
        <v>Medium</v>
      </c>
    </row>
    <row r="4952" spans="1:25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 t="shared" si="308"/>
        <v>1</v>
      </c>
      <c r="W4952">
        <f t="shared" si="309"/>
        <v>0</v>
      </c>
      <c r="X4952" t="str">
        <f t="shared" si="310"/>
        <v>0-12 Months</v>
      </c>
      <c r="Y4952" s="1" t="str">
        <f t="shared" si="311"/>
        <v>High</v>
      </c>
    </row>
    <row r="4953" spans="1:25" x14ac:dyDescent="0.2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 t="shared" si="308"/>
        <v>0</v>
      </c>
      <c r="W4953">
        <f t="shared" si="309"/>
        <v>1</v>
      </c>
      <c r="X4953" t="str">
        <f t="shared" si="310"/>
        <v>25-48 Months</v>
      </c>
      <c r="Y4953" s="1" t="str">
        <f t="shared" si="311"/>
        <v>High</v>
      </c>
    </row>
    <row r="4954" spans="1:25" x14ac:dyDescent="0.2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 t="shared" si="308"/>
        <v>0</v>
      </c>
      <c r="W4954">
        <f t="shared" si="309"/>
        <v>1</v>
      </c>
      <c r="X4954" t="str">
        <f t="shared" si="310"/>
        <v>0-12 Months</v>
      </c>
      <c r="Y4954" s="1" t="str">
        <f t="shared" si="311"/>
        <v>High</v>
      </c>
    </row>
    <row r="4955" spans="1:25" x14ac:dyDescent="0.2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 t="shared" si="308"/>
        <v>0</v>
      </c>
      <c r="W4955">
        <f t="shared" si="309"/>
        <v>1</v>
      </c>
      <c r="X4955" t="str">
        <f t="shared" si="310"/>
        <v>25-48 Months</v>
      </c>
      <c r="Y4955" s="1" t="str">
        <f t="shared" si="311"/>
        <v>Low</v>
      </c>
    </row>
    <row r="4956" spans="1:25" x14ac:dyDescent="0.2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 t="shared" si="308"/>
        <v>1</v>
      </c>
      <c r="W4956">
        <f t="shared" si="309"/>
        <v>0</v>
      </c>
      <c r="X4956" t="str">
        <f t="shared" si="310"/>
        <v>0-12 Months</v>
      </c>
      <c r="Y4956" s="1" t="str">
        <f t="shared" si="311"/>
        <v>High</v>
      </c>
    </row>
    <row r="4957" spans="1:25" x14ac:dyDescent="0.2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 t="shared" si="308"/>
        <v>1</v>
      </c>
      <c r="W4957">
        <f t="shared" si="309"/>
        <v>0</v>
      </c>
      <c r="X4957" t="str">
        <f t="shared" si="310"/>
        <v>0-12 Months</v>
      </c>
      <c r="Y4957" s="1" t="str">
        <f t="shared" si="311"/>
        <v>Medium</v>
      </c>
    </row>
    <row r="4958" spans="1:25" x14ac:dyDescent="0.2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 t="shared" si="308"/>
        <v>1</v>
      </c>
      <c r="W4958">
        <f t="shared" si="309"/>
        <v>0</v>
      </c>
      <c r="X4958" t="str">
        <f t="shared" si="310"/>
        <v>0-12 Months</v>
      </c>
      <c r="Y4958" s="1" t="str">
        <f t="shared" si="311"/>
        <v>High</v>
      </c>
    </row>
    <row r="4959" spans="1:25" x14ac:dyDescent="0.2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 t="shared" si="308"/>
        <v>0</v>
      </c>
      <c r="W4959">
        <f t="shared" si="309"/>
        <v>1</v>
      </c>
      <c r="X4959" t="str">
        <f t="shared" si="310"/>
        <v>13-24 Months</v>
      </c>
      <c r="Y4959" s="1" t="str">
        <f t="shared" si="311"/>
        <v>Low</v>
      </c>
    </row>
    <row r="4960" spans="1:25" x14ac:dyDescent="0.2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 t="shared" si="308"/>
        <v>0</v>
      </c>
      <c r="W4960">
        <f t="shared" si="309"/>
        <v>1</v>
      </c>
      <c r="X4960" t="str">
        <f t="shared" si="310"/>
        <v>49+ Months</v>
      </c>
      <c r="Y4960" s="1" t="str">
        <f t="shared" si="311"/>
        <v>High</v>
      </c>
    </row>
    <row r="4961" spans="1:25" x14ac:dyDescent="0.2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 t="shared" si="308"/>
        <v>1</v>
      </c>
      <c r="W4961">
        <f t="shared" si="309"/>
        <v>0</v>
      </c>
      <c r="X4961" t="str">
        <f t="shared" si="310"/>
        <v>0-12 Months</v>
      </c>
      <c r="Y4961" s="1" t="str">
        <f t="shared" si="311"/>
        <v>Low</v>
      </c>
    </row>
    <row r="4962" spans="1:25" x14ac:dyDescent="0.2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 t="shared" si="308"/>
        <v>1</v>
      </c>
      <c r="W4962">
        <f t="shared" si="309"/>
        <v>0</v>
      </c>
      <c r="X4962" t="str">
        <f t="shared" si="310"/>
        <v>49+ Months</v>
      </c>
      <c r="Y4962" s="1" t="str">
        <f t="shared" si="311"/>
        <v>High</v>
      </c>
    </row>
    <row r="4963" spans="1:25" x14ac:dyDescent="0.2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 t="shared" si="308"/>
        <v>0</v>
      </c>
      <c r="W4963">
        <f t="shared" si="309"/>
        <v>1</v>
      </c>
      <c r="X4963" t="str">
        <f t="shared" si="310"/>
        <v>13-24 Months</v>
      </c>
      <c r="Y4963" s="1" t="str">
        <f t="shared" si="311"/>
        <v>Low</v>
      </c>
    </row>
    <row r="4964" spans="1:25" x14ac:dyDescent="0.2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 t="shared" si="308"/>
        <v>0</v>
      </c>
      <c r="W4964">
        <f t="shared" si="309"/>
        <v>1</v>
      </c>
      <c r="X4964" t="str">
        <f t="shared" si="310"/>
        <v>13-24 Months</v>
      </c>
      <c r="Y4964" s="1" t="str">
        <f t="shared" si="311"/>
        <v>Medium</v>
      </c>
    </row>
    <row r="4965" spans="1:25" x14ac:dyDescent="0.2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 t="shared" si="308"/>
        <v>0</v>
      </c>
      <c r="W4965">
        <f t="shared" si="309"/>
        <v>1</v>
      </c>
      <c r="X4965" t="str">
        <f t="shared" si="310"/>
        <v>25-48 Months</v>
      </c>
      <c r="Y4965" s="1" t="str">
        <f t="shared" si="311"/>
        <v>Medium</v>
      </c>
    </row>
    <row r="4966" spans="1:25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 t="shared" si="308"/>
        <v>1</v>
      </c>
      <c r="W4966">
        <f t="shared" si="309"/>
        <v>0</v>
      </c>
      <c r="X4966" t="str">
        <f t="shared" si="310"/>
        <v>25-48 Months</v>
      </c>
      <c r="Y4966" s="1" t="str">
        <f t="shared" si="311"/>
        <v>Medium</v>
      </c>
    </row>
    <row r="4967" spans="1:25" x14ac:dyDescent="0.2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 t="shared" si="308"/>
        <v>1</v>
      </c>
      <c r="W4967">
        <f t="shared" si="309"/>
        <v>0</v>
      </c>
      <c r="X4967" t="str">
        <f t="shared" si="310"/>
        <v>0-12 Months</v>
      </c>
      <c r="Y4967" s="1" t="str">
        <f t="shared" si="311"/>
        <v>Low</v>
      </c>
    </row>
    <row r="4968" spans="1:25" x14ac:dyDescent="0.2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 t="shared" si="308"/>
        <v>0</v>
      </c>
      <c r="W4968">
        <f t="shared" si="309"/>
        <v>1</v>
      </c>
      <c r="X4968" t="str">
        <f t="shared" si="310"/>
        <v>13-24 Months</v>
      </c>
      <c r="Y4968" s="1" t="str">
        <f t="shared" si="311"/>
        <v>Medium</v>
      </c>
    </row>
    <row r="4969" spans="1:25" x14ac:dyDescent="0.2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 t="shared" si="308"/>
        <v>1</v>
      </c>
      <c r="W4969">
        <f t="shared" si="309"/>
        <v>0</v>
      </c>
      <c r="X4969" t="str">
        <f t="shared" si="310"/>
        <v>0-12 Months</v>
      </c>
      <c r="Y4969" s="1" t="str">
        <f t="shared" si="311"/>
        <v>Medium</v>
      </c>
    </row>
    <row r="4970" spans="1:25" x14ac:dyDescent="0.2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 t="shared" si="308"/>
        <v>0</v>
      </c>
      <c r="W4970">
        <f t="shared" si="309"/>
        <v>1</v>
      </c>
      <c r="X4970" t="str">
        <f t="shared" si="310"/>
        <v>49+ Months</v>
      </c>
      <c r="Y4970" s="1" t="str">
        <f t="shared" si="311"/>
        <v>Medium</v>
      </c>
    </row>
    <row r="4971" spans="1:25" x14ac:dyDescent="0.2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 t="shared" si="308"/>
        <v>0</v>
      </c>
      <c r="W4971">
        <f t="shared" si="309"/>
        <v>1</v>
      </c>
      <c r="X4971" t="str">
        <f t="shared" si="310"/>
        <v>0-12 Months</v>
      </c>
      <c r="Y4971" s="1" t="str">
        <f t="shared" si="311"/>
        <v>Low</v>
      </c>
    </row>
    <row r="4972" spans="1:25" x14ac:dyDescent="0.2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 t="shared" si="308"/>
        <v>0</v>
      </c>
      <c r="W4972">
        <f t="shared" si="309"/>
        <v>1</v>
      </c>
      <c r="X4972" t="str">
        <f t="shared" si="310"/>
        <v>0-12 Months</v>
      </c>
      <c r="Y4972" s="1" t="str">
        <f t="shared" si="311"/>
        <v>Low</v>
      </c>
    </row>
    <row r="4973" spans="1:25" x14ac:dyDescent="0.2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 t="shared" si="308"/>
        <v>0</v>
      </c>
      <c r="W4973">
        <f t="shared" si="309"/>
        <v>1</v>
      </c>
      <c r="X4973" t="str">
        <f t="shared" si="310"/>
        <v>13-24 Months</v>
      </c>
      <c r="Y4973" s="1" t="str">
        <f t="shared" si="311"/>
        <v>Low</v>
      </c>
    </row>
    <row r="4974" spans="1:25" x14ac:dyDescent="0.2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 t="shared" si="308"/>
        <v>0</v>
      </c>
      <c r="W4974">
        <f t="shared" si="309"/>
        <v>1</v>
      </c>
      <c r="X4974" t="str">
        <f t="shared" si="310"/>
        <v>49+ Months</v>
      </c>
      <c r="Y4974" s="1" t="str">
        <f t="shared" si="311"/>
        <v>Low</v>
      </c>
    </row>
    <row r="4975" spans="1:25" x14ac:dyDescent="0.2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 t="shared" si="308"/>
        <v>0</v>
      </c>
      <c r="W4975">
        <f t="shared" si="309"/>
        <v>1</v>
      </c>
      <c r="X4975" t="str">
        <f t="shared" si="310"/>
        <v>13-24 Months</v>
      </c>
      <c r="Y4975" s="1" t="str">
        <f t="shared" si="311"/>
        <v>High</v>
      </c>
    </row>
    <row r="4976" spans="1:25" x14ac:dyDescent="0.2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 t="shared" si="308"/>
        <v>1</v>
      </c>
      <c r="W4976">
        <f t="shared" si="309"/>
        <v>0</v>
      </c>
      <c r="X4976" t="str">
        <f t="shared" si="310"/>
        <v>0-12 Months</v>
      </c>
      <c r="Y4976" s="1" t="str">
        <f t="shared" si="311"/>
        <v>Low</v>
      </c>
    </row>
    <row r="4977" spans="1:25" x14ac:dyDescent="0.2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 t="shared" si="308"/>
        <v>0</v>
      </c>
      <c r="W4977">
        <f t="shared" si="309"/>
        <v>1</v>
      </c>
      <c r="X4977" t="str">
        <f t="shared" si="310"/>
        <v>49+ Months</v>
      </c>
      <c r="Y4977" s="1" t="str">
        <f t="shared" si="311"/>
        <v>High</v>
      </c>
    </row>
    <row r="4978" spans="1:25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 t="shared" si="308"/>
        <v>0</v>
      </c>
      <c r="W4978">
        <f t="shared" si="309"/>
        <v>1</v>
      </c>
      <c r="X4978" t="str">
        <f t="shared" si="310"/>
        <v>49+ Months</v>
      </c>
      <c r="Y4978" s="1" t="str">
        <f t="shared" si="311"/>
        <v>Medium</v>
      </c>
    </row>
    <row r="4979" spans="1:25" x14ac:dyDescent="0.2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 t="shared" si="308"/>
        <v>0</v>
      </c>
      <c r="W4979">
        <f t="shared" si="309"/>
        <v>1</v>
      </c>
      <c r="X4979" t="str">
        <f t="shared" si="310"/>
        <v>13-24 Months</v>
      </c>
      <c r="Y4979" s="1" t="str">
        <f t="shared" si="311"/>
        <v>Low</v>
      </c>
    </row>
    <row r="4980" spans="1:25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 t="shared" si="308"/>
        <v>1</v>
      </c>
      <c r="W4980">
        <f t="shared" si="309"/>
        <v>0</v>
      </c>
      <c r="X4980" t="str">
        <f t="shared" si="310"/>
        <v>0-12 Months</v>
      </c>
      <c r="Y4980" s="1" t="str">
        <f t="shared" si="311"/>
        <v>Low</v>
      </c>
    </row>
    <row r="4981" spans="1:25" x14ac:dyDescent="0.2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 t="shared" si="308"/>
        <v>0</v>
      </c>
      <c r="W4981">
        <f t="shared" si="309"/>
        <v>1</v>
      </c>
      <c r="X4981" t="str">
        <f t="shared" si="310"/>
        <v>49+ Months</v>
      </c>
      <c r="Y4981" s="1" t="str">
        <f t="shared" si="311"/>
        <v>Low</v>
      </c>
    </row>
    <row r="4982" spans="1:25" x14ac:dyDescent="0.2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 t="shared" si="308"/>
        <v>0</v>
      </c>
      <c r="W4982">
        <f t="shared" si="309"/>
        <v>1</v>
      </c>
      <c r="X4982" t="str">
        <f t="shared" si="310"/>
        <v>13-24 Months</v>
      </c>
      <c r="Y4982" s="1" t="str">
        <f t="shared" si="311"/>
        <v>Low</v>
      </c>
    </row>
    <row r="4983" spans="1:25" x14ac:dyDescent="0.2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 t="shared" si="308"/>
        <v>1</v>
      </c>
      <c r="W4983">
        <f t="shared" si="309"/>
        <v>0</v>
      </c>
      <c r="X4983" t="str">
        <f t="shared" si="310"/>
        <v>13-24 Months</v>
      </c>
      <c r="Y4983" s="1" t="str">
        <f t="shared" si="311"/>
        <v>Medium</v>
      </c>
    </row>
    <row r="4984" spans="1:25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 t="shared" si="308"/>
        <v>1</v>
      </c>
      <c r="W4984">
        <f t="shared" si="309"/>
        <v>0</v>
      </c>
      <c r="X4984" t="str">
        <f t="shared" si="310"/>
        <v>49+ Months</v>
      </c>
      <c r="Y4984" s="1" t="str">
        <f t="shared" si="311"/>
        <v>High</v>
      </c>
    </row>
    <row r="4985" spans="1:25" x14ac:dyDescent="0.2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 t="shared" si="308"/>
        <v>1</v>
      </c>
      <c r="W4985">
        <f t="shared" si="309"/>
        <v>0</v>
      </c>
      <c r="X4985" t="str">
        <f t="shared" si="310"/>
        <v>25-48 Months</v>
      </c>
      <c r="Y4985" s="1" t="str">
        <f t="shared" si="311"/>
        <v>Low</v>
      </c>
    </row>
    <row r="4986" spans="1:25" x14ac:dyDescent="0.2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 t="shared" si="308"/>
        <v>0</v>
      </c>
      <c r="W4986">
        <f t="shared" si="309"/>
        <v>1</v>
      </c>
      <c r="X4986" t="str">
        <f t="shared" si="310"/>
        <v>25-48 Months</v>
      </c>
      <c r="Y4986" s="1" t="str">
        <f t="shared" si="311"/>
        <v>Medium</v>
      </c>
    </row>
    <row r="4987" spans="1:25" x14ac:dyDescent="0.2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 t="shared" si="308"/>
        <v>0</v>
      </c>
      <c r="W4987">
        <f t="shared" si="309"/>
        <v>1</v>
      </c>
      <c r="X4987" t="str">
        <f t="shared" si="310"/>
        <v>49+ Months</v>
      </c>
      <c r="Y4987" s="1" t="str">
        <f t="shared" si="311"/>
        <v>High</v>
      </c>
    </row>
    <row r="4988" spans="1:25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 t="shared" si="308"/>
        <v>0</v>
      </c>
      <c r="W4988">
        <f t="shared" si="309"/>
        <v>1</v>
      </c>
      <c r="X4988" t="str">
        <f t="shared" si="310"/>
        <v>0-12 Months</v>
      </c>
      <c r="Y4988" s="1" t="str">
        <f t="shared" si="311"/>
        <v>Medium</v>
      </c>
    </row>
    <row r="4989" spans="1:25" x14ac:dyDescent="0.2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 t="shared" si="308"/>
        <v>0</v>
      </c>
      <c r="W4989">
        <f t="shared" si="309"/>
        <v>1</v>
      </c>
      <c r="X4989" t="str">
        <f t="shared" si="310"/>
        <v>49+ Months</v>
      </c>
      <c r="Y4989" s="1" t="str">
        <f t="shared" si="311"/>
        <v>Low</v>
      </c>
    </row>
    <row r="4990" spans="1:25" x14ac:dyDescent="0.2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 t="shared" si="308"/>
        <v>0</v>
      </c>
      <c r="W4990">
        <f t="shared" si="309"/>
        <v>1</v>
      </c>
      <c r="X4990" t="str">
        <f t="shared" si="310"/>
        <v>25-48 Months</v>
      </c>
      <c r="Y4990" s="1" t="str">
        <f t="shared" si="311"/>
        <v>Low</v>
      </c>
    </row>
    <row r="4991" spans="1:25" x14ac:dyDescent="0.2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 t="shared" si="308"/>
        <v>0</v>
      </c>
      <c r="W4991">
        <f t="shared" si="309"/>
        <v>1</v>
      </c>
      <c r="X4991" t="str">
        <f t="shared" si="310"/>
        <v>0-12 Months</v>
      </c>
      <c r="Y4991" s="1" t="str">
        <f t="shared" si="311"/>
        <v>Low</v>
      </c>
    </row>
    <row r="4992" spans="1:25" x14ac:dyDescent="0.2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 t="shared" si="308"/>
        <v>0</v>
      </c>
      <c r="W4992">
        <f t="shared" si="309"/>
        <v>1</v>
      </c>
      <c r="X4992" t="str">
        <f t="shared" si="310"/>
        <v>0-12 Months</v>
      </c>
      <c r="Y4992" s="1" t="str">
        <f t="shared" si="311"/>
        <v>Low</v>
      </c>
    </row>
    <row r="4993" spans="1:25" x14ac:dyDescent="0.2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 t="shared" si="308"/>
        <v>1</v>
      </c>
      <c r="W4993">
        <f t="shared" si="309"/>
        <v>0</v>
      </c>
      <c r="X4993" t="str">
        <f t="shared" si="310"/>
        <v>49+ Months</v>
      </c>
      <c r="Y4993" s="1" t="str">
        <f t="shared" si="311"/>
        <v>High</v>
      </c>
    </row>
    <row r="4994" spans="1:25" x14ac:dyDescent="0.2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 t="shared" ref="V4994:V5057" si="312">IF(U4994="Yes",1,0)</f>
        <v>0</v>
      </c>
      <c r="W4994">
        <f t="shared" ref="W4994:W5057" si="313">IF(U4994="No",1,0)</f>
        <v>1</v>
      </c>
      <c r="X4994" t="str">
        <f t="shared" ref="X4994:X5057" si="314">IF(F4994&lt;=12,"0-12 Months",IF(F4994&lt;=24,"13-24 Months",IF(F4994&lt;=48,"25-48 Months","49+ Months")))</f>
        <v>49+ Months</v>
      </c>
      <c r="Y4994" s="1" t="str">
        <f t="shared" ref="Y4994:Y5057" si="315">IF(S4994&lt;50,"Low",IF(S4994&lt;80,"Medium","High"))</f>
        <v>Low</v>
      </c>
    </row>
    <row r="4995" spans="1:25" x14ac:dyDescent="0.2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 t="shared" si="312"/>
        <v>0</v>
      </c>
      <c r="W4995">
        <f t="shared" si="313"/>
        <v>1</v>
      </c>
      <c r="X4995" t="str">
        <f t="shared" si="314"/>
        <v>49+ Months</v>
      </c>
      <c r="Y4995" s="1" t="str">
        <f t="shared" si="315"/>
        <v>Medium</v>
      </c>
    </row>
    <row r="4996" spans="1:25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 t="shared" si="312"/>
        <v>1</v>
      </c>
      <c r="W4996">
        <f t="shared" si="313"/>
        <v>0</v>
      </c>
      <c r="X4996" t="str">
        <f t="shared" si="314"/>
        <v>13-24 Months</v>
      </c>
      <c r="Y4996" s="1" t="str">
        <f t="shared" si="315"/>
        <v>High</v>
      </c>
    </row>
    <row r="4997" spans="1:25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 t="shared" si="312"/>
        <v>1</v>
      </c>
      <c r="W4997">
        <f t="shared" si="313"/>
        <v>0</v>
      </c>
      <c r="X4997" t="str">
        <f t="shared" si="314"/>
        <v>0-12 Months</v>
      </c>
      <c r="Y4997" s="1" t="str">
        <f t="shared" si="315"/>
        <v>Medium</v>
      </c>
    </row>
    <row r="4998" spans="1:25" x14ac:dyDescent="0.2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 t="shared" si="312"/>
        <v>0</v>
      </c>
      <c r="W4998">
        <f t="shared" si="313"/>
        <v>1</v>
      </c>
      <c r="X4998" t="str">
        <f t="shared" si="314"/>
        <v>25-48 Months</v>
      </c>
      <c r="Y4998" s="1" t="str">
        <f t="shared" si="315"/>
        <v>Medium</v>
      </c>
    </row>
    <row r="4999" spans="1:25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 t="shared" si="312"/>
        <v>1</v>
      </c>
      <c r="W4999">
        <f t="shared" si="313"/>
        <v>0</v>
      </c>
      <c r="X4999" t="str">
        <f t="shared" si="314"/>
        <v>0-12 Months</v>
      </c>
      <c r="Y4999" s="1" t="str">
        <f t="shared" si="315"/>
        <v>Low</v>
      </c>
    </row>
    <row r="5000" spans="1:25" x14ac:dyDescent="0.2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 t="shared" si="312"/>
        <v>0</v>
      </c>
      <c r="W5000">
        <f t="shared" si="313"/>
        <v>1</v>
      </c>
      <c r="X5000" t="str">
        <f t="shared" si="314"/>
        <v>49+ Months</v>
      </c>
      <c r="Y5000" s="1" t="str">
        <f t="shared" si="315"/>
        <v>High</v>
      </c>
    </row>
    <row r="5001" spans="1:25" x14ac:dyDescent="0.2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 t="shared" si="312"/>
        <v>0</v>
      </c>
      <c r="W5001">
        <f t="shared" si="313"/>
        <v>1</v>
      </c>
      <c r="X5001" t="str">
        <f t="shared" si="314"/>
        <v>13-24 Months</v>
      </c>
      <c r="Y5001" s="1" t="str">
        <f t="shared" si="315"/>
        <v>Low</v>
      </c>
    </row>
    <row r="5002" spans="1:25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 t="shared" si="312"/>
        <v>0</v>
      </c>
      <c r="W5002">
        <f t="shared" si="313"/>
        <v>1</v>
      </c>
      <c r="X5002" t="str">
        <f t="shared" si="314"/>
        <v>0-12 Months</v>
      </c>
      <c r="Y5002" s="1" t="str">
        <f t="shared" si="315"/>
        <v>Low</v>
      </c>
    </row>
    <row r="5003" spans="1:25" x14ac:dyDescent="0.2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 t="shared" si="312"/>
        <v>1</v>
      </c>
      <c r="W5003">
        <f t="shared" si="313"/>
        <v>0</v>
      </c>
      <c r="X5003" t="str">
        <f t="shared" si="314"/>
        <v>13-24 Months</v>
      </c>
      <c r="Y5003" s="1" t="str">
        <f t="shared" si="315"/>
        <v>Medium</v>
      </c>
    </row>
    <row r="5004" spans="1:25" x14ac:dyDescent="0.2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 t="shared" si="312"/>
        <v>0</v>
      </c>
      <c r="W5004">
        <f t="shared" si="313"/>
        <v>1</v>
      </c>
      <c r="X5004" t="str">
        <f t="shared" si="314"/>
        <v>49+ Months</v>
      </c>
      <c r="Y5004" s="1" t="str">
        <f t="shared" si="315"/>
        <v>Low</v>
      </c>
    </row>
    <row r="5005" spans="1:25" x14ac:dyDescent="0.2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 t="shared" si="312"/>
        <v>1</v>
      </c>
      <c r="W5005">
        <f t="shared" si="313"/>
        <v>0</v>
      </c>
      <c r="X5005" t="str">
        <f t="shared" si="314"/>
        <v>0-12 Months</v>
      </c>
      <c r="Y5005" s="1" t="str">
        <f t="shared" si="315"/>
        <v>Medium</v>
      </c>
    </row>
    <row r="5006" spans="1:25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 t="shared" si="312"/>
        <v>0</v>
      </c>
      <c r="W5006">
        <f t="shared" si="313"/>
        <v>1</v>
      </c>
      <c r="X5006" t="str">
        <f t="shared" si="314"/>
        <v>49+ Months</v>
      </c>
      <c r="Y5006" s="1" t="str">
        <f t="shared" si="315"/>
        <v>High</v>
      </c>
    </row>
    <row r="5007" spans="1:25" x14ac:dyDescent="0.2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 t="shared" si="312"/>
        <v>1</v>
      </c>
      <c r="W5007">
        <f t="shared" si="313"/>
        <v>0</v>
      </c>
      <c r="X5007" t="str">
        <f t="shared" si="314"/>
        <v>25-48 Months</v>
      </c>
      <c r="Y5007" s="1" t="str">
        <f t="shared" si="315"/>
        <v>High</v>
      </c>
    </row>
    <row r="5008" spans="1:25" x14ac:dyDescent="0.2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 t="shared" si="312"/>
        <v>1</v>
      </c>
      <c r="W5008">
        <f t="shared" si="313"/>
        <v>0</v>
      </c>
      <c r="X5008" t="str">
        <f t="shared" si="314"/>
        <v>13-24 Months</v>
      </c>
      <c r="Y5008" s="1" t="str">
        <f t="shared" si="315"/>
        <v>Medium</v>
      </c>
    </row>
    <row r="5009" spans="1:25" x14ac:dyDescent="0.2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 t="shared" si="312"/>
        <v>0</v>
      </c>
      <c r="W5009">
        <f t="shared" si="313"/>
        <v>1</v>
      </c>
      <c r="X5009" t="str">
        <f t="shared" si="314"/>
        <v>25-48 Months</v>
      </c>
      <c r="Y5009" s="1" t="str">
        <f t="shared" si="315"/>
        <v>Low</v>
      </c>
    </row>
    <row r="5010" spans="1:25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 t="shared" si="312"/>
        <v>0</v>
      </c>
      <c r="W5010">
        <f t="shared" si="313"/>
        <v>1</v>
      </c>
      <c r="X5010" t="str">
        <f t="shared" si="314"/>
        <v>0-12 Months</v>
      </c>
      <c r="Y5010" s="1" t="str">
        <f t="shared" si="315"/>
        <v>Low</v>
      </c>
    </row>
    <row r="5011" spans="1:25" x14ac:dyDescent="0.2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 t="shared" si="312"/>
        <v>0</v>
      </c>
      <c r="W5011">
        <f t="shared" si="313"/>
        <v>1</v>
      </c>
      <c r="X5011" t="str">
        <f t="shared" si="314"/>
        <v>49+ Months</v>
      </c>
      <c r="Y5011" s="1" t="str">
        <f t="shared" si="315"/>
        <v>High</v>
      </c>
    </row>
    <row r="5012" spans="1:25" x14ac:dyDescent="0.2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 t="shared" si="312"/>
        <v>0</v>
      </c>
      <c r="W5012">
        <f t="shared" si="313"/>
        <v>1</v>
      </c>
      <c r="X5012" t="str">
        <f t="shared" si="314"/>
        <v>49+ Months</v>
      </c>
      <c r="Y5012" s="1" t="str">
        <f t="shared" si="315"/>
        <v>High</v>
      </c>
    </row>
    <row r="5013" spans="1:25" x14ac:dyDescent="0.2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 t="shared" si="312"/>
        <v>0</v>
      </c>
      <c r="W5013">
        <f t="shared" si="313"/>
        <v>1</v>
      </c>
      <c r="X5013" t="str">
        <f t="shared" si="314"/>
        <v>25-48 Months</v>
      </c>
      <c r="Y5013" s="1" t="str">
        <f t="shared" si="315"/>
        <v>High</v>
      </c>
    </row>
    <row r="5014" spans="1:25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 t="shared" si="312"/>
        <v>0</v>
      </c>
      <c r="W5014">
        <f t="shared" si="313"/>
        <v>1</v>
      </c>
      <c r="X5014" t="str">
        <f t="shared" si="314"/>
        <v>0-12 Months</v>
      </c>
      <c r="Y5014" s="1" t="str">
        <f t="shared" si="315"/>
        <v>Low</v>
      </c>
    </row>
    <row r="5015" spans="1:25" x14ac:dyDescent="0.2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 t="shared" si="312"/>
        <v>0</v>
      </c>
      <c r="W5015">
        <f t="shared" si="313"/>
        <v>1</v>
      </c>
      <c r="X5015" t="str">
        <f t="shared" si="314"/>
        <v>13-24 Months</v>
      </c>
      <c r="Y5015" s="1" t="str">
        <f t="shared" si="315"/>
        <v>Low</v>
      </c>
    </row>
    <row r="5016" spans="1:25" x14ac:dyDescent="0.2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 t="shared" si="312"/>
        <v>0</v>
      </c>
      <c r="W5016">
        <f t="shared" si="313"/>
        <v>1</v>
      </c>
      <c r="X5016" t="str">
        <f t="shared" si="314"/>
        <v>49+ Months</v>
      </c>
      <c r="Y5016" s="1" t="str">
        <f t="shared" si="315"/>
        <v>Medium</v>
      </c>
    </row>
    <row r="5017" spans="1:25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 t="shared" si="312"/>
        <v>0</v>
      </c>
      <c r="W5017">
        <f t="shared" si="313"/>
        <v>1</v>
      </c>
      <c r="X5017" t="str">
        <f t="shared" si="314"/>
        <v>25-48 Months</v>
      </c>
      <c r="Y5017" s="1" t="str">
        <f t="shared" si="315"/>
        <v>Medium</v>
      </c>
    </row>
    <row r="5018" spans="1:25" x14ac:dyDescent="0.2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 t="shared" si="312"/>
        <v>1</v>
      </c>
      <c r="W5018">
        <f t="shared" si="313"/>
        <v>0</v>
      </c>
      <c r="X5018" t="str">
        <f t="shared" si="314"/>
        <v>0-12 Months</v>
      </c>
      <c r="Y5018" s="1" t="str">
        <f t="shared" si="315"/>
        <v>Low</v>
      </c>
    </row>
    <row r="5019" spans="1:25" x14ac:dyDescent="0.2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 t="shared" si="312"/>
        <v>0</v>
      </c>
      <c r="W5019">
        <f t="shared" si="313"/>
        <v>1</v>
      </c>
      <c r="X5019" t="str">
        <f t="shared" si="314"/>
        <v>25-48 Months</v>
      </c>
      <c r="Y5019" s="1" t="str">
        <f t="shared" si="315"/>
        <v>Low</v>
      </c>
    </row>
    <row r="5020" spans="1:25" x14ac:dyDescent="0.2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 t="shared" si="312"/>
        <v>0</v>
      </c>
      <c r="W5020">
        <f t="shared" si="313"/>
        <v>1</v>
      </c>
      <c r="X5020" t="str">
        <f t="shared" si="314"/>
        <v>49+ Months</v>
      </c>
      <c r="Y5020" s="1" t="str">
        <f t="shared" si="315"/>
        <v>Low</v>
      </c>
    </row>
    <row r="5021" spans="1:25" x14ac:dyDescent="0.2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 t="shared" si="312"/>
        <v>0</v>
      </c>
      <c r="W5021">
        <f t="shared" si="313"/>
        <v>1</v>
      </c>
      <c r="X5021" t="str">
        <f t="shared" si="314"/>
        <v>13-24 Months</v>
      </c>
      <c r="Y5021" s="1" t="str">
        <f t="shared" si="315"/>
        <v>High</v>
      </c>
    </row>
    <row r="5022" spans="1:25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 t="shared" si="312"/>
        <v>0</v>
      </c>
      <c r="W5022">
        <f t="shared" si="313"/>
        <v>1</v>
      </c>
      <c r="X5022" t="str">
        <f t="shared" si="314"/>
        <v>25-48 Months</v>
      </c>
      <c r="Y5022" s="1" t="str">
        <f t="shared" si="315"/>
        <v>Low</v>
      </c>
    </row>
    <row r="5023" spans="1:25" x14ac:dyDescent="0.2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 t="shared" si="312"/>
        <v>0</v>
      </c>
      <c r="W5023">
        <f t="shared" si="313"/>
        <v>1</v>
      </c>
      <c r="X5023" t="str">
        <f t="shared" si="314"/>
        <v>13-24 Months</v>
      </c>
      <c r="Y5023" s="1" t="str">
        <f t="shared" si="315"/>
        <v>High</v>
      </c>
    </row>
    <row r="5024" spans="1:25" x14ac:dyDescent="0.2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 t="shared" si="312"/>
        <v>0</v>
      </c>
      <c r="W5024">
        <f t="shared" si="313"/>
        <v>1</v>
      </c>
      <c r="X5024" t="str">
        <f t="shared" si="314"/>
        <v>49+ Months</v>
      </c>
      <c r="Y5024" s="1" t="str">
        <f t="shared" si="315"/>
        <v>High</v>
      </c>
    </row>
    <row r="5025" spans="1:25" x14ac:dyDescent="0.2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 t="shared" si="312"/>
        <v>1</v>
      </c>
      <c r="W5025">
        <f t="shared" si="313"/>
        <v>0</v>
      </c>
      <c r="X5025" t="str">
        <f t="shared" si="314"/>
        <v>0-12 Months</v>
      </c>
      <c r="Y5025" s="1" t="str">
        <f t="shared" si="315"/>
        <v>Medium</v>
      </c>
    </row>
    <row r="5026" spans="1:25" x14ac:dyDescent="0.2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 t="shared" si="312"/>
        <v>0</v>
      </c>
      <c r="W5026">
        <f t="shared" si="313"/>
        <v>1</v>
      </c>
      <c r="X5026" t="str">
        <f t="shared" si="314"/>
        <v>49+ Months</v>
      </c>
      <c r="Y5026" s="1" t="str">
        <f t="shared" si="315"/>
        <v>Low</v>
      </c>
    </row>
    <row r="5027" spans="1:25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 t="shared" si="312"/>
        <v>0</v>
      </c>
      <c r="W5027">
        <f t="shared" si="313"/>
        <v>1</v>
      </c>
      <c r="X5027" t="str">
        <f t="shared" si="314"/>
        <v>0-12 Months</v>
      </c>
      <c r="Y5027" s="1" t="str">
        <f t="shared" si="315"/>
        <v>Medium</v>
      </c>
    </row>
    <row r="5028" spans="1:25" x14ac:dyDescent="0.2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 t="shared" si="312"/>
        <v>0</v>
      </c>
      <c r="W5028">
        <f t="shared" si="313"/>
        <v>1</v>
      </c>
      <c r="X5028" t="str">
        <f t="shared" si="314"/>
        <v>13-24 Months</v>
      </c>
      <c r="Y5028" s="1" t="str">
        <f t="shared" si="315"/>
        <v>Low</v>
      </c>
    </row>
    <row r="5029" spans="1:25" x14ac:dyDescent="0.2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 t="shared" si="312"/>
        <v>1</v>
      </c>
      <c r="W5029">
        <f t="shared" si="313"/>
        <v>0</v>
      </c>
      <c r="X5029" t="str">
        <f t="shared" si="314"/>
        <v>0-12 Months</v>
      </c>
      <c r="Y5029" s="1" t="str">
        <f t="shared" si="315"/>
        <v>High</v>
      </c>
    </row>
    <row r="5030" spans="1:25" x14ac:dyDescent="0.2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 t="shared" si="312"/>
        <v>0</v>
      </c>
      <c r="W5030">
        <f t="shared" si="313"/>
        <v>1</v>
      </c>
      <c r="X5030" t="str">
        <f t="shared" si="314"/>
        <v>49+ Months</v>
      </c>
      <c r="Y5030" s="1" t="str">
        <f t="shared" si="315"/>
        <v>High</v>
      </c>
    </row>
    <row r="5031" spans="1:25" x14ac:dyDescent="0.2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 t="shared" si="312"/>
        <v>0</v>
      </c>
      <c r="W5031">
        <f t="shared" si="313"/>
        <v>1</v>
      </c>
      <c r="X5031" t="str">
        <f t="shared" si="314"/>
        <v>0-12 Months</v>
      </c>
      <c r="Y5031" s="1" t="str">
        <f t="shared" si="315"/>
        <v>Medium</v>
      </c>
    </row>
    <row r="5032" spans="1:25" x14ac:dyDescent="0.2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 t="shared" si="312"/>
        <v>1</v>
      </c>
      <c r="W5032">
        <f t="shared" si="313"/>
        <v>0</v>
      </c>
      <c r="X5032" t="str">
        <f t="shared" si="314"/>
        <v>0-12 Months</v>
      </c>
      <c r="Y5032" s="1" t="str">
        <f t="shared" si="315"/>
        <v>High</v>
      </c>
    </row>
    <row r="5033" spans="1:25" x14ac:dyDescent="0.2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 t="shared" si="312"/>
        <v>0</v>
      </c>
      <c r="W5033">
        <f t="shared" si="313"/>
        <v>1</v>
      </c>
      <c r="X5033" t="str">
        <f t="shared" si="314"/>
        <v>0-12 Months</v>
      </c>
      <c r="Y5033" s="1" t="str">
        <f t="shared" si="315"/>
        <v>High</v>
      </c>
    </row>
    <row r="5034" spans="1:25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 t="shared" si="312"/>
        <v>0</v>
      </c>
      <c r="W5034">
        <f t="shared" si="313"/>
        <v>1</v>
      </c>
      <c r="X5034" t="str">
        <f t="shared" si="314"/>
        <v>0-12 Months</v>
      </c>
      <c r="Y5034" s="1" t="str">
        <f t="shared" si="315"/>
        <v>High</v>
      </c>
    </row>
    <row r="5035" spans="1:25" x14ac:dyDescent="0.2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 t="shared" si="312"/>
        <v>0</v>
      </c>
      <c r="W5035">
        <f t="shared" si="313"/>
        <v>1</v>
      </c>
      <c r="X5035" t="str">
        <f t="shared" si="314"/>
        <v>0-12 Months</v>
      </c>
      <c r="Y5035" s="1" t="str">
        <f t="shared" si="315"/>
        <v>Low</v>
      </c>
    </row>
    <row r="5036" spans="1:25" x14ac:dyDescent="0.2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 t="shared" si="312"/>
        <v>0</v>
      </c>
      <c r="W5036">
        <f t="shared" si="313"/>
        <v>1</v>
      </c>
      <c r="X5036" t="str">
        <f t="shared" si="314"/>
        <v>25-48 Months</v>
      </c>
      <c r="Y5036" s="1" t="str">
        <f t="shared" si="315"/>
        <v>Low</v>
      </c>
    </row>
    <row r="5037" spans="1:25" x14ac:dyDescent="0.2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 t="shared" si="312"/>
        <v>0</v>
      </c>
      <c r="W5037">
        <f t="shared" si="313"/>
        <v>1</v>
      </c>
      <c r="X5037" t="str">
        <f t="shared" si="314"/>
        <v>13-24 Months</v>
      </c>
      <c r="Y5037" s="1" t="str">
        <f t="shared" si="315"/>
        <v>Medium</v>
      </c>
    </row>
    <row r="5038" spans="1:25" x14ac:dyDescent="0.2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 t="shared" si="312"/>
        <v>1</v>
      </c>
      <c r="W5038">
        <f t="shared" si="313"/>
        <v>0</v>
      </c>
      <c r="X5038" t="str">
        <f t="shared" si="314"/>
        <v>13-24 Months</v>
      </c>
      <c r="Y5038" s="1" t="str">
        <f t="shared" si="315"/>
        <v>High</v>
      </c>
    </row>
    <row r="5039" spans="1:25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 t="shared" si="312"/>
        <v>1</v>
      </c>
      <c r="W5039">
        <f t="shared" si="313"/>
        <v>0</v>
      </c>
      <c r="X5039" t="str">
        <f t="shared" si="314"/>
        <v>0-12 Months</v>
      </c>
      <c r="Y5039" s="1" t="str">
        <f t="shared" si="315"/>
        <v>Medium</v>
      </c>
    </row>
    <row r="5040" spans="1:25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 t="shared" si="312"/>
        <v>0</v>
      </c>
      <c r="W5040">
        <f t="shared" si="313"/>
        <v>1</v>
      </c>
      <c r="X5040" t="str">
        <f t="shared" si="314"/>
        <v>0-12 Months</v>
      </c>
      <c r="Y5040" s="1" t="str">
        <f t="shared" si="315"/>
        <v>Low</v>
      </c>
    </row>
    <row r="5041" spans="1:25" x14ac:dyDescent="0.2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 t="shared" si="312"/>
        <v>1</v>
      </c>
      <c r="W5041">
        <f t="shared" si="313"/>
        <v>0</v>
      </c>
      <c r="X5041" t="str">
        <f t="shared" si="314"/>
        <v>0-12 Months</v>
      </c>
      <c r="Y5041" s="1" t="str">
        <f t="shared" si="315"/>
        <v>Medium</v>
      </c>
    </row>
    <row r="5042" spans="1:25" x14ac:dyDescent="0.2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 t="shared" si="312"/>
        <v>0</v>
      </c>
      <c r="W5042">
        <f t="shared" si="313"/>
        <v>1</v>
      </c>
      <c r="X5042" t="str">
        <f t="shared" si="314"/>
        <v>13-24 Months</v>
      </c>
      <c r="Y5042" s="1" t="str">
        <f t="shared" si="315"/>
        <v>High</v>
      </c>
    </row>
    <row r="5043" spans="1:25" x14ac:dyDescent="0.2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 t="shared" si="312"/>
        <v>0</v>
      </c>
      <c r="W5043">
        <f t="shared" si="313"/>
        <v>1</v>
      </c>
      <c r="X5043" t="str">
        <f t="shared" si="314"/>
        <v>13-24 Months</v>
      </c>
      <c r="Y5043" s="1" t="str">
        <f t="shared" si="315"/>
        <v>Low</v>
      </c>
    </row>
    <row r="5044" spans="1:25" x14ac:dyDescent="0.2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 t="shared" si="312"/>
        <v>0</v>
      </c>
      <c r="W5044">
        <f t="shared" si="313"/>
        <v>1</v>
      </c>
      <c r="X5044" t="str">
        <f t="shared" si="314"/>
        <v>13-24 Months</v>
      </c>
      <c r="Y5044" s="1" t="str">
        <f t="shared" si="315"/>
        <v>Low</v>
      </c>
    </row>
    <row r="5045" spans="1:25" x14ac:dyDescent="0.2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 t="shared" si="312"/>
        <v>1</v>
      </c>
      <c r="W5045">
        <f t="shared" si="313"/>
        <v>0</v>
      </c>
      <c r="X5045" t="str">
        <f t="shared" si="314"/>
        <v>13-24 Months</v>
      </c>
      <c r="Y5045" s="1" t="str">
        <f t="shared" si="315"/>
        <v>High</v>
      </c>
    </row>
    <row r="5046" spans="1:25" x14ac:dyDescent="0.2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 t="shared" si="312"/>
        <v>0</v>
      </c>
      <c r="W5046">
        <f t="shared" si="313"/>
        <v>1</v>
      </c>
      <c r="X5046" t="str">
        <f t="shared" si="314"/>
        <v>13-24 Months</v>
      </c>
      <c r="Y5046" s="1" t="str">
        <f t="shared" si="315"/>
        <v>High</v>
      </c>
    </row>
    <row r="5047" spans="1:25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 t="shared" si="312"/>
        <v>0</v>
      </c>
      <c r="W5047">
        <f t="shared" si="313"/>
        <v>1</v>
      </c>
      <c r="X5047" t="str">
        <f t="shared" si="314"/>
        <v>25-48 Months</v>
      </c>
      <c r="Y5047" s="1" t="str">
        <f t="shared" si="315"/>
        <v>High</v>
      </c>
    </row>
    <row r="5048" spans="1:25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 t="shared" si="312"/>
        <v>0</v>
      </c>
      <c r="W5048">
        <f t="shared" si="313"/>
        <v>1</v>
      </c>
      <c r="X5048" t="str">
        <f t="shared" si="314"/>
        <v>0-12 Months</v>
      </c>
      <c r="Y5048" s="1" t="str">
        <f t="shared" si="315"/>
        <v>Low</v>
      </c>
    </row>
    <row r="5049" spans="1:25" x14ac:dyDescent="0.2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 t="shared" si="312"/>
        <v>0</v>
      </c>
      <c r="W5049">
        <f t="shared" si="313"/>
        <v>1</v>
      </c>
      <c r="X5049" t="str">
        <f t="shared" si="314"/>
        <v>25-48 Months</v>
      </c>
      <c r="Y5049" s="1" t="str">
        <f t="shared" si="315"/>
        <v>Medium</v>
      </c>
    </row>
    <row r="5050" spans="1:25" x14ac:dyDescent="0.2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 t="shared" si="312"/>
        <v>0</v>
      </c>
      <c r="W5050">
        <f t="shared" si="313"/>
        <v>1</v>
      </c>
      <c r="X5050" t="str">
        <f t="shared" si="314"/>
        <v>49+ Months</v>
      </c>
      <c r="Y5050" s="1" t="str">
        <f t="shared" si="315"/>
        <v>High</v>
      </c>
    </row>
    <row r="5051" spans="1:25" x14ac:dyDescent="0.2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 t="shared" si="312"/>
        <v>1</v>
      </c>
      <c r="W5051">
        <f t="shared" si="313"/>
        <v>0</v>
      </c>
      <c r="X5051" t="str">
        <f t="shared" si="314"/>
        <v>0-12 Months</v>
      </c>
      <c r="Y5051" s="1" t="str">
        <f t="shared" si="315"/>
        <v>Low</v>
      </c>
    </row>
    <row r="5052" spans="1:25" x14ac:dyDescent="0.2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 t="shared" si="312"/>
        <v>1</v>
      </c>
      <c r="W5052">
        <f t="shared" si="313"/>
        <v>0</v>
      </c>
      <c r="X5052" t="str">
        <f t="shared" si="314"/>
        <v>49+ Months</v>
      </c>
      <c r="Y5052" s="1" t="str">
        <f t="shared" si="315"/>
        <v>High</v>
      </c>
    </row>
    <row r="5053" spans="1:25" x14ac:dyDescent="0.2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 t="shared" si="312"/>
        <v>0</v>
      </c>
      <c r="W5053">
        <f t="shared" si="313"/>
        <v>1</v>
      </c>
      <c r="X5053" t="str">
        <f t="shared" si="314"/>
        <v>49+ Months</v>
      </c>
      <c r="Y5053" s="1" t="str">
        <f t="shared" si="315"/>
        <v>High</v>
      </c>
    </row>
    <row r="5054" spans="1:25" x14ac:dyDescent="0.2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 t="shared" si="312"/>
        <v>0</v>
      </c>
      <c r="W5054">
        <f t="shared" si="313"/>
        <v>1</v>
      </c>
      <c r="X5054" t="str">
        <f t="shared" si="314"/>
        <v>13-24 Months</v>
      </c>
      <c r="Y5054" s="1" t="str">
        <f t="shared" si="315"/>
        <v>Low</v>
      </c>
    </row>
    <row r="5055" spans="1:25" x14ac:dyDescent="0.2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 t="shared" si="312"/>
        <v>0</v>
      </c>
      <c r="W5055">
        <f t="shared" si="313"/>
        <v>1</v>
      </c>
      <c r="X5055" t="str">
        <f t="shared" si="314"/>
        <v>13-24 Months</v>
      </c>
      <c r="Y5055" s="1" t="str">
        <f t="shared" si="315"/>
        <v>Medium</v>
      </c>
    </row>
    <row r="5056" spans="1:25" x14ac:dyDescent="0.2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 t="shared" si="312"/>
        <v>0</v>
      </c>
      <c r="W5056">
        <f t="shared" si="313"/>
        <v>1</v>
      </c>
      <c r="X5056" t="str">
        <f t="shared" si="314"/>
        <v>49+ Months</v>
      </c>
      <c r="Y5056" s="1" t="str">
        <f t="shared" si="315"/>
        <v>Medium</v>
      </c>
    </row>
    <row r="5057" spans="1:25" x14ac:dyDescent="0.2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 t="shared" si="312"/>
        <v>0</v>
      </c>
      <c r="W5057">
        <f t="shared" si="313"/>
        <v>1</v>
      </c>
      <c r="X5057" t="str">
        <f t="shared" si="314"/>
        <v>49+ Months</v>
      </c>
      <c r="Y5057" s="1" t="str">
        <f t="shared" si="315"/>
        <v>Low</v>
      </c>
    </row>
    <row r="5058" spans="1:25" x14ac:dyDescent="0.2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 t="shared" ref="V5058:V5121" si="316">IF(U5058="Yes",1,0)</f>
        <v>0</v>
      </c>
      <c r="W5058">
        <f t="shared" ref="W5058:W5121" si="317">IF(U5058="No",1,0)</f>
        <v>1</v>
      </c>
      <c r="X5058" t="str">
        <f t="shared" ref="X5058:X5121" si="318">IF(F5058&lt;=12,"0-12 Months",IF(F5058&lt;=24,"13-24 Months",IF(F5058&lt;=48,"25-48 Months","49+ Months")))</f>
        <v>49+ Months</v>
      </c>
      <c r="Y5058" s="1" t="str">
        <f t="shared" ref="Y5058:Y5121" si="319">IF(S5058&lt;50,"Low",IF(S5058&lt;80,"Medium","High"))</f>
        <v>High</v>
      </c>
    </row>
    <row r="5059" spans="1:25" x14ac:dyDescent="0.2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 t="shared" si="316"/>
        <v>0</v>
      </c>
      <c r="W5059">
        <f t="shared" si="317"/>
        <v>1</v>
      </c>
      <c r="X5059" t="str">
        <f t="shared" si="318"/>
        <v>0-12 Months</v>
      </c>
      <c r="Y5059" s="1" t="str">
        <f t="shared" si="319"/>
        <v>Medium</v>
      </c>
    </row>
    <row r="5060" spans="1:25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 t="shared" si="316"/>
        <v>0</v>
      </c>
      <c r="W5060">
        <f t="shared" si="317"/>
        <v>1</v>
      </c>
      <c r="X5060" t="str">
        <f t="shared" si="318"/>
        <v>25-48 Months</v>
      </c>
      <c r="Y5060" s="1" t="str">
        <f t="shared" si="319"/>
        <v>Low</v>
      </c>
    </row>
    <row r="5061" spans="1:25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 t="shared" si="316"/>
        <v>1</v>
      </c>
      <c r="W5061">
        <f t="shared" si="317"/>
        <v>0</v>
      </c>
      <c r="X5061" t="str">
        <f t="shared" si="318"/>
        <v>25-48 Months</v>
      </c>
      <c r="Y5061" s="1" t="str">
        <f t="shared" si="319"/>
        <v>High</v>
      </c>
    </row>
    <row r="5062" spans="1:25" x14ac:dyDescent="0.2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 t="shared" si="316"/>
        <v>0</v>
      </c>
      <c r="W5062">
        <f t="shared" si="317"/>
        <v>1</v>
      </c>
      <c r="X5062" t="str">
        <f t="shared" si="318"/>
        <v>13-24 Months</v>
      </c>
      <c r="Y5062" s="1" t="str">
        <f t="shared" si="319"/>
        <v>Low</v>
      </c>
    </row>
    <row r="5063" spans="1:25" x14ac:dyDescent="0.2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 t="shared" si="316"/>
        <v>0</v>
      </c>
      <c r="W5063">
        <f t="shared" si="317"/>
        <v>1</v>
      </c>
      <c r="X5063" t="str">
        <f t="shared" si="318"/>
        <v>49+ Months</v>
      </c>
      <c r="Y5063" s="1" t="str">
        <f t="shared" si="319"/>
        <v>Medium</v>
      </c>
    </row>
    <row r="5064" spans="1:25" x14ac:dyDescent="0.2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 t="shared" si="316"/>
        <v>1</v>
      </c>
      <c r="W5064">
        <f t="shared" si="317"/>
        <v>0</v>
      </c>
      <c r="X5064" t="str">
        <f t="shared" si="318"/>
        <v>25-48 Months</v>
      </c>
      <c r="Y5064" s="1" t="str">
        <f t="shared" si="319"/>
        <v>Medium</v>
      </c>
    </row>
    <row r="5065" spans="1:25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 t="shared" si="316"/>
        <v>1</v>
      </c>
      <c r="W5065">
        <f t="shared" si="317"/>
        <v>0</v>
      </c>
      <c r="X5065" t="str">
        <f t="shared" si="318"/>
        <v>13-24 Months</v>
      </c>
      <c r="Y5065" s="1" t="str">
        <f t="shared" si="319"/>
        <v>High</v>
      </c>
    </row>
    <row r="5066" spans="1:25" x14ac:dyDescent="0.2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 t="shared" si="316"/>
        <v>1</v>
      </c>
      <c r="W5066">
        <f t="shared" si="317"/>
        <v>0</v>
      </c>
      <c r="X5066" t="str">
        <f t="shared" si="318"/>
        <v>0-12 Months</v>
      </c>
      <c r="Y5066" s="1" t="str">
        <f t="shared" si="319"/>
        <v>Low</v>
      </c>
    </row>
    <row r="5067" spans="1:25" x14ac:dyDescent="0.2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 t="shared" si="316"/>
        <v>0</v>
      </c>
      <c r="W5067">
        <f t="shared" si="317"/>
        <v>1</v>
      </c>
      <c r="X5067" t="str">
        <f t="shared" si="318"/>
        <v>25-48 Months</v>
      </c>
      <c r="Y5067" s="1" t="str">
        <f t="shared" si="319"/>
        <v>Low</v>
      </c>
    </row>
    <row r="5068" spans="1:25" x14ac:dyDescent="0.2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 t="shared" si="316"/>
        <v>0</v>
      </c>
      <c r="W5068">
        <f t="shared" si="317"/>
        <v>1</v>
      </c>
      <c r="X5068" t="str">
        <f t="shared" si="318"/>
        <v>25-48 Months</v>
      </c>
      <c r="Y5068" s="1" t="str">
        <f t="shared" si="319"/>
        <v>Medium</v>
      </c>
    </row>
    <row r="5069" spans="1:25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 t="shared" si="316"/>
        <v>0</v>
      </c>
      <c r="W5069">
        <f t="shared" si="317"/>
        <v>1</v>
      </c>
      <c r="X5069" t="str">
        <f t="shared" si="318"/>
        <v>25-48 Months</v>
      </c>
      <c r="Y5069" s="1" t="str">
        <f t="shared" si="319"/>
        <v>Medium</v>
      </c>
    </row>
    <row r="5070" spans="1:25" x14ac:dyDescent="0.2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 t="shared" si="316"/>
        <v>0</v>
      </c>
      <c r="W5070">
        <f t="shared" si="317"/>
        <v>1</v>
      </c>
      <c r="X5070" t="str">
        <f t="shared" si="318"/>
        <v>49+ Months</v>
      </c>
      <c r="Y5070" s="1" t="str">
        <f t="shared" si="319"/>
        <v>Low</v>
      </c>
    </row>
    <row r="5071" spans="1:25" x14ac:dyDescent="0.2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 t="shared" si="316"/>
        <v>1</v>
      </c>
      <c r="W5071">
        <f t="shared" si="317"/>
        <v>0</v>
      </c>
      <c r="X5071" t="str">
        <f t="shared" si="318"/>
        <v>0-12 Months</v>
      </c>
      <c r="Y5071" s="1" t="str">
        <f t="shared" si="319"/>
        <v>Medium</v>
      </c>
    </row>
    <row r="5072" spans="1:25" x14ac:dyDescent="0.2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 t="shared" si="316"/>
        <v>1</v>
      </c>
      <c r="W5072">
        <f t="shared" si="317"/>
        <v>0</v>
      </c>
      <c r="X5072" t="str">
        <f t="shared" si="318"/>
        <v>25-48 Months</v>
      </c>
      <c r="Y5072" s="1" t="str">
        <f t="shared" si="319"/>
        <v>High</v>
      </c>
    </row>
    <row r="5073" spans="1:25" x14ac:dyDescent="0.2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 t="shared" si="316"/>
        <v>0</v>
      </c>
      <c r="W5073">
        <f t="shared" si="317"/>
        <v>1</v>
      </c>
      <c r="X5073" t="str">
        <f t="shared" si="318"/>
        <v>0-12 Months</v>
      </c>
      <c r="Y5073" s="1" t="str">
        <f t="shared" si="319"/>
        <v>Medium</v>
      </c>
    </row>
    <row r="5074" spans="1:25" x14ac:dyDescent="0.2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 t="shared" si="316"/>
        <v>0</v>
      </c>
      <c r="W5074">
        <f t="shared" si="317"/>
        <v>1</v>
      </c>
      <c r="X5074" t="str">
        <f t="shared" si="318"/>
        <v>13-24 Months</v>
      </c>
      <c r="Y5074" s="1" t="str">
        <f t="shared" si="319"/>
        <v>High</v>
      </c>
    </row>
    <row r="5075" spans="1:25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 t="shared" si="316"/>
        <v>0</v>
      </c>
      <c r="W5075">
        <f t="shared" si="317"/>
        <v>1</v>
      </c>
      <c r="X5075" t="str">
        <f t="shared" si="318"/>
        <v>13-24 Months</v>
      </c>
      <c r="Y5075" s="1" t="str">
        <f t="shared" si="319"/>
        <v>Low</v>
      </c>
    </row>
    <row r="5076" spans="1:25" x14ac:dyDescent="0.2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 t="shared" si="316"/>
        <v>0</v>
      </c>
      <c r="W5076">
        <f t="shared" si="317"/>
        <v>1</v>
      </c>
      <c r="X5076" t="str">
        <f t="shared" si="318"/>
        <v>49+ Months</v>
      </c>
      <c r="Y5076" s="1" t="str">
        <f t="shared" si="319"/>
        <v>Low</v>
      </c>
    </row>
    <row r="5077" spans="1:25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 t="shared" si="316"/>
        <v>0</v>
      </c>
      <c r="W5077">
        <f t="shared" si="317"/>
        <v>1</v>
      </c>
      <c r="X5077" t="str">
        <f t="shared" si="318"/>
        <v>25-48 Months</v>
      </c>
      <c r="Y5077" s="1" t="str">
        <f t="shared" si="319"/>
        <v>High</v>
      </c>
    </row>
    <row r="5078" spans="1:25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 t="shared" si="316"/>
        <v>1</v>
      </c>
      <c r="W5078">
        <f t="shared" si="317"/>
        <v>0</v>
      </c>
      <c r="X5078" t="str">
        <f t="shared" si="318"/>
        <v>25-48 Months</v>
      </c>
      <c r="Y5078" s="1" t="str">
        <f t="shared" si="319"/>
        <v>High</v>
      </c>
    </row>
    <row r="5079" spans="1:25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 t="shared" si="316"/>
        <v>0</v>
      </c>
      <c r="W5079">
        <f t="shared" si="317"/>
        <v>1</v>
      </c>
      <c r="X5079" t="str">
        <f t="shared" si="318"/>
        <v>0-12 Months</v>
      </c>
      <c r="Y5079" s="1" t="str">
        <f t="shared" si="319"/>
        <v>Low</v>
      </c>
    </row>
    <row r="5080" spans="1:25" x14ac:dyDescent="0.2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 t="shared" si="316"/>
        <v>0</v>
      </c>
      <c r="W5080">
        <f t="shared" si="317"/>
        <v>1</v>
      </c>
      <c r="X5080" t="str">
        <f t="shared" si="318"/>
        <v>49+ Months</v>
      </c>
      <c r="Y5080" s="1" t="str">
        <f t="shared" si="319"/>
        <v>High</v>
      </c>
    </row>
    <row r="5081" spans="1:25" x14ac:dyDescent="0.2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 t="shared" si="316"/>
        <v>0</v>
      </c>
      <c r="W5081">
        <f t="shared" si="317"/>
        <v>1</v>
      </c>
      <c r="X5081" t="str">
        <f t="shared" si="318"/>
        <v>13-24 Months</v>
      </c>
      <c r="Y5081" s="1" t="str">
        <f t="shared" si="319"/>
        <v>High</v>
      </c>
    </row>
    <row r="5082" spans="1:25" x14ac:dyDescent="0.2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 t="shared" si="316"/>
        <v>0</v>
      </c>
      <c r="W5082">
        <f t="shared" si="317"/>
        <v>1</v>
      </c>
      <c r="X5082" t="str">
        <f t="shared" si="318"/>
        <v>49+ Months</v>
      </c>
      <c r="Y5082" s="1" t="str">
        <f t="shared" si="319"/>
        <v>High</v>
      </c>
    </row>
    <row r="5083" spans="1:25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 t="shared" si="316"/>
        <v>0</v>
      </c>
      <c r="W5083">
        <f t="shared" si="317"/>
        <v>1</v>
      </c>
      <c r="X5083" t="str">
        <f t="shared" si="318"/>
        <v>49+ Months</v>
      </c>
      <c r="Y5083" s="1" t="str">
        <f t="shared" si="319"/>
        <v>Medium</v>
      </c>
    </row>
    <row r="5084" spans="1:25" x14ac:dyDescent="0.2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 t="shared" si="316"/>
        <v>0</v>
      </c>
      <c r="W5084">
        <f t="shared" si="317"/>
        <v>1</v>
      </c>
      <c r="X5084" t="str">
        <f t="shared" si="318"/>
        <v>13-24 Months</v>
      </c>
      <c r="Y5084" s="1" t="str">
        <f t="shared" si="319"/>
        <v>Low</v>
      </c>
    </row>
    <row r="5085" spans="1:25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 t="shared" si="316"/>
        <v>0</v>
      </c>
      <c r="W5085">
        <f t="shared" si="317"/>
        <v>1</v>
      </c>
      <c r="X5085" t="str">
        <f t="shared" si="318"/>
        <v>25-48 Months</v>
      </c>
      <c r="Y5085" s="1" t="str">
        <f t="shared" si="319"/>
        <v>Medium</v>
      </c>
    </row>
    <row r="5086" spans="1:25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 t="shared" si="316"/>
        <v>0</v>
      </c>
      <c r="W5086">
        <f t="shared" si="317"/>
        <v>1</v>
      </c>
      <c r="X5086" t="str">
        <f t="shared" si="318"/>
        <v>13-24 Months</v>
      </c>
      <c r="Y5086" s="1" t="str">
        <f t="shared" si="319"/>
        <v>Low</v>
      </c>
    </row>
    <row r="5087" spans="1:25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 t="shared" si="316"/>
        <v>0</v>
      </c>
      <c r="W5087">
        <f t="shared" si="317"/>
        <v>1</v>
      </c>
      <c r="X5087" t="str">
        <f t="shared" si="318"/>
        <v>25-48 Months</v>
      </c>
      <c r="Y5087" s="1" t="str">
        <f t="shared" si="319"/>
        <v>Low</v>
      </c>
    </row>
    <row r="5088" spans="1:25" x14ac:dyDescent="0.2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 t="shared" si="316"/>
        <v>1</v>
      </c>
      <c r="W5088">
        <f t="shared" si="317"/>
        <v>0</v>
      </c>
      <c r="X5088" t="str">
        <f t="shared" si="318"/>
        <v>25-48 Months</v>
      </c>
      <c r="Y5088" s="1" t="str">
        <f t="shared" si="319"/>
        <v>Low</v>
      </c>
    </row>
    <row r="5089" spans="1:25" x14ac:dyDescent="0.2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 t="shared" si="316"/>
        <v>0</v>
      </c>
      <c r="W5089">
        <f t="shared" si="317"/>
        <v>1</v>
      </c>
      <c r="X5089" t="str">
        <f t="shared" si="318"/>
        <v>0-12 Months</v>
      </c>
      <c r="Y5089" s="1" t="str">
        <f t="shared" si="319"/>
        <v>Low</v>
      </c>
    </row>
    <row r="5090" spans="1:25" x14ac:dyDescent="0.2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 t="shared" si="316"/>
        <v>0</v>
      </c>
      <c r="W5090">
        <f t="shared" si="317"/>
        <v>1</v>
      </c>
      <c r="X5090" t="str">
        <f t="shared" si="318"/>
        <v>49+ Months</v>
      </c>
      <c r="Y5090" s="1" t="str">
        <f t="shared" si="319"/>
        <v>Low</v>
      </c>
    </row>
    <row r="5091" spans="1:25" x14ac:dyDescent="0.2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 t="shared" si="316"/>
        <v>0</v>
      </c>
      <c r="W5091">
        <f t="shared" si="317"/>
        <v>1</v>
      </c>
      <c r="X5091" t="str">
        <f t="shared" si="318"/>
        <v>0-12 Months</v>
      </c>
      <c r="Y5091" s="1" t="str">
        <f t="shared" si="319"/>
        <v>Medium</v>
      </c>
    </row>
    <row r="5092" spans="1:25" x14ac:dyDescent="0.2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 t="shared" si="316"/>
        <v>1</v>
      </c>
      <c r="W5092">
        <f t="shared" si="317"/>
        <v>0</v>
      </c>
      <c r="X5092" t="str">
        <f t="shared" si="318"/>
        <v>0-12 Months</v>
      </c>
      <c r="Y5092" s="1" t="str">
        <f t="shared" si="319"/>
        <v>High</v>
      </c>
    </row>
    <row r="5093" spans="1:25" x14ac:dyDescent="0.2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 t="shared" si="316"/>
        <v>1</v>
      </c>
      <c r="W5093">
        <f t="shared" si="317"/>
        <v>0</v>
      </c>
      <c r="X5093" t="str">
        <f t="shared" si="318"/>
        <v>0-12 Months</v>
      </c>
      <c r="Y5093" s="1" t="str">
        <f t="shared" si="319"/>
        <v>Low</v>
      </c>
    </row>
    <row r="5094" spans="1:25" x14ac:dyDescent="0.2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 t="shared" si="316"/>
        <v>0</v>
      </c>
      <c r="W5094">
        <f t="shared" si="317"/>
        <v>1</v>
      </c>
      <c r="X5094" t="str">
        <f t="shared" si="318"/>
        <v>0-12 Months</v>
      </c>
      <c r="Y5094" s="1" t="str">
        <f t="shared" si="319"/>
        <v>Low</v>
      </c>
    </row>
    <row r="5095" spans="1:25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 t="shared" si="316"/>
        <v>0</v>
      </c>
      <c r="W5095">
        <f t="shared" si="317"/>
        <v>1</v>
      </c>
      <c r="X5095" t="str">
        <f t="shared" si="318"/>
        <v>49+ Months</v>
      </c>
      <c r="Y5095" s="1" t="str">
        <f t="shared" si="319"/>
        <v>Medium</v>
      </c>
    </row>
    <row r="5096" spans="1:25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 t="shared" si="316"/>
        <v>0</v>
      </c>
      <c r="W5096">
        <f t="shared" si="317"/>
        <v>1</v>
      </c>
      <c r="X5096" t="str">
        <f t="shared" si="318"/>
        <v>49+ Months</v>
      </c>
      <c r="Y5096" s="1" t="str">
        <f t="shared" si="319"/>
        <v>High</v>
      </c>
    </row>
    <row r="5097" spans="1:25" x14ac:dyDescent="0.2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 t="shared" si="316"/>
        <v>0</v>
      </c>
      <c r="W5097">
        <f t="shared" si="317"/>
        <v>1</v>
      </c>
      <c r="X5097" t="str">
        <f t="shared" si="318"/>
        <v>49+ Months</v>
      </c>
      <c r="Y5097" s="1" t="str">
        <f t="shared" si="319"/>
        <v>Low</v>
      </c>
    </row>
    <row r="5098" spans="1:25" x14ac:dyDescent="0.2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 t="shared" si="316"/>
        <v>0</v>
      </c>
      <c r="W5098">
        <f t="shared" si="317"/>
        <v>1</v>
      </c>
      <c r="X5098" t="str">
        <f t="shared" si="318"/>
        <v>49+ Months</v>
      </c>
      <c r="Y5098" s="1" t="str">
        <f t="shared" si="319"/>
        <v>High</v>
      </c>
    </row>
    <row r="5099" spans="1:25" x14ac:dyDescent="0.2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 t="shared" si="316"/>
        <v>0</v>
      </c>
      <c r="W5099">
        <f t="shared" si="317"/>
        <v>1</v>
      </c>
      <c r="X5099" t="str">
        <f t="shared" si="318"/>
        <v>25-48 Months</v>
      </c>
      <c r="Y5099" s="1" t="str">
        <f t="shared" si="319"/>
        <v>High</v>
      </c>
    </row>
    <row r="5100" spans="1:25" x14ac:dyDescent="0.2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 t="shared" si="316"/>
        <v>1</v>
      </c>
      <c r="W5100">
        <f t="shared" si="317"/>
        <v>0</v>
      </c>
      <c r="X5100" t="str">
        <f t="shared" si="318"/>
        <v>0-12 Months</v>
      </c>
      <c r="Y5100" s="1" t="str">
        <f t="shared" si="319"/>
        <v>Medium</v>
      </c>
    </row>
    <row r="5101" spans="1:25" x14ac:dyDescent="0.2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 t="shared" si="316"/>
        <v>1</v>
      </c>
      <c r="W5101">
        <f t="shared" si="317"/>
        <v>0</v>
      </c>
      <c r="X5101" t="str">
        <f t="shared" si="318"/>
        <v>0-12 Months</v>
      </c>
      <c r="Y5101" s="1" t="str">
        <f t="shared" si="319"/>
        <v>Low</v>
      </c>
    </row>
    <row r="5102" spans="1:25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 t="shared" si="316"/>
        <v>1</v>
      </c>
      <c r="W5102">
        <f t="shared" si="317"/>
        <v>0</v>
      </c>
      <c r="X5102" t="str">
        <f t="shared" si="318"/>
        <v>0-12 Months</v>
      </c>
      <c r="Y5102" s="1" t="str">
        <f t="shared" si="319"/>
        <v>Medium</v>
      </c>
    </row>
    <row r="5103" spans="1:25" x14ac:dyDescent="0.2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 t="shared" si="316"/>
        <v>0</v>
      </c>
      <c r="W5103">
        <f t="shared" si="317"/>
        <v>1</v>
      </c>
      <c r="X5103" t="str">
        <f t="shared" si="318"/>
        <v>13-24 Months</v>
      </c>
      <c r="Y5103" s="1" t="str">
        <f t="shared" si="319"/>
        <v>High</v>
      </c>
    </row>
    <row r="5104" spans="1:25" x14ac:dyDescent="0.2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 t="shared" si="316"/>
        <v>0</v>
      </c>
      <c r="W5104">
        <f t="shared" si="317"/>
        <v>1</v>
      </c>
      <c r="X5104" t="str">
        <f t="shared" si="318"/>
        <v>49+ Months</v>
      </c>
      <c r="Y5104" s="1" t="str">
        <f t="shared" si="319"/>
        <v>High</v>
      </c>
    </row>
    <row r="5105" spans="1:25" x14ac:dyDescent="0.2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 t="shared" si="316"/>
        <v>0</v>
      </c>
      <c r="W5105">
        <f t="shared" si="317"/>
        <v>1</v>
      </c>
      <c r="X5105" t="str">
        <f t="shared" si="318"/>
        <v>25-48 Months</v>
      </c>
      <c r="Y5105" s="1" t="str">
        <f t="shared" si="319"/>
        <v>High</v>
      </c>
    </row>
    <row r="5106" spans="1:25" x14ac:dyDescent="0.2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 t="shared" si="316"/>
        <v>0</v>
      </c>
      <c r="W5106">
        <f t="shared" si="317"/>
        <v>1</v>
      </c>
      <c r="X5106" t="str">
        <f t="shared" si="318"/>
        <v>13-24 Months</v>
      </c>
      <c r="Y5106" s="1" t="str">
        <f t="shared" si="319"/>
        <v>Low</v>
      </c>
    </row>
    <row r="5107" spans="1:25" x14ac:dyDescent="0.2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 t="shared" si="316"/>
        <v>1</v>
      </c>
      <c r="W5107">
        <f t="shared" si="317"/>
        <v>0</v>
      </c>
      <c r="X5107" t="str">
        <f t="shared" si="318"/>
        <v>25-48 Months</v>
      </c>
      <c r="Y5107" s="1" t="str">
        <f t="shared" si="319"/>
        <v>High</v>
      </c>
    </row>
    <row r="5108" spans="1:25" x14ac:dyDescent="0.2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 t="shared" si="316"/>
        <v>0</v>
      </c>
      <c r="W5108">
        <f t="shared" si="317"/>
        <v>1</v>
      </c>
      <c r="X5108" t="str">
        <f t="shared" si="318"/>
        <v>49+ Months</v>
      </c>
      <c r="Y5108" s="1" t="str">
        <f t="shared" si="319"/>
        <v>Medium</v>
      </c>
    </row>
    <row r="5109" spans="1:25" x14ac:dyDescent="0.2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 t="shared" si="316"/>
        <v>0</v>
      </c>
      <c r="W5109">
        <f t="shared" si="317"/>
        <v>1</v>
      </c>
      <c r="X5109" t="str">
        <f t="shared" si="318"/>
        <v>25-48 Months</v>
      </c>
      <c r="Y5109" s="1" t="str">
        <f t="shared" si="319"/>
        <v>Medium</v>
      </c>
    </row>
    <row r="5110" spans="1:25" x14ac:dyDescent="0.2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 t="shared" si="316"/>
        <v>0</v>
      </c>
      <c r="W5110">
        <f t="shared" si="317"/>
        <v>1</v>
      </c>
      <c r="X5110" t="str">
        <f t="shared" si="318"/>
        <v>13-24 Months</v>
      </c>
      <c r="Y5110" s="1" t="str">
        <f t="shared" si="319"/>
        <v>Low</v>
      </c>
    </row>
    <row r="5111" spans="1:25" x14ac:dyDescent="0.2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 t="shared" si="316"/>
        <v>0</v>
      </c>
      <c r="W5111">
        <f t="shared" si="317"/>
        <v>1</v>
      </c>
      <c r="X5111" t="str">
        <f t="shared" si="318"/>
        <v>49+ Months</v>
      </c>
      <c r="Y5111" s="1" t="str">
        <f t="shared" si="319"/>
        <v>Medium</v>
      </c>
    </row>
    <row r="5112" spans="1:25" x14ac:dyDescent="0.2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 t="shared" si="316"/>
        <v>0</v>
      </c>
      <c r="W5112">
        <f t="shared" si="317"/>
        <v>1</v>
      </c>
      <c r="X5112" t="str">
        <f t="shared" si="318"/>
        <v>0-12 Months</v>
      </c>
      <c r="Y5112" s="1" t="str">
        <f t="shared" si="319"/>
        <v>Medium</v>
      </c>
    </row>
    <row r="5113" spans="1:25" x14ac:dyDescent="0.2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 t="shared" si="316"/>
        <v>1</v>
      </c>
      <c r="W5113">
        <f t="shared" si="317"/>
        <v>0</v>
      </c>
      <c r="X5113" t="str">
        <f t="shared" si="318"/>
        <v>25-48 Months</v>
      </c>
      <c r="Y5113" s="1" t="str">
        <f t="shared" si="319"/>
        <v>High</v>
      </c>
    </row>
    <row r="5114" spans="1:25" x14ac:dyDescent="0.2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 t="shared" si="316"/>
        <v>1</v>
      </c>
      <c r="W5114">
        <f t="shared" si="317"/>
        <v>0</v>
      </c>
      <c r="X5114" t="str">
        <f t="shared" si="318"/>
        <v>0-12 Months</v>
      </c>
      <c r="Y5114" s="1" t="str">
        <f t="shared" si="319"/>
        <v>Low</v>
      </c>
    </row>
    <row r="5115" spans="1:25" x14ac:dyDescent="0.2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 t="shared" si="316"/>
        <v>0</v>
      </c>
      <c r="W5115">
        <f t="shared" si="317"/>
        <v>1</v>
      </c>
      <c r="X5115" t="str">
        <f t="shared" si="318"/>
        <v>49+ Months</v>
      </c>
      <c r="Y5115" s="1" t="str">
        <f t="shared" si="319"/>
        <v>High</v>
      </c>
    </row>
    <row r="5116" spans="1:25" x14ac:dyDescent="0.2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 t="shared" si="316"/>
        <v>0</v>
      </c>
      <c r="W5116">
        <f t="shared" si="317"/>
        <v>1</v>
      </c>
      <c r="X5116" t="str">
        <f t="shared" si="318"/>
        <v>49+ Months</v>
      </c>
      <c r="Y5116" s="1" t="str">
        <f t="shared" si="319"/>
        <v>High</v>
      </c>
    </row>
    <row r="5117" spans="1:25" x14ac:dyDescent="0.2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 t="shared" si="316"/>
        <v>0</v>
      </c>
      <c r="W5117">
        <f t="shared" si="317"/>
        <v>1</v>
      </c>
      <c r="X5117" t="str">
        <f t="shared" si="318"/>
        <v>25-48 Months</v>
      </c>
      <c r="Y5117" s="1" t="str">
        <f t="shared" si="319"/>
        <v>Medium</v>
      </c>
    </row>
    <row r="5118" spans="1:25" x14ac:dyDescent="0.2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 t="shared" si="316"/>
        <v>1</v>
      </c>
      <c r="W5118">
        <f t="shared" si="317"/>
        <v>0</v>
      </c>
      <c r="X5118" t="str">
        <f t="shared" si="318"/>
        <v>0-12 Months</v>
      </c>
      <c r="Y5118" s="1" t="str">
        <f t="shared" si="319"/>
        <v>Medium</v>
      </c>
    </row>
    <row r="5119" spans="1:25" x14ac:dyDescent="0.2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 t="shared" si="316"/>
        <v>0</v>
      </c>
      <c r="W5119">
        <f t="shared" si="317"/>
        <v>1</v>
      </c>
      <c r="X5119" t="str">
        <f t="shared" si="318"/>
        <v>49+ Months</v>
      </c>
      <c r="Y5119" s="1" t="str">
        <f t="shared" si="319"/>
        <v>Medium</v>
      </c>
    </row>
    <row r="5120" spans="1:25" x14ac:dyDescent="0.2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 t="shared" si="316"/>
        <v>0</v>
      </c>
      <c r="W5120">
        <f t="shared" si="317"/>
        <v>1</v>
      </c>
      <c r="X5120" t="str">
        <f t="shared" si="318"/>
        <v>25-48 Months</v>
      </c>
      <c r="Y5120" s="1" t="str">
        <f t="shared" si="319"/>
        <v>High</v>
      </c>
    </row>
    <row r="5121" spans="1:25" x14ac:dyDescent="0.2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 t="shared" si="316"/>
        <v>0</v>
      </c>
      <c r="W5121">
        <f t="shared" si="317"/>
        <v>1</v>
      </c>
      <c r="X5121" t="str">
        <f t="shared" si="318"/>
        <v>0-12 Months</v>
      </c>
      <c r="Y5121" s="1" t="str">
        <f t="shared" si="319"/>
        <v>Medium</v>
      </c>
    </row>
    <row r="5122" spans="1:25" x14ac:dyDescent="0.2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 t="shared" ref="V5122:V5185" si="320">IF(U5122="Yes",1,0)</f>
        <v>1</v>
      </c>
      <c r="W5122">
        <f t="shared" ref="W5122:W5185" si="321">IF(U5122="No",1,0)</f>
        <v>0</v>
      </c>
      <c r="X5122" t="str">
        <f t="shared" ref="X5122:X5185" si="322">IF(F5122&lt;=12,"0-12 Months",IF(F5122&lt;=24,"13-24 Months",IF(F5122&lt;=48,"25-48 Months","49+ Months")))</f>
        <v>0-12 Months</v>
      </c>
      <c r="Y5122" s="1" t="str">
        <f t="shared" ref="Y5122:Y5185" si="323">IF(S5122&lt;50,"Low",IF(S5122&lt;80,"Medium","High"))</f>
        <v>Low</v>
      </c>
    </row>
    <row r="5123" spans="1:25" x14ac:dyDescent="0.2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 t="shared" si="320"/>
        <v>0</v>
      </c>
      <c r="W5123">
        <f t="shared" si="321"/>
        <v>1</v>
      </c>
      <c r="X5123" t="str">
        <f t="shared" si="322"/>
        <v>25-48 Months</v>
      </c>
      <c r="Y5123" s="1" t="str">
        <f t="shared" si="323"/>
        <v>Medium</v>
      </c>
    </row>
    <row r="5124" spans="1:25" x14ac:dyDescent="0.2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 t="shared" si="320"/>
        <v>0</v>
      </c>
      <c r="W5124">
        <f t="shared" si="321"/>
        <v>1</v>
      </c>
      <c r="X5124" t="str">
        <f t="shared" si="322"/>
        <v>25-48 Months</v>
      </c>
      <c r="Y5124" s="1" t="str">
        <f t="shared" si="323"/>
        <v>Low</v>
      </c>
    </row>
    <row r="5125" spans="1:25" x14ac:dyDescent="0.2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 t="shared" si="320"/>
        <v>1</v>
      </c>
      <c r="W5125">
        <f t="shared" si="321"/>
        <v>0</v>
      </c>
      <c r="X5125" t="str">
        <f t="shared" si="322"/>
        <v>13-24 Months</v>
      </c>
      <c r="Y5125" s="1" t="str">
        <f t="shared" si="323"/>
        <v>Medium</v>
      </c>
    </row>
    <row r="5126" spans="1:25" x14ac:dyDescent="0.2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 t="shared" si="320"/>
        <v>0</v>
      </c>
      <c r="W5126">
        <f t="shared" si="321"/>
        <v>1</v>
      </c>
      <c r="X5126" t="str">
        <f t="shared" si="322"/>
        <v>25-48 Months</v>
      </c>
      <c r="Y5126" s="1" t="str">
        <f t="shared" si="323"/>
        <v>Low</v>
      </c>
    </row>
    <row r="5127" spans="1:25" x14ac:dyDescent="0.2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 t="shared" si="320"/>
        <v>1</v>
      </c>
      <c r="W5127">
        <f t="shared" si="321"/>
        <v>0</v>
      </c>
      <c r="X5127" t="str">
        <f t="shared" si="322"/>
        <v>0-12 Months</v>
      </c>
      <c r="Y5127" s="1" t="str">
        <f t="shared" si="323"/>
        <v>High</v>
      </c>
    </row>
    <row r="5128" spans="1:25" x14ac:dyDescent="0.2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 t="shared" si="320"/>
        <v>0</v>
      </c>
      <c r="W5128">
        <f t="shared" si="321"/>
        <v>1</v>
      </c>
      <c r="X5128" t="str">
        <f t="shared" si="322"/>
        <v>49+ Months</v>
      </c>
      <c r="Y5128" s="1" t="str">
        <f t="shared" si="323"/>
        <v>High</v>
      </c>
    </row>
    <row r="5129" spans="1:25" x14ac:dyDescent="0.2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 t="shared" si="320"/>
        <v>1</v>
      </c>
      <c r="W5129">
        <f t="shared" si="321"/>
        <v>0</v>
      </c>
      <c r="X5129" t="str">
        <f t="shared" si="322"/>
        <v>49+ Months</v>
      </c>
      <c r="Y5129" s="1" t="str">
        <f t="shared" si="323"/>
        <v>High</v>
      </c>
    </row>
    <row r="5130" spans="1:25" x14ac:dyDescent="0.2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 t="shared" si="320"/>
        <v>0</v>
      </c>
      <c r="W5130">
        <f t="shared" si="321"/>
        <v>1</v>
      </c>
      <c r="X5130" t="str">
        <f t="shared" si="322"/>
        <v>25-48 Months</v>
      </c>
      <c r="Y5130" s="1" t="str">
        <f t="shared" si="323"/>
        <v>High</v>
      </c>
    </row>
    <row r="5131" spans="1:25" x14ac:dyDescent="0.2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 t="shared" si="320"/>
        <v>0</v>
      </c>
      <c r="W5131">
        <f t="shared" si="321"/>
        <v>1</v>
      </c>
      <c r="X5131" t="str">
        <f t="shared" si="322"/>
        <v>13-24 Months</v>
      </c>
      <c r="Y5131" s="1" t="str">
        <f t="shared" si="323"/>
        <v>High</v>
      </c>
    </row>
    <row r="5132" spans="1:25" x14ac:dyDescent="0.2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 t="shared" si="320"/>
        <v>1</v>
      </c>
      <c r="W5132">
        <f t="shared" si="321"/>
        <v>0</v>
      </c>
      <c r="X5132" t="str">
        <f t="shared" si="322"/>
        <v>0-12 Months</v>
      </c>
      <c r="Y5132" s="1" t="str">
        <f t="shared" si="323"/>
        <v>Low</v>
      </c>
    </row>
    <row r="5133" spans="1:25" x14ac:dyDescent="0.2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 t="shared" si="320"/>
        <v>1</v>
      </c>
      <c r="W5133">
        <f t="shared" si="321"/>
        <v>0</v>
      </c>
      <c r="X5133" t="str">
        <f t="shared" si="322"/>
        <v>25-48 Months</v>
      </c>
      <c r="Y5133" s="1" t="str">
        <f t="shared" si="323"/>
        <v>High</v>
      </c>
    </row>
    <row r="5134" spans="1:25" x14ac:dyDescent="0.2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 t="shared" si="320"/>
        <v>0</v>
      </c>
      <c r="W5134">
        <f t="shared" si="321"/>
        <v>1</v>
      </c>
      <c r="X5134" t="str">
        <f t="shared" si="322"/>
        <v>49+ Months</v>
      </c>
      <c r="Y5134" s="1" t="str">
        <f t="shared" si="323"/>
        <v>Medium</v>
      </c>
    </row>
    <row r="5135" spans="1:25" x14ac:dyDescent="0.2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 t="shared" si="320"/>
        <v>1</v>
      </c>
      <c r="W5135">
        <f t="shared" si="321"/>
        <v>0</v>
      </c>
      <c r="X5135" t="str">
        <f t="shared" si="322"/>
        <v>13-24 Months</v>
      </c>
      <c r="Y5135" s="1" t="str">
        <f t="shared" si="323"/>
        <v>High</v>
      </c>
    </row>
    <row r="5136" spans="1:25" x14ac:dyDescent="0.2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 t="shared" si="320"/>
        <v>1</v>
      </c>
      <c r="W5136">
        <f t="shared" si="321"/>
        <v>0</v>
      </c>
      <c r="X5136" t="str">
        <f t="shared" si="322"/>
        <v>13-24 Months</v>
      </c>
      <c r="Y5136" s="1" t="str">
        <f t="shared" si="323"/>
        <v>High</v>
      </c>
    </row>
    <row r="5137" spans="1:25" x14ac:dyDescent="0.2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 t="shared" si="320"/>
        <v>0</v>
      </c>
      <c r="W5137">
        <f t="shared" si="321"/>
        <v>1</v>
      </c>
      <c r="X5137" t="str">
        <f t="shared" si="322"/>
        <v>0-12 Months</v>
      </c>
      <c r="Y5137" s="1" t="str">
        <f t="shared" si="323"/>
        <v>Low</v>
      </c>
    </row>
    <row r="5138" spans="1:25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 t="shared" si="320"/>
        <v>0</v>
      </c>
      <c r="W5138">
        <f t="shared" si="321"/>
        <v>1</v>
      </c>
      <c r="X5138" t="str">
        <f t="shared" si="322"/>
        <v>0-12 Months</v>
      </c>
      <c r="Y5138" s="1" t="str">
        <f t="shared" si="323"/>
        <v>Medium</v>
      </c>
    </row>
    <row r="5139" spans="1:25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 t="shared" si="320"/>
        <v>0</v>
      </c>
      <c r="W5139">
        <f t="shared" si="321"/>
        <v>1</v>
      </c>
      <c r="X5139" t="str">
        <f t="shared" si="322"/>
        <v>49+ Months</v>
      </c>
      <c r="Y5139" s="1" t="str">
        <f t="shared" si="323"/>
        <v>High</v>
      </c>
    </row>
    <row r="5140" spans="1:25" x14ac:dyDescent="0.2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 t="shared" si="320"/>
        <v>0</v>
      </c>
      <c r="W5140">
        <f t="shared" si="321"/>
        <v>1</v>
      </c>
      <c r="X5140" t="str">
        <f t="shared" si="322"/>
        <v>49+ Months</v>
      </c>
      <c r="Y5140" s="1" t="str">
        <f t="shared" si="323"/>
        <v>High</v>
      </c>
    </row>
    <row r="5141" spans="1:25" x14ac:dyDescent="0.2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 t="shared" si="320"/>
        <v>0</v>
      </c>
      <c r="W5141">
        <f t="shared" si="321"/>
        <v>1</v>
      </c>
      <c r="X5141" t="str">
        <f t="shared" si="322"/>
        <v>49+ Months</v>
      </c>
      <c r="Y5141" s="1" t="str">
        <f t="shared" si="323"/>
        <v>Low</v>
      </c>
    </row>
    <row r="5142" spans="1:25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 t="shared" si="320"/>
        <v>0</v>
      </c>
      <c r="W5142">
        <f t="shared" si="321"/>
        <v>1</v>
      </c>
      <c r="X5142" t="str">
        <f t="shared" si="322"/>
        <v>0-12 Months</v>
      </c>
      <c r="Y5142" s="1" t="str">
        <f t="shared" si="323"/>
        <v>High</v>
      </c>
    </row>
    <row r="5143" spans="1:25" x14ac:dyDescent="0.2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 t="shared" si="320"/>
        <v>0</v>
      </c>
      <c r="W5143">
        <f t="shared" si="321"/>
        <v>1</v>
      </c>
      <c r="X5143" t="str">
        <f t="shared" si="322"/>
        <v>0-12 Months</v>
      </c>
      <c r="Y5143" s="1" t="str">
        <f t="shared" si="323"/>
        <v>Low</v>
      </c>
    </row>
    <row r="5144" spans="1:25" x14ac:dyDescent="0.2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 t="shared" si="320"/>
        <v>0</v>
      </c>
      <c r="W5144">
        <f t="shared" si="321"/>
        <v>1</v>
      </c>
      <c r="X5144" t="str">
        <f t="shared" si="322"/>
        <v>49+ Months</v>
      </c>
      <c r="Y5144" s="1" t="str">
        <f t="shared" si="323"/>
        <v>High</v>
      </c>
    </row>
    <row r="5145" spans="1:25" x14ac:dyDescent="0.2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 t="shared" si="320"/>
        <v>0</v>
      </c>
      <c r="W5145">
        <f t="shared" si="321"/>
        <v>1</v>
      </c>
      <c r="X5145" t="str">
        <f t="shared" si="322"/>
        <v>49+ Months</v>
      </c>
      <c r="Y5145" s="1" t="str">
        <f t="shared" si="323"/>
        <v>High</v>
      </c>
    </row>
    <row r="5146" spans="1:25" x14ac:dyDescent="0.2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 t="shared" si="320"/>
        <v>0</v>
      </c>
      <c r="W5146">
        <f t="shared" si="321"/>
        <v>1</v>
      </c>
      <c r="X5146" t="str">
        <f t="shared" si="322"/>
        <v>0-12 Months</v>
      </c>
      <c r="Y5146" s="1" t="str">
        <f t="shared" si="323"/>
        <v>Low</v>
      </c>
    </row>
    <row r="5147" spans="1:25" x14ac:dyDescent="0.2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 t="shared" si="320"/>
        <v>0</v>
      </c>
      <c r="W5147">
        <f t="shared" si="321"/>
        <v>1</v>
      </c>
      <c r="X5147" t="str">
        <f t="shared" si="322"/>
        <v>49+ Months</v>
      </c>
      <c r="Y5147" s="1" t="str">
        <f t="shared" si="323"/>
        <v>Low</v>
      </c>
    </row>
    <row r="5148" spans="1:25" x14ac:dyDescent="0.2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 t="shared" si="320"/>
        <v>0</v>
      </c>
      <c r="W5148">
        <f t="shared" si="321"/>
        <v>1</v>
      </c>
      <c r="X5148" t="str">
        <f t="shared" si="322"/>
        <v>0-12 Months</v>
      </c>
      <c r="Y5148" s="1" t="str">
        <f t="shared" si="323"/>
        <v>High</v>
      </c>
    </row>
    <row r="5149" spans="1:25" x14ac:dyDescent="0.2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 t="shared" si="320"/>
        <v>0</v>
      </c>
      <c r="W5149">
        <f t="shared" si="321"/>
        <v>1</v>
      </c>
      <c r="X5149" t="str">
        <f t="shared" si="322"/>
        <v>25-48 Months</v>
      </c>
      <c r="Y5149" s="1" t="str">
        <f t="shared" si="323"/>
        <v>Low</v>
      </c>
    </row>
    <row r="5150" spans="1:25" x14ac:dyDescent="0.2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 t="shared" si="320"/>
        <v>0</v>
      </c>
      <c r="W5150">
        <f t="shared" si="321"/>
        <v>1</v>
      </c>
      <c r="X5150" t="str">
        <f t="shared" si="322"/>
        <v>49+ Months</v>
      </c>
      <c r="Y5150" s="1" t="str">
        <f t="shared" si="323"/>
        <v>High</v>
      </c>
    </row>
    <row r="5151" spans="1:25" x14ac:dyDescent="0.2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 t="shared" si="320"/>
        <v>0</v>
      </c>
      <c r="W5151">
        <f t="shared" si="321"/>
        <v>1</v>
      </c>
      <c r="X5151" t="str">
        <f t="shared" si="322"/>
        <v>49+ Months</v>
      </c>
      <c r="Y5151" s="1" t="str">
        <f t="shared" si="323"/>
        <v>Low</v>
      </c>
    </row>
    <row r="5152" spans="1:25" x14ac:dyDescent="0.2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 t="shared" si="320"/>
        <v>0</v>
      </c>
      <c r="W5152">
        <f t="shared" si="321"/>
        <v>1</v>
      </c>
      <c r="X5152" t="str">
        <f t="shared" si="322"/>
        <v>0-12 Months</v>
      </c>
      <c r="Y5152" s="1" t="str">
        <f t="shared" si="323"/>
        <v>Low</v>
      </c>
    </row>
    <row r="5153" spans="1:25" x14ac:dyDescent="0.2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 t="shared" si="320"/>
        <v>0</v>
      </c>
      <c r="W5153">
        <f t="shared" si="321"/>
        <v>1</v>
      </c>
      <c r="X5153" t="str">
        <f t="shared" si="322"/>
        <v>0-12 Months</v>
      </c>
      <c r="Y5153" s="1" t="str">
        <f t="shared" si="323"/>
        <v>Low</v>
      </c>
    </row>
    <row r="5154" spans="1:25" x14ac:dyDescent="0.2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 t="shared" si="320"/>
        <v>0</v>
      </c>
      <c r="W5154">
        <f t="shared" si="321"/>
        <v>1</v>
      </c>
      <c r="X5154" t="str">
        <f t="shared" si="322"/>
        <v>49+ Months</v>
      </c>
      <c r="Y5154" s="1" t="str">
        <f t="shared" si="323"/>
        <v>Low</v>
      </c>
    </row>
    <row r="5155" spans="1:25" x14ac:dyDescent="0.2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 t="shared" si="320"/>
        <v>0</v>
      </c>
      <c r="W5155">
        <f t="shared" si="321"/>
        <v>1</v>
      </c>
      <c r="X5155" t="str">
        <f t="shared" si="322"/>
        <v>25-48 Months</v>
      </c>
      <c r="Y5155" s="1" t="str">
        <f t="shared" si="323"/>
        <v>High</v>
      </c>
    </row>
    <row r="5156" spans="1:25" x14ac:dyDescent="0.2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 t="shared" si="320"/>
        <v>1</v>
      </c>
      <c r="W5156">
        <f t="shared" si="321"/>
        <v>0</v>
      </c>
      <c r="X5156" t="str">
        <f t="shared" si="322"/>
        <v>13-24 Months</v>
      </c>
      <c r="Y5156" s="1" t="str">
        <f t="shared" si="323"/>
        <v>High</v>
      </c>
    </row>
    <row r="5157" spans="1:25" x14ac:dyDescent="0.2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 t="shared" si="320"/>
        <v>0</v>
      </c>
      <c r="W5157">
        <f t="shared" si="321"/>
        <v>1</v>
      </c>
      <c r="X5157" t="str">
        <f t="shared" si="322"/>
        <v>25-48 Months</v>
      </c>
      <c r="Y5157" s="1" t="str">
        <f t="shared" si="323"/>
        <v>High</v>
      </c>
    </row>
    <row r="5158" spans="1:25" x14ac:dyDescent="0.2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 t="shared" si="320"/>
        <v>0</v>
      </c>
      <c r="W5158">
        <f t="shared" si="321"/>
        <v>1</v>
      </c>
      <c r="X5158" t="str">
        <f t="shared" si="322"/>
        <v>13-24 Months</v>
      </c>
      <c r="Y5158" s="1" t="str">
        <f t="shared" si="323"/>
        <v>Medium</v>
      </c>
    </row>
    <row r="5159" spans="1:25" x14ac:dyDescent="0.2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 t="shared" si="320"/>
        <v>0</v>
      </c>
      <c r="W5159">
        <f t="shared" si="321"/>
        <v>1</v>
      </c>
      <c r="X5159" t="str">
        <f t="shared" si="322"/>
        <v>13-24 Months</v>
      </c>
      <c r="Y5159" s="1" t="str">
        <f t="shared" si="323"/>
        <v>Medium</v>
      </c>
    </row>
    <row r="5160" spans="1:25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 t="shared" si="320"/>
        <v>0</v>
      </c>
      <c r="W5160">
        <f t="shared" si="321"/>
        <v>1</v>
      </c>
      <c r="X5160" t="str">
        <f t="shared" si="322"/>
        <v>49+ Months</v>
      </c>
      <c r="Y5160" s="1" t="str">
        <f t="shared" si="323"/>
        <v>Low</v>
      </c>
    </row>
    <row r="5161" spans="1:25" x14ac:dyDescent="0.2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 t="shared" si="320"/>
        <v>0</v>
      </c>
      <c r="W5161">
        <f t="shared" si="321"/>
        <v>1</v>
      </c>
      <c r="X5161" t="str">
        <f t="shared" si="322"/>
        <v>0-12 Months</v>
      </c>
      <c r="Y5161" s="1" t="str">
        <f t="shared" si="323"/>
        <v>Medium</v>
      </c>
    </row>
    <row r="5162" spans="1:25" x14ac:dyDescent="0.2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 t="shared" si="320"/>
        <v>0</v>
      </c>
      <c r="W5162">
        <f t="shared" si="321"/>
        <v>1</v>
      </c>
      <c r="X5162" t="str">
        <f t="shared" si="322"/>
        <v>0-12 Months</v>
      </c>
      <c r="Y5162" s="1" t="str">
        <f t="shared" si="323"/>
        <v>Medium</v>
      </c>
    </row>
    <row r="5163" spans="1:25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 t="shared" si="320"/>
        <v>0</v>
      </c>
      <c r="W5163">
        <f t="shared" si="321"/>
        <v>1</v>
      </c>
      <c r="X5163" t="str">
        <f t="shared" si="322"/>
        <v>13-24 Months</v>
      </c>
      <c r="Y5163" s="1" t="str">
        <f t="shared" si="323"/>
        <v>Medium</v>
      </c>
    </row>
    <row r="5164" spans="1:25" x14ac:dyDescent="0.2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 t="shared" si="320"/>
        <v>0</v>
      </c>
      <c r="W5164">
        <f t="shared" si="321"/>
        <v>1</v>
      </c>
      <c r="X5164" t="str">
        <f t="shared" si="322"/>
        <v>0-12 Months</v>
      </c>
      <c r="Y5164" s="1" t="str">
        <f t="shared" si="323"/>
        <v>Low</v>
      </c>
    </row>
    <row r="5165" spans="1:25" x14ac:dyDescent="0.2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 t="shared" si="320"/>
        <v>0</v>
      </c>
      <c r="W5165">
        <f t="shared" si="321"/>
        <v>1</v>
      </c>
      <c r="X5165" t="str">
        <f t="shared" si="322"/>
        <v>13-24 Months</v>
      </c>
      <c r="Y5165" s="1" t="str">
        <f t="shared" si="323"/>
        <v>Low</v>
      </c>
    </row>
    <row r="5166" spans="1:25" x14ac:dyDescent="0.2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 t="shared" si="320"/>
        <v>0</v>
      </c>
      <c r="W5166">
        <f t="shared" si="321"/>
        <v>1</v>
      </c>
      <c r="X5166" t="str">
        <f t="shared" si="322"/>
        <v>0-12 Months</v>
      </c>
      <c r="Y5166" s="1" t="str">
        <f t="shared" si="323"/>
        <v>Medium</v>
      </c>
    </row>
    <row r="5167" spans="1:25" x14ac:dyDescent="0.2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 t="shared" si="320"/>
        <v>1</v>
      </c>
      <c r="W5167">
        <f t="shared" si="321"/>
        <v>0</v>
      </c>
      <c r="X5167" t="str">
        <f t="shared" si="322"/>
        <v>0-12 Months</v>
      </c>
      <c r="Y5167" s="1" t="str">
        <f t="shared" si="323"/>
        <v>Medium</v>
      </c>
    </row>
    <row r="5168" spans="1:25" x14ac:dyDescent="0.2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 t="shared" si="320"/>
        <v>0</v>
      </c>
      <c r="W5168">
        <f t="shared" si="321"/>
        <v>1</v>
      </c>
      <c r="X5168" t="str">
        <f t="shared" si="322"/>
        <v>49+ Months</v>
      </c>
      <c r="Y5168" s="1" t="str">
        <f t="shared" si="323"/>
        <v>High</v>
      </c>
    </row>
    <row r="5169" spans="1:25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 t="shared" si="320"/>
        <v>0</v>
      </c>
      <c r="W5169">
        <f t="shared" si="321"/>
        <v>1</v>
      </c>
      <c r="X5169" t="str">
        <f t="shared" si="322"/>
        <v>49+ Months</v>
      </c>
      <c r="Y5169" s="1" t="str">
        <f t="shared" si="323"/>
        <v>Medium</v>
      </c>
    </row>
    <row r="5170" spans="1:25" x14ac:dyDescent="0.2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 t="shared" si="320"/>
        <v>1</v>
      </c>
      <c r="W5170">
        <f t="shared" si="321"/>
        <v>0</v>
      </c>
      <c r="X5170" t="str">
        <f t="shared" si="322"/>
        <v>0-12 Months</v>
      </c>
      <c r="Y5170" s="1" t="str">
        <f t="shared" si="323"/>
        <v>High</v>
      </c>
    </row>
    <row r="5171" spans="1:25" x14ac:dyDescent="0.2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 t="shared" si="320"/>
        <v>0</v>
      </c>
      <c r="W5171">
        <f t="shared" si="321"/>
        <v>1</v>
      </c>
      <c r="X5171" t="str">
        <f t="shared" si="322"/>
        <v>13-24 Months</v>
      </c>
      <c r="Y5171" s="1" t="str">
        <f t="shared" si="323"/>
        <v>Medium</v>
      </c>
    </row>
    <row r="5172" spans="1:25" x14ac:dyDescent="0.2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 t="shared" si="320"/>
        <v>0</v>
      </c>
      <c r="W5172">
        <f t="shared" si="321"/>
        <v>1</v>
      </c>
      <c r="X5172" t="str">
        <f t="shared" si="322"/>
        <v>0-12 Months</v>
      </c>
      <c r="Y5172" s="1" t="str">
        <f t="shared" si="323"/>
        <v>Low</v>
      </c>
    </row>
    <row r="5173" spans="1:25" x14ac:dyDescent="0.2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 t="shared" si="320"/>
        <v>0</v>
      </c>
      <c r="W5173">
        <f t="shared" si="321"/>
        <v>1</v>
      </c>
      <c r="X5173" t="str">
        <f t="shared" si="322"/>
        <v>0-12 Months</v>
      </c>
      <c r="Y5173" s="1" t="str">
        <f t="shared" si="323"/>
        <v>Low</v>
      </c>
    </row>
    <row r="5174" spans="1:25" x14ac:dyDescent="0.2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 t="shared" si="320"/>
        <v>0</v>
      </c>
      <c r="W5174">
        <f t="shared" si="321"/>
        <v>1</v>
      </c>
      <c r="X5174" t="str">
        <f t="shared" si="322"/>
        <v>49+ Months</v>
      </c>
      <c r="Y5174" s="1" t="str">
        <f t="shared" si="323"/>
        <v>Low</v>
      </c>
    </row>
    <row r="5175" spans="1:25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 t="shared" si="320"/>
        <v>0</v>
      </c>
      <c r="W5175">
        <f t="shared" si="321"/>
        <v>1</v>
      </c>
      <c r="X5175" t="str">
        <f t="shared" si="322"/>
        <v>0-12 Months</v>
      </c>
      <c r="Y5175" s="1" t="str">
        <f t="shared" si="323"/>
        <v>Low</v>
      </c>
    </row>
    <row r="5176" spans="1:25" x14ac:dyDescent="0.2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 t="shared" si="320"/>
        <v>1</v>
      </c>
      <c r="W5176">
        <f t="shared" si="321"/>
        <v>0</v>
      </c>
      <c r="X5176" t="str">
        <f t="shared" si="322"/>
        <v>0-12 Months</v>
      </c>
      <c r="Y5176" s="1" t="str">
        <f t="shared" si="323"/>
        <v>High</v>
      </c>
    </row>
    <row r="5177" spans="1:25" x14ac:dyDescent="0.2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 t="shared" si="320"/>
        <v>0</v>
      </c>
      <c r="W5177">
        <f t="shared" si="321"/>
        <v>1</v>
      </c>
      <c r="X5177" t="str">
        <f t="shared" si="322"/>
        <v>13-24 Months</v>
      </c>
      <c r="Y5177" s="1" t="str">
        <f t="shared" si="323"/>
        <v>Low</v>
      </c>
    </row>
    <row r="5178" spans="1:25" x14ac:dyDescent="0.2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 t="shared" si="320"/>
        <v>0</v>
      </c>
      <c r="W5178">
        <f t="shared" si="321"/>
        <v>1</v>
      </c>
      <c r="X5178" t="str">
        <f t="shared" si="322"/>
        <v>25-48 Months</v>
      </c>
      <c r="Y5178" s="1" t="str">
        <f t="shared" si="323"/>
        <v>Low</v>
      </c>
    </row>
    <row r="5179" spans="1:25" x14ac:dyDescent="0.2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 t="shared" si="320"/>
        <v>1</v>
      </c>
      <c r="W5179">
        <f t="shared" si="321"/>
        <v>0</v>
      </c>
      <c r="X5179" t="str">
        <f t="shared" si="322"/>
        <v>25-48 Months</v>
      </c>
      <c r="Y5179" s="1" t="str">
        <f t="shared" si="323"/>
        <v>High</v>
      </c>
    </row>
    <row r="5180" spans="1:25" x14ac:dyDescent="0.2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 t="shared" si="320"/>
        <v>0</v>
      </c>
      <c r="W5180">
        <f t="shared" si="321"/>
        <v>1</v>
      </c>
      <c r="X5180" t="str">
        <f t="shared" si="322"/>
        <v>49+ Months</v>
      </c>
      <c r="Y5180" s="1" t="str">
        <f t="shared" si="323"/>
        <v>High</v>
      </c>
    </row>
    <row r="5181" spans="1:25" x14ac:dyDescent="0.2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 t="shared" si="320"/>
        <v>1</v>
      </c>
      <c r="W5181">
        <f t="shared" si="321"/>
        <v>0</v>
      </c>
      <c r="X5181" t="str">
        <f t="shared" si="322"/>
        <v>0-12 Months</v>
      </c>
      <c r="Y5181" s="1" t="str">
        <f t="shared" si="323"/>
        <v>Medium</v>
      </c>
    </row>
    <row r="5182" spans="1:25" x14ac:dyDescent="0.2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 t="shared" si="320"/>
        <v>0</v>
      </c>
      <c r="W5182">
        <f t="shared" si="321"/>
        <v>1</v>
      </c>
      <c r="X5182" t="str">
        <f t="shared" si="322"/>
        <v>49+ Months</v>
      </c>
      <c r="Y5182" s="1" t="str">
        <f t="shared" si="323"/>
        <v>Medium</v>
      </c>
    </row>
    <row r="5183" spans="1:25" x14ac:dyDescent="0.2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 t="shared" si="320"/>
        <v>0</v>
      </c>
      <c r="W5183">
        <f t="shared" si="321"/>
        <v>1</v>
      </c>
      <c r="X5183" t="str">
        <f t="shared" si="322"/>
        <v>49+ Months</v>
      </c>
      <c r="Y5183" s="1" t="str">
        <f t="shared" si="323"/>
        <v>High</v>
      </c>
    </row>
    <row r="5184" spans="1:25" x14ac:dyDescent="0.2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 t="shared" si="320"/>
        <v>0</v>
      </c>
      <c r="W5184">
        <f t="shared" si="321"/>
        <v>1</v>
      </c>
      <c r="X5184" t="str">
        <f t="shared" si="322"/>
        <v>0-12 Months</v>
      </c>
      <c r="Y5184" s="1" t="str">
        <f t="shared" si="323"/>
        <v>Low</v>
      </c>
    </row>
    <row r="5185" spans="1:25" x14ac:dyDescent="0.2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 t="shared" si="320"/>
        <v>1</v>
      </c>
      <c r="W5185">
        <f t="shared" si="321"/>
        <v>0</v>
      </c>
      <c r="X5185" t="str">
        <f t="shared" si="322"/>
        <v>25-48 Months</v>
      </c>
      <c r="Y5185" s="1" t="str">
        <f t="shared" si="323"/>
        <v>Medium</v>
      </c>
    </row>
    <row r="5186" spans="1:25" x14ac:dyDescent="0.2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 t="shared" ref="V5186:V5249" si="324">IF(U5186="Yes",1,0)</f>
        <v>0</v>
      </c>
      <c r="W5186">
        <f t="shared" ref="W5186:W5249" si="325">IF(U5186="No",1,0)</f>
        <v>1</v>
      </c>
      <c r="X5186" t="str">
        <f t="shared" ref="X5186:X5249" si="326">IF(F5186&lt;=12,"0-12 Months",IF(F5186&lt;=24,"13-24 Months",IF(F5186&lt;=48,"25-48 Months","49+ Months")))</f>
        <v>49+ Months</v>
      </c>
      <c r="Y5186" s="1" t="str">
        <f t="shared" ref="Y5186:Y5249" si="327">IF(S5186&lt;50,"Low",IF(S5186&lt;80,"Medium","High"))</f>
        <v>High</v>
      </c>
    </row>
    <row r="5187" spans="1:25" x14ac:dyDescent="0.2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 t="shared" si="324"/>
        <v>0</v>
      </c>
      <c r="W5187">
        <f t="shared" si="325"/>
        <v>1</v>
      </c>
      <c r="X5187" t="str">
        <f t="shared" si="326"/>
        <v>49+ Months</v>
      </c>
      <c r="Y5187" s="1" t="str">
        <f t="shared" si="327"/>
        <v>Medium</v>
      </c>
    </row>
    <row r="5188" spans="1:25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 t="shared" si="324"/>
        <v>1</v>
      </c>
      <c r="W5188">
        <f t="shared" si="325"/>
        <v>0</v>
      </c>
      <c r="X5188" t="str">
        <f t="shared" si="326"/>
        <v>0-12 Months</v>
      </c>
      <c r="Y5188" s="1" t="str">
        <f t="shared" si="327"/>
        <v>Low</v>
      </c>
    </row>
    <row r="5189" spans="1:25" x14ac:dyDescent="0.2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 t="shared" si="324"/>
        <v>0</v>
      </c>
      <c r="W5189">
        <f t="shared" si="325"/>
        <v>1</v>
      </c>
      <c r="X5189" t="str">
        <f t="shared" si="326"/>
        <v>25-48 Months</v>
      </c>
      <c r="Y5189" s="1" t="str">
        <f t="shared" si="327"/>
        <v>High</v>
      </c>
    </row>
    <row r="5190" spans="1:25" x14ac:dyDescent="0.2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 t="shared" si="324"/>
        <v>0</v>
      </c>
      <c r="W5190">
        <f t="shared" si="325"/>
        <v>1</v>
      </c>
      <c r="X5190" t="str">
        <f t="shared" si="326"/>
        <v>25-48 Months</v>
      </c>
      <c r="Y5190" s="1" t="str">
        <f t="shared" si="327"/>
        <v>High</v>
      </c>
    </row>
    <row r="5191" spans="1:25" x14ac:dyDescent="0.2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 t="shared" si="324"/>
        <v>0</v>
      </c>
      <c r="W5191">
        <f t="shared" si="325"/>
        <v>1</v>
      </c>
      <c r="X5191" t="str">
        <f t="shared" si="326"/>
        <v>0-12 Months</v>
      </c>
      <c r="Y5191" s="1" t="str">
        <f t="shared" si="327"/>
        <v>Medium</v>
      </c>
    </row>
    <row r="5192" spans="1:25" x14ac:dyDescent="0.2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 t="shared" si="324"/>
        <v>0</v>
      </c>
      <c r="W5192">
        <f t="shared" si="325"/>
        <v>1</v>
      </c>
      <c r="X5192" t="str">
        <f t="shared" si="326"/>
        <v>25-48 Months</v>
      </c>
      <c r="Y5192" s="1" t="str">
        <f t="shared" si="327"/>
        <v>High</v>
      </c>
    </row>
    <row r="5193" spans="1:25" x14ac:dyDescent="0.2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 t="shared" si="324"/>
        <v>0</v>
      </c>
      <c r="W5193">
        <f t="shared" si="325"/>
        <v>1</v>
      </c>
      <c r="X5193" t="str">
        <f t="shared" si="326"/>
        <v>13-24 Months</v>
      </c>
      <c r="Y5193" s="1" t="str">
        <f t="shared" si="327"/>
        <v>High</v>
      </c>
    </row>
    <row r="5194" spans="1:25" x14ac:dyDescent="0.2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 t="shared" si="324"/>
        <v>0</v>
      </c>
      <c r="W5194">
        <f t="shared" si="325"/>
        <v>1</v>
      </c>
      <c r="X5194" t="str">
        <f t="shared" si="326"/>
        <v>49+ Months</v>
      </c>
      <c r="Y5194" s="1" t="str">
        <f t="shared" si="327"/>
        <v>Low</v>
      </c>
    </row>
    <row r="5195" spans="1:25" x14ac:dyDescent="0.2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 t="shared" si="324"/>
        <v>0</v>
      </c>
      <c r="W5195">
        <f t="shared" si="325"/>
        <v>1</v>
      </c>
      <c r="X5195" t="str">
        <f t="shared" si="326"/>
        <v>49+ Months</v>
      </c>
      <c r="Y5195" s="1" t="str">
        <f t="shared" si="327"/>
        <v>Low</v>
      </c>
    </row>
    <row r="5196" spans="1:25" x14ac:dyDescent="0.2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 t="shared" si="324"/>
        <v>1</v>
      </c>
      <c r="W5196">
        <f t="shared" si="325"/>
        <v>0</v>
      </c>
      <c r="X5196" t="str">
        <f t="shared" si="326"/>
        <v>13-24 Months</v>
      </c>
      <c r="Y5196" s="1" t="str">
        <f t="shared" si="327"/>
        <v>High</v>
      </c>
    </row>
    <row r="5197" spans="1:25" x14ac:dyDescent="0.2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 t="shared" si="324"/>
        <v>0</v>
      </c>
      <c r="W5197">
        <f t="shared" si="325"/>
        <v>1</v>
      </c>
      <c r="X5197" t="str">
        <f t="shared" si="326"/>
        <v>49+ Months</v>
      </c>
      <c r="Y5197" s="1" t="str">
        <f t="shared" si="327"/>
        <v>Medium</v>
      </c>
    </row>
    <row r="5198" spans="1:25" x14ac:dyDescent="0.2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 t="shared" si="324"/>
        <v>0</v>
      </c>
      <c r="W5198">
        <f t="shared" si="325"/>
        <v>1</v>
      </c>
      <c r="X5198" t="str">
        <f t="shared" si="326"/>
        <v>49+ Months</v>
      </c>
      <c r="Y5198" s="1" t="str">
        <f t="shared" si="327"/>
        <v>High</v>
      </c>
    </row>
    <row r="5199" spans="1:25" x14ac:dyDescent="0.2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 t="shared" si="324"/>
        <v>0</v>
      </c>
      <c r="W5199">
        <f t="shared" si="325"/>
        <v>1</v>
      </c>
      <c r="X5199" t="str">
        <f t="shared" si="326"/>
        <v>49+ Months</v>
      </c>
      <c r="Y5199" s="1" t="str">
        <f t="shared" si="327"/>
        <v>High</v>
      </c>
    </row>
    <row r="5200" spans="1:25" x14ac:dyDescent="0.2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 t="shared" si="324"/>
        <v>1</v>
      </c>
      <c r="W5200">
        <f t="shared" si="325"/>
        <v>0</v>
      </c>
      <c r="X5200" t="str">
        <f t="shared" si="326"/>
        <v>25-48 Months</v>
      </c>
      <c r="Y5200" s="1" t="str">
        <f t="shared" si="327"/>
        <v>High</v>
      </c>
    </row>
    <row r="5201" spans="1:25" x14ac:dyDescent="0.2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 t="shared" si="324"/>
        <v>0</v>
      </c>
      <c r="W5201">
        <f t="shared" si="325"/>
        <v>1</v>
      </c>
      <c r="X5201" t="str">
        <f t="shared" si="326"/>
        <v>49+ Months</v>
      </c>
      <c r="Y5201" s="1" t="str">
        <f t="shared" si="327"/>
        <v>High</v>
      </c>
    </row>
    <row r="5202" spans="1:25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 t="shared" si="324"/>
        <v>0</v>
      </c>
      <c r="W5202">
        <f t="shared" si="325"/>
        <v>1</v>
      </c>
      <c r="X5202" t="str">
        <f t="shared" si="326"/>
        <v>49+ Months</v>
      </c>
      <c r="Y5202" s="1" t="str">
        <f t="shared" si="327"/>
        <v>High</v>
      </c>
    </row>
    <row r="5203" spans="1:25" x14ac:dyDescent="0.2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 t="shared" si="324"/>
        <v>0</v>
      </c>
      <c r="W5203">
        <f t="shared" si="325"/>
        <v>1</v>
      </c>
      <c r="X5203" t="str">
        <f t="shared" si="326"/>
        <v>0-12 Months</v>
      </c>
      <c r="Y5203" s="1" t="str">
        <f t="shared" si="327"/>
        <v>Low</v>
      </c>
    </row>
    <row r="5204" spans="1:25" x14ac:dyDescent="0.2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 t="shared" si="324"/>
        <v>0</v>
      </c>
      <c r="W5204">
        <f t="shared" si="325"/>
        <v>1</v>
      </c>
      <c r="X5204" t="str">
        <f t="shared" si="326"/>
        <v>49+ Months</v>
      </c>
      <c r="Y5204" s="1" t="str">
        <f t="shared" si="327"/>
        <v>High</v>
      </c>
    </row>
    <row r="5205" spans="1:25" x14ac:dyDescent="0.2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 t="shared" si="324"/>
        <v>0</v>
      </c>
      <c r="W5205">
        <f t="shared" si="325"/>
        <v>1</v>
      </c>
      <c r="X5205" t="str">
        <f t="shared" si="326"/>
        <v>0-12 Months</v>
      </c>
      <c r="Y5205" s="1" t="str">
        <f t="shared" si="327"/>
        <v>Medium</v>
      </c>
    </row>
    <row r="5206" spans="1:25" x14ac:dyDescent="0.2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 t="shared" si="324"/>
        <v>0</v>
      </c>
      <c r="W5206">
        <f t="shared" si="325"/>
        <v>1</v>
      </c>
      <c r="X5206" t="str">
        <f t="shared" si="326"/>
        <v>25-48 Months</v>
      </c>
      <c r="Y5206" s="1" t="str">
        <f t="shared" si="327"/>
        <v>Low</v>
      </c>
    </row>
    <row r="5207" spans="1:25" x14ac:dyDescent="0.2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 t="shared" si="324"/>
        <v>0</v>
      </c>
      <c r="W5207">
        <f t="shared" si="325"/>
        <v>1</v>
      </c>
      <c r="X5207" t="str">
        <f t="shared" si="326"/>
        <v>25-48 Months</v>
      </c>
      <c r="Y5207" s="1" t="str">
        <f t="shared" si="327"/>
        <v>High</v>
      </c>
    </row>
    <row r="5208" spans="1:25" x14ac:dyDescent="0.2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 t="shared" si="324"/>
        <v>0</v>
      </c>
      <c r="W5208">
        <f t="shared" si="325"/>
        <v>1</v>
      </c>
      <c r="X5208" t="str">
        <f t="shared" si="326"/>
        <v>25-48 Months</v>
      </c>
      <c r="Y5208" s="1" t="str">
        <f t="shared" si="327"/>
        <v>Medium</v>
      </c>
    </row>
    <row r="5209" spans="1:25" x14ac:dyDescent="0.2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 t="shared" si="324"/>
        <v>1</v>
      </c>
      <c r="W5209">
        <f t="shared" si="325"/>
        <v>0</v>
      </c>
      <c r="X5209" t="str">
        <f t="shared" si="326"/>
        <v>13-24 Months</v>
      </c>
      <c r="Y5209" s="1" t="str">
        <f t="shared" si="327"/>
        <v>Low</v>
      </c>
    </row>
    <row r="5210" spans="1:25" x14ac:dyDescent="0.2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 t="shared" si="324"/>
        <v>0</v>
      </c>
      <c r="W5210">
        <f t="shared" si="325"/>
        <v>1</v>
      </c>
      <c r="X5210" t="str">
        <f t="shared" si="326"/>
        <v>13-24 Months</v>
      </c>
      <c r="Y5210" s="1" t="str">
        <f t="shared" si="327"/>
        <v>Medium</v>
      </c>
    </row>
    <row r="5211" spans="1:25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 t="shared" si="324"/>
        <v>0</v>
      </c>
      <c r="W5211">
        <f t="shared" si="325"/>
        <v>1</v>
      </c>
      <c r="X5211" t="str">
        <f t="shared" si="326"/>
        <v>49+ Months</v>
      </c>
      <c r="Y5211" s="1" t="str">
        <f t="shared" si="327"/>
        <v>High</v>
      </c>
    </row>
    <row r="5212" spans="1:25" x14ac:dyDescent="0.2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 t="shared" si="324"/>
        <v>1</v>
      </c>
      <c r="W5212">
        <f t="shared" si="325"/>
        <v>0</v>
      </c>
      <c r="X5212" t="str">
        <f t="shared" si="326"/>
        <v>49+ Months</v>
      </c>
      <c r="Y5212" s="1" t="str">
        <f t="shared" si="327"/>
        <v>Medium</v>
      </c>
    </row>
    <row r="5213" spans="1:25" x14ac:dyDescent="0.2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 t="shared" si="324"/>
        <v>1</v>
      </c>
      <c r="W5213">
        <f t="shared" si="325"/>
        <v>0</v>
      </c>
      <c r="X5213" t="str">
        <f t="shared" si="326"/>
        <v>0-12 Months</v>
      </c>
      <c r="Y5213" s="1" t="str">
        <f t="shared" si="327"/>
        <v>High</v>
      </c>
    </row>
    <row r="5214" spans="1:25" x14ac:dyDescent="0.2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 t="shared" si="324"/>
        <v>0</v>
      </c>
      <c r="W5214">
        <f t="shared" si="325"/>
        <v>1</v>
      </c>
      <c r="X5214" t="str">
        <f t="shared" si="326"/>
        <v>49+ Months</v>
      </c>
      <c r="Y5214" s="1" t="str">
        <f t="shared" si="327"/>
        <v>Low</v>
      </c>
    </row>
    <row r="5215" spans="1:25" x14ac:dyDescent="0.2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 t="shared" si="324"/>
        <v>0</v>
      </c>
      <c r="W5215">
        <f t="shared" si="325"/>
        <v>1</v>
      </c>
      <c r="X5215" t="str">
        <f t="shared" si="326"/>
        <v>13-24 Months</v>
      </c>
      <c r="Y5215" s="1" t="str">
        <f t="shared" si="327"/>
        <v>High</v>
      </c>
    </row>
    <row r="5216" spans="1:25" x14ac:dyDescent="0.2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 t="shared" si="324"/>
        <v>1</v>
      </c>
      <c r="W5216">
        <f t="shared" si="325"/>
        <v>0</v>
      </c>
      <c r="X5216" t="str">
        <f t="shared" si="326"/>
        <v>0-12 Months</v>
      </c>
      <c r="Y5216" s="1" t="str">
        <f t="shared" si="327"/>
        <v>Medium</v>
      </c>
    </row>
    <row r="5217" spans="1:25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 t="shared" si="324"/>
        <v>1</v>
      </c>
      <c r="W5217">
        <f t="shared" si="325"/>
        <v>0</v>
      </c>
      <c r="X5217" t="str">
        <f t="shared" si="326"/>
        <v>0-12 Months</v>
      </c>
      <c r="Y5217" s="1" t="str">
        <f t="shared" si="327"/>
        <v>Low</v>
      </c>
    </row>
    <row r="5218" spans="1:25" x14ac:dyDescent="0.2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 t="shared" si="324"/>
        <v>1</v>
      </c>
      <c r="W5218">
        <f t="shared" si="325"/>
        <v>0</v>
      </c>
      <c r="X5218" t="str">
        <f t="shared" si="326"/>
        <v>25-48 Months</v>
      </c>
      <c r="Y5218" s="1" t="str">
        <f t="shared" si="327"/>
        <v>Low</v>
      </c>
    </row>
    <row r="5219" spans="1:25" x14ac:dyDescent="0.2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 t="shared" si="324"/>
        <v>0</v>
      </c>
      <c r="W5219">
        <f t="shared" si="325"/>
        <v>1</v>
      </c>
      <c r="X5219" t="str">
        <f t="shared" si="326"/>
        <v>0-12 Months</v>
      </c>
      <c r="Y5219" s="1" t="str">
        <f t="shared" si="327"/>
        <v>Low</v>
      </c>
    </row>
    <row r="5220" spans="1:25" x14ac:dyDescent="0.2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>
        <f t="shared" si="324"/>
        <v>0</v>
      </c>
      <c r="W5220">
        <f t="shared" si="325"/>
        <v>1</v>
      </c>
      <c r="X5220" t="str">
        <f t="shared" si="326"/>
        <v>0-12 Months</v>
      </c>
      <c r="Y5220" s="1" t="str">
        <f t="shared" si="327"/>
        <v>Low</v>
      </c>
    </row>
    <row r="5221" spans="1:25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 t="shared" si="324"/>
        <v>0</v>
      </c>
      <c r="W5221">
        <f t="shared" si="325"/>
        <v>1</v>
      </c>
      <c r="X5221" t="str">
        <f t="shared" si="326"/>
        <v>0-12 Months</v>
      </c>
      <c r="Y5221" s="1" t="str">
        <f t="shared" si="327"/>
        <v>Low</v>
      </c>
    </row>
    <row r="5222" spans="1:25" x14ac:dyDescent="0.2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 t="shared" si="324"/>
        <v>0</v>
      </c>
      <c r="W5222">
        <f t="shared" si="325"/>
        <v>1</v>
      </c>
      <c r="X5222" t="str">
        <f t="shared" si="326"/>
        <v>25-48 Months</v>
      </c>
      <c r="Y5222" s="1" t="str">
        <f t="shared" si="327"/>
        <v>Medium</v>
      </c>
    </row>
    <row r="5223" spans="1:25" x14ac:dyDescent="0.2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 t="shared" si="324"/>
        <v>0</v>
      </c>
      <c r="W5223">
        <f t="shared" si="325"/>
        <v>1</v>
      </c>
      <c r="X5223" t="str">
        <f t="shared" si="326"/>
        <v>49+ Months</v>
      </c>
      <c r="Y5223" s="1" t="str">
        <f t="shared" si="327"/>
        <v>High</v>
      </c>
    </row>
    <row r="5224" spans="1:25" x14ac:dyDescent="0.2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 t="shared" si="324"/>
        <v>0</v>
      </c>
      <c r="W5224">
        <f t="shared" si="325"/>
        <v>1</v>
      </c>
      <c r="X5224" t="str">
        <f t="shared" si="326"/>
        <v>0-12 Months</v>
      </c>
      <c r="Y5224" s="1" t="str">
        <f t="shared" si="327"/>
        <v>Medium</v>
      </c>
    </row>
    <row r="5225" spans="1:25" x14ac:dyDescent="0.2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 t="shared" si="324"/>
        <v>0</v>
      </c>
      <c r="W5225">
        <f t="shared" si="325"/>
        <v>1</v>
      </c>
      <c r="X5225" t="str">
        <f t="shared" si="326"/>
        <v>49+ Months</v>
      </c>
      <c r="Y5225" s="1" t="str">
        <f t="shared" si="327"/>
        <v>Low</v>
      </c>
    </row>
    <row r="5226" spans="1:25" x14ac:dyDescent="0.2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 t="shared" si="324"/>
        <v>0</v>
      </c>
      <c r="W5226">
        <f t="shared" si="325"/>
        <v>1</v>
      </c>
      <c r="X5226" t="str">
        <f t="shared" si="326"/>
        <v>25-48 Months</v>
      </c>
      <c r="Y5226" s="1" t="str">
        <f t="shared" si="327"/>
        <v>High</v>
      </c>
    </row>
    <row r="5227" spans="1:25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 t="shared" si="324"/>
        <v>0</v>
      </c>
      <c r="W5227">
        <f t="shared" si="325"/>
        <v>1</v>
      </c>
      <c r="X5227" t="str">
        <f t="shared" si="326"/>
        <v>49+ Months</v>
      </c>
      <c r="Y5227" s="1" t="str">
        <f t="shared" si="327"/>
        <v>High</v>
      </c>
    </row>
    <row r="5228" spans="1:25" x14ac:dyDescent="0.2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 t="shared" si="324"/>
        <v>0</v>
      </c>
      <c r="W5228">
        <f t="shared" si="325"/>
        <v>1</v>
      </c>
      <c r="X5228" t="str">
        <f t="shared" si="326"/>
        <v>0-12 Months</v>
      </c>
      <c r="Y5228" s="1" t="str">
        <f t="shared" si="327"/>
        <v>Low</v>
      </c>
    </row>
    <row r="5229" spans="1:25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 t="shared" si="324"/>
        <v>0</v>
      </c>
      <c r="W5229">
        <f t="shared" si="325"/>
        <v>1</v>
      </c>
      <c r="X5229" t="str">
        <f t="shared" si="326"/>
        <v>0-12 Months</v>
      </c>
      <c r="Y5229" s="1" t="str">
        <f t="shared" si="327"/>
        <v>High</v>
      </c>
    </row>
    <row r="5230" spans="1:25" x14ac:dyDescent="0.2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 t="shared" si="324"/>
        <v>0</v>
      </c>
      <c r="W5230">
        <f t="shared" si="325"/>
        <v>1</v>
      </c>
      <c r="X5230" t="str">
        <f t="shared" si="326"/>
        <v>0-12 Months</v>
      </c>
      <c r="Y5230" s="1" t="str">
        <f t="shared" si="327"/>
        <v>Low</v>
      </c>
    </row>
    <row r="5231" spans="1:25" x14ac:dyDescent="0.2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 t="shared" si="324"/>
        <v>1</v>
      </c>
      <c r="W5231">
        <f t="shared" si="325"/>
        <v>0</v>
      </c>
      <c r="X5231" t="str">
        <f t="shared" si="326"/>
        <v>25-48 Months</v>
      </c>
      <c r="Y5231" s="1" t="str">
        <f t="shared" si="327"/>
        <v>High</v>
      </c>
    </row>
    <row r="5232" spans="1:25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 t="shared" si="324"/>
        <v>0</v>
      </c>
      <c r="W5232">
        <f t="shared" si="325"/>
        <v>1</v>
      </c>
      <c r="X5232" t="str">
        <f t="shared" si="326"/>
        <v>49+ Months</v>
      </c>
      <c r="Y5232" s="1" t="str">
        <f t="shared" si="327"/>
        <v>High</v>
      </c>
    </row>
    <row r="5233" spans="1:25" x14ac:dyDescent="0.2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 t="shared" si="324"/>
        <v>1</v>
      </c>
      <c r="W5233">
        <f t="shared" si="325"/>
        <v>0</v>
      </c>
      <c r="X5233" t="str">
        <f t="shared" si="326"/>
        <v>13-24 Months</v>
      </c>
      <c r="Y5233" s="1" t="str">
        <f t="shared" si="327"/>
        <v>High</v>
      </c>
    </row>
    <row r="5234" spans="1:25" x14ac:dyDescent="0.2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 t="shared" si="324"/>
        <v>0</v>
      </c>
      <c r="W5234">
        <f t="shared" si="325"/>
        <v>1</v>
      </c>
      <c r="X5234" t="str">
        <f t="shared" si="326"/>
        <v>0-12 Months</v>
      </c>
      <c r="Y5234" s="1" t="str">
        <f t="shared" si="327"/>
        <v>Low</v>
      </c>
    </row>
    <row r="5235" spans="1:25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 t="shared" si="324"/>
        <v>1</v>
      </c>
      <c r="W5235">
        <f t="shared" si="325"/>
        <v>0</v>
      </c>
      <c r="X5235" t="str">
        <f t="shared" si="326"/>
        <v>0-12 Months</v>
      </c>
      <c r="Y5235" s="1" t="str">
        <f t="shared" si="327"/>
        <v>High</v>
      </c>
    </row>
    <row r="5236" spans="1:25" x14ac:dyDescent="0.2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 t="shared" si="324"/>
        <v>0</v>
      </c>
      <c r="W5236">
        <f t="shared" si="325"/>
        <v>1</v>
      </c>
      <c r="X5236" t="str">
        <f t="shared" si="326"/>
        <v>25-48 Months</v>
      </c>
      <c r="Y5236" s="1" t="str">
        <f t="shared" si="327"/>
        <v>High</v>
      </c>
    </row>
    <row r="5237" spans="1:25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 t="shared" si="324"/>
        <v>0</v>
      </c>
      <c r="W5237">
        <f t="shared" si="325"/>
        <v>1</v>
      </c>
      <c r="X5237" t="str">
        <f t="shared" si="326"/>
        <v>0-12 Months</v>
      </c>
      <c r="Y5237" s="1" t="str">
        <f t="shared" si="327"/>
        <v>High</v>
      </c>
    </row>
    <row r="5238" spans="1:25" x14ac:dyDescent="0.2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 t="shared" si="324"/>
        <v>0</v>
      </c>
      <c r="W5238">
        <f t="shared" si="325"/>
        <v>1</v>
      </c>
      <c r="X5238" t="str">
        <f t="shared" si="326"/>
        <v>25-48 Months</v>
      </c>
      <c r="Y5238" s="1" t="str">
        <f t="shared" si="327"/>
        <v>High</v>
      </c>
    </row>
    <row r="5239" spans="1:25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 t="shared" si="324"/>
        <v>0</v>
      </c>
      <c r="W5239">
        <f t="shared" si="325"/>
        <v>1</v>
      </c>
      <c r="X5239" t="str">
        <f t="shared" si="326"/>
        <v>25-48 Months</v>
      </c>
      <c r="Y5239" s="1" t="str">
        <f t="shared" si="327"/>
        <v>Medium</v>
      </c>
    </row>
    <row r="5240" spans="1:25" x14ac:dyDescent="0.2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 t="shared" si="324"/>
        <v>0</v>
      </c>
      <c r="W5240">
        <f t="shared" si="325"/>
        <v>1</v>
      </c>
      <c r="X5240" t="str">
        <f t="shared" si="326"/>
        <v>25-48 Months</v>
      </c>
      <c r="Y5240" s="1" t="str">
        <f t="shared" si="327"/>
        <v>Medium</v>
      </c>
    </row>
    <row r="5241" spans="1:25" x14ac:dyDescent="0.2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 t="shared" si="324"/>
        <v>0</v>
      </c>
      <c r="W5241">
        <f t="shared" si="325"/>
        <v>1</v>
      </c>
      <c r="X5241" t="str">
        <f t="shared" si="326"/>
        <v>49+ Months</v>
      </c>
      <c r="Y5241" s="1" t="str">
        <f t="shared" si="327"/>
        <v>High</v>
      </c>
    </row>
    <row r="5242" spans="1:25" x14ac:dyDescent="0.2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 t="shared" si="324"/>
        <v>0</v>
      </c>
      <c r="W5242">
        <f t="shared" si="325"/>
        <v>1</v>
      </c>
      <c r="X5242" t="str">
        <f t="shared" si="326"/>
        <v>49+ Months</v>
      </c>
      <c r="Y5242" s="1" t="str">
        <f t="shared" si="327"/>
        <v>High</v>
      </c>
    </row>
    <row r="5243" spans="1:25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 t="shared" si="324"/>
        <v>0</v>
      </c>
      <c r="W5243">
        <f t="shared" si="325"/>
        <v>1</v>
      </c>
      <c r="X5243" t="str">
        <f t="shared" si="326"/>
        <v>49+ Months</v>
      </c>
      <c r="Y5243" s="1" t="str">
        <f t="shared" si="327"/>
        <v>Medium</v>
      </c>
    </row>
    <row r="5244" spans="1:25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 t="shared" si="324"/>
        <v>1</v>
      </c>
      <c r="W5244">
        <f t="shared" si="325"/>
        <v>0</v>
      </c>
      <c r="X5244" t="str">
        <f t="shared" si="326"/>
        <v>13-24 Months</v>
      </c>
      <c r="Y5244" s="1" t="str">
        <f t="shared" si="327"/>
        <v>High</v>
      </c>
    </row>
    <row r="5245" spans="1:25" x14ac:dyDescent="0.2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 t="shared" si="324"/>
        <v>0</v>
      </c>
      <c r="W5245">
        <f t="shared" si="325"/>
        <v>1</v>
      </c>
      <c r="X5245" t="str">
        <f t="shared" si="326"/>
        <v>13-24 Months</v>
      </c>
      <c r="Y5245" s="1" t="str">
        <f t="shared" si="327"/>
        <v>High</v>
      </c>
    </row>
    <row r="5246" spans="1:25" x14ac:dyDescent="0.2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 t="shared" si="324"/>
        <v>0</v>
      </c>
      <c r="W5246">
        <f t="shared" si="325"/>
        <v>1</v>
      </c>
      <c r="X5246" t="str">
        <f t="shared" si="326"/>
        <v>25-48 Months</v>
      </c>
      <c r="Y5246" s="1" t="str">
        <f t="shared" si="327"/>
        <v>High</v>
      </c>
    </row>
    <row r="5247" spans="1:25" x14ac:dyDescent="0.2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 t="shared" si="324"/>
        <v>0</v>
      </c>
      <c r="W5247">
        <f t="shared" si="325"/>
        <v>1</v>
      </c>
      <c r="X5247" t="str">
        <f t="shared" si="326"/>
        <v>49+ Months</v>
      </c>
      <c r="Y5247" s="1" t="str">
        <f t="shared" si="327"/>
        <v>Low</v>
      </c>
    </row>
    <row r="5248" spans="1:25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 t="shared" si="324"/>
        <v>1</v>
      </c>
      <c r="W5248">
        <f t="shared" si="325"/>
        <v>0</v>
      </c>
      <c r="X5248" t="str">
        <f t="shared" si="326"/>
        <v>0-12 Months</v>
      </c>
      <c r="Y5248" s="1" t="str">
        <f t="shared" si="327"/>
        <v>Medium</v>
      </c>
    </row>
    <row r="5249" spans="1:25" x14ac:dyDescent="0.2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 t="shared" si="324"/>
        <v>1</v>
      </c>
      <c r="W5249">
        <f t="shared" si="325"/>
        <v>0</v>
      </c>
      <c r="X5249" t="str">
        <f t="shared" si="326"/>
        <v>25-48 Months</v>
      </c>
      <c r="Y5249" s="1" t="str">
        <f t="shared" si="327"/>
        <v>High</v>
      </c>
    </row>
    <row r="5250" spans="1:25" x14ac:dyDescent="0.2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 t="shared" ref="V5250:V5313" si="328">IF(U5250="Yes",1,0)</f>
        <v>0</v>
      </c>
      <c r="W5250">
        <f t="shared" ref="W5250:W5313" si="329">IF(U5250="No",1,0)</f>
        <v>1</v>
      </c>
      <c r="X5250" t="str">
        <f t="shared" ref="X5250:X5313" si="330">IF(F5250&lt;=12,"0-12 Months",IF(F5250&lt;=24,"13-24 Months",IF(F5250&lt;=48,"25-48 Months","49+ Months")))</f>
        <v>0-12 Months</v>
      </c>
      <c r="Y5250" s="1" t="str">
        <f t="shared" ref="Y5250:Y5313" si="331">IF(S5250&lt;50,"Low",IF(S5250&lt;80,"Medium","High"))</f>
        <v>Low</v>
      </c>
    </row>
    <row r="5251" spans="1:25" x14ac:dyDescent="0.2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 t="shared" si="328"/>
        <v>0</v>
      </c>
      <c r="W5251">
        <f t="shared" si="329"/>
        <v>1</v>
      </c>
      <c r="X5251" t="str">
        <f t="shared" si="330"/>
        <v>49+ Months</v>
      </c>
      <c r="Y5251" s="1" t="str">
        <f t="shared" si="331"/>
        <v>Medium</v>
      </c>
    </row>
    <row r="5252" spans="1:25" x14ac:dyDescent="0.2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 t="shared" si="328"/>
        <v>0</v>
      </c>
      <c r="W5252">
        <f t="shared" si="329"/>
        <v>1</v>
      </c>
      <c r="X5252" t="str">
        <f t="shared" si="330"/>
        <v>0-12 Months</v>
      </c>
      <c r="Y5252" s="1" t="str">
        <f t="shared" si="331"/>
        <v>High</v>
      </c>
    </row>
    <row r="5253" spans="1:25" x14ac:dyDescent="0.2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 t="shared" si="328"/>
        <v>1</v>
      </c>
      <c r="W5253">
        <f t="shared" si="329"/>
        <v>0</v>
      </c>
      <c r="X5253" t="str">
        <f t="shared" si="330"/>
        <v>0-12 Months</v>
      </c>
      <c r="Y5253" s="1" t="str">
        <f t="shared" si="331"/>
        <v>Medium</v>
      </c>
    </row>
    <row r="5254" spans="1:25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 t="shared" si="328"/>
        <v>0</v>
      </c>
      <c r="W5254">
        <f t="shared" si="329"/>
        <v>1</v>
      </c>
      <c r="X5254" t="str">
        <f t="shared" si="330"/>
        <v>49+ Months</v>
      </c>
      <c r="Y5254" s="1" t="str">
        <f t="shared" si="331"/>
        <v>High</v>
      </c>
    </row>
    <row r="5255" spans="1:25" x14ac:dyDescent="0.2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 t="shared" si="328"/>
        <v>0</v>
      </c>
      <c r="W5255">
        <f t="shared" si="329"/>
        <v>1</v>
      </c>
      <c r="X5255" t="str">
        <f t="shared" si="330"/>
        <v>25-48 Months</v>
      </c>
      <c r="Y5255" s="1" t="str">
        <f t="shared" si="331"/>
        <v>Medium</v>
      </c>
    </row>
    <row r="5256" spans="1:25" x14ac:dyDescent="0.2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 t="shared" si="328"/>
        <v>0</v>
      </c>
      <c r="W5256">
        <f t="shared" si="329"/>
        <v>1</v>
      </c>
      <c r="X5256" t="str">
        <f t="shared" si="330"/>
        <v>49+ Months</v>
      </c>
      <c r="Y5256" s="1" t="str">
        <f t="shared" si="331"/>
        <v>High</v>
      </c>
    </row>
    <row r="5257" spans="1:25" x14ac:dyDescent="0.2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 t="shared" si="328"/>
        <v>0</v>
      </c>
      <c r="W5257">
        <f t="shared" si="329"/>
        <v>1</v>
      </c>
      <c r="X5257" t="str">
        <f t="shared" si="330"/>
        <v>25-48 Months</v>
      </c>
      <c r="Y5257" s="1" t="str">
        <f t="shared" si="331"/>
        <v>Medium</v>
      </c>
    </row>
    <row r="5258" spans="1:25" x14ac:dyDescent="0.2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 t="shared" si="328"/>
        <v>1</v>
      </c>
      <c r="W5258">
        <f t="shared" si="329"/>
        <v>0</v>
      </c>
      <c r="X5258" t="str">
        <f t="shared" si="330"/>
        <v>49+ Months</v>
      </c>
      <c r="Y5258" s="1" t="str">
        <f t="shared" si="331"/>
        <v>High</v>
      </c>
    </row>
    <row r="5259" spans="1:25" x14ac:dyDescent="0.2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 t="shared" si="328"/>
        <v>1</v>
      </c>
      <c r="W5259">
        <f t="shared" si="329"/>
        <v>0</v>
      </c>
      <c r="X5259" t="str">
        <f t="shared" si="330"/>
        <v>25-48 Months</v>
      </c>
      <c r="Y5259" s="1" t="str">
        <f t="shared" si="331"/>
        <v>High</v>
      </c>
    </row>
    <row r="5260" spans="1:25" x14ac:dyDescent="0.2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 t="shared" si="328"/>
        <v>1</v>
      </c>
      <c r="W5260">
        <f t="shared" si="329"/>
        <v>0</v>
      </c>
      <c r="X5260" t="str">
        <f t="shared" si="330"/>
        <v>49+ Months</v>
      </c>
      <c r="Y5260" s="1" t="str">
        <f t="shared" si="331"/>
        <v>High</v>
      </c>
    </row>
    <row r="5261" spans="1:25" x14ac:dyDescent="0.2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 t="shared" si="328"/>
        <v>0</v>
      </c>
      <c r="W5261">
        <f t="shared" si="329"/>
        <v>1</v>
      </c>
      <c r="X5261" t="str">
        <f t="shared" si="330"/>
        <v>25-48 Months</v>
      </c>
      <c r="Y5261" s="1" t="str">
        <f t="shared" si="331"/>
        <v>Medium</v>
      </c>
    </row>
    <row r="5262" spans="1:25" x14ac:dyDescent="0.2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 t="shared" si="328"/>
        <v>0</v>
      </c>
      <c r="W5262">
        <f t="shared" si="329"/>
        <v>1</v>
      </c>
      <c r="X5262" t="str">
        <f t="shared" si="330"/>
        <v>25-48 Months</v>
      </c>
      <c r="Y5262" s="1" t="str">
        <f t="shared" si="331"/>
        <v>High</v>
      </c>
    </row>
    <row r="5263" spans="1:25" x14ac:dyDescent="0.2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 t="shared" si="328"/>
        <v>0</v>
      </c>
      <c r="W5263">
        <f t="shared" si="329"/>
        <v>1</v>
      </c>
      <c r="X5263" t="str">
        <f t="shared" si="330"/>
        <v>49+ Months</v>
      </c>
      <c r="Y5263" s="1" t="str">
        <f t="shared" si="331"/>
        <v>High</v>
      </c>
    </row>
    <row r="5264" spans="1:25" x14ac:dyDescent="0.2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 t="shared" si="328"/>
        <v>0</v>
      </c>
      <c r="W5264">
        <f t="shared" si="329"/>
        <v>1</v>
      </c>
      <c r="X5264" t="str">
        <f t="shared" si="330"/>
        <v>49+ Months</v>
      </c>
      <c r="Y5264" s="1" t="str">
        <f t="shared" si="331"/>
        <v>Medium</v>
      </c>
    </row>
    <row r="5265" spans="1:25" x14ac:dyDescent="0.2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 t="shared" si="328"/>
        <v>0</v>
      </c>
      <c r="W5265">
        <f t="shared" si="329"/>
        <v>1</v>
      </c>
      <c r="X5265" t="str">
        <f t="shared" si="330"/>
        <v>49+ Months</v>
      </c>
      <c r="Y5265" s="1" t="str">
        <f t="shared" si="331"/>
        <v>Low</v>
      </c>
    </row>
    <row r="5266" spans="1:25" x14ac:dyDescent="0.2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 t="shared" si="328"/>
        <v>0</v>
      </c>
      <c r="W5266">
        <f t="shared" si="329"/>
        <v>1</v>
      </c>
      <c r="X5266" t="str">
        <f t="shared" si="330"/>
        <v>49+ Months</v>
      </c>
      <c r="Y5266" s="1" t="str">
        <f t="shared" si="331"/>
        <v>Low</v>
      </c>
    </row>
    <row r="5267" spans="1:25" x14ac:dyDescent="0.2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 t="shared" si="328"/>
        <v>0</v>
      </c>
      <c r="W5267">
        <f t="shared" si="329"/>
        <v>1</v>
      </c>
      <c r="X5267" t="str">
        <f t="shared" si="330"/>
        <v>49+ Months</v>
      </c>
      <c r="Y5267" s="1" t="str">
        <f t="shared" si="331"/>
        <v>High</v>
      </c>
    </row>
    <row r="5268" spans="1:25" x14ac:dyDescent="0.2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 t="shared" si="328"/>
        <v>0</v>
      </c>
      <c r="W5268">
        <f t="shared" si="329"/>
        <v>1</v>
      </c>
      <c r="X5268" t="str">
        <f t="shared" si="330"/>
        <v>25-48 Months</v>
      </c>
      <c r="Y5268" s="1" t="str">
        <f t="shared" si="331"/>
        <v>Medium</v>
      </c>
    </row>
    <row r="5269" spans="1:25" x14ac:dyDescent="0.2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 t="shared" si="328"/>
        <v>0</v>
      </c>
      <c r="W5269">
        <f t="shared" si="329"/>
        <v>1</v>
      </c>
      <c r="X5269" t="str">
        <f t="shared" si="330"/>
        <v>0-12 Months</v>
      </c>
      <c r="Y5269" s="1" t="str">
        <f t="shared" si="331"/>
        <v>Low</v>
      </c>
    </row>
    <row r="5270" spans="1:25" x14ac:dyDescent="0.2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 t="shared" si="328"/>
        <v>0</v>
      </c>
      <c r="W5270">
        <f t="shared" si="329"/>
        <v>1</v>
      </c>
      <c r="X5270" t="str">
        <f t="shared" si="330"/>
        <v>49+ Months</v>
      </c>
      <c r="Y5270" s="1" t="str">
        <f t="shared" si="331"/>
        <v>High</v>
      </c>
    </row>
    <row r="5271" spans="1:25" x14ac:dyDescent="0.2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 t="shared" si="328"/>
        <v>0</v>
      </c>
      <c r="W5271">
        <f t="shared" si="329"/>
        <v>1</v>
      </c>
      <c r="X5271" t="str">
        <f t="shared" si="330"/>
        <v>0-12 Months</v>
      </c>
      <c r="Y5271" s="1" t="str">
        <f t="shared" si="331"/>
        <v>Medium</v>
      </c>
    </row>
    <row r="5272" spans="1:25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 t="shared" si="328"/>
        <v>1</v>
      </c>
      <c r="W5272">
        <f t="shared" si="329"/>
        <v>0</v>
      </c>
      <c r="X5272" t="str">
        <f t="shared" si="330"/>
        <v>25-48 Months</v>
      </c>
      <c r="Y5272" s="1" t="str">
        <f t="shared" si="331"/>
        <v>Medium</v>
      </c>
    </row>
    <row r="5273" spans="1:25" x14ac:dyDescent="0.2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 t="shared" si="328"/>
        <v>0</v>
      </c>
      <c r="W5273">
        <f t="shared" si="329"/>
        <v>1</v>
      </c>
      <c r="X5273" t="str">
        <f t="shared" si="330"/>
        <v>13-24 Months</v>
      </c>
      <c r="Y5273" s="1" t="str">
        <f t="shared" si="331"/>
        <v>Medium</v>
      </c>
    </row>
    <row r="5274" spans="1:25" x14ac:dyDescent="0.2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 t="shared" si="328"/>
        <v>1</v>
      </c>
      <c r="W5274">
        <f t="shared" si="329"/>
        <v>0</v>
      </c>
      <c r="X5274" t="str">
        <f t="shared" si="330"/>
        <v>0-12 Months</v>
      </c>
      <c r="Y5274" s="1" t="str">
        <f t="shared" si="331"/>
        <v>High</v>
      </c>
    </row>
    <row r="5275" spans="1:25" x14ac:dyDescent="0.2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 t="shared" si="328"/>
        <v>0</v>
      </c>
      <c r="W5275">
        <f t="shared" si="329"/>
        <v>1</v>
      </c>
      <c r="X5275" t="str">
        <f t="shared" si="330"/>
        <v>49+ Months</v>
      </c>
      <c r="Y5275" s="1" t="str">
        <f t="shared" si="331"/>
        <v>Low</v>
      </c>
    </row>
    <row r="5276" spans="1:25" x14ac:dyDescent="0.2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 t="shared" si="328"/>
        <v>0</v>
      </c>
      <c r="W5276">
        <f t="shared" si="329"/>
        <v>1</v>
      </c>
      <c r="X5276" t="str">
        <f t="shared" si="330"/>
        <v>49+ Months</v>
      </c>
      <c r="Y5276" s="1" t="str">
        <f t="shared" si="331"/>
        <v>High</v>
      </c>
    </row>
    <row r="5277" spans="1:25" x14ac:dyDescent="0.2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 t="shared" si="328"/>
        <v>1</v>
      </c>
      <c r="W5277">
        <f t="shared" si="329"/>
        <v>0</v>
      </c>
      <c r="X5277" t="str">
        <f t="shared" si="330"/>
        <v>0-12 Months</v>
      </c>
      <c r="Y5277" s="1" t="str">
        <f t="shared" si="331"/>
        <v>Medium</v>
      </c>
    </row>
    <row r="5278" spans="1:25" x14ac:dyDescent="0.2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 t="shared" si="328"/>
        <v>0</v>
      </c>
      <c r="W5278">
        <f t="shared" si="329"/>
        <v>1</v>
      </c>
      <c r="X5278" t="str">
        <f t="shared" si="330"/>
        <v>25-48 Months</v>
      </c>
      <c r="Y5278" s="1" t="str">
        <f t="shared" si="331"/>
        <v>Medium</v>
      </c>
    </row>
    <row r="5279" spans="1:25" x14ac:dyDescent="0.2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 t="shared" si="328"/>
        <v>1</v>
      </c>
      <c r="W5279">
        <f t="shared" si="329"/>
        <v>0</v>
      </c>
      <c r="X5279" t="str">
        <f t="shared" si="330"/>
        <v>0-12 Months</v>
      </c>
      <c r="Y5279" s="1" t="str">
        <f t="shared" si="331"/>
        <v>High</v>
      </c>
    </row>
    <row r="5280" spans="1:25" x14ac:dyDescent="0.2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 t="shared" si="328"/>
        <v>0</v>
      </c>
      <c r="W5280">
        <f t="shared" si="329"/>
        <v>1</v>
      </c>
      <c r="X5280" t="str">
        <f t="shared" si="330"/>
        <v>49+ Months</v>
      </c>
      <c r="Y5280" s="1" t="str">
        <f t="shared" si="331"/>
        <v>High</v>
      </c>
    </row>
    <row r="5281" spans="1:25" x14ac:dyDescent="0.2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 t="shared" si="328"/>
        <v>0</v>
      </c>
      <c r="W5281">
        <f t="shared" si="329"/>
        <v>1</v>
      </c>
      <c r="X5281" t="str">
        <f t="shared" si="330"/>
        <v>49+ Months</v>
      </c>
      <c r="Y5281" s="1" t="str">
        <f t="shared" si="331"/>
        <v>Low</v>
      </c>
    </row>
    <row r="5282" spans="1:25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 t="shared" si="328"/>
        <v>0</v>
      </c>
      <c r="W5282">
        <f t="shared" si="329"/>
        <v>1</v>
      </c>
      <c r="X5282" t="str">
        <f t="shared" si="330"/>
        <v>25-48 Months</v>
      </c>
      <c r="Y5282" s="1" t="str">
        <f t="shared" si="331"/>
        <v>Medium</v>
      </c>
    </row>
    <row r="5283" spans="1:25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 t="shared" si="328"/>
        <v>0</v>
      </c>
      <c r="W5283">
        <f t="shared" si="329"/>
        <v>1</v>
      </c>
      <c r="X5283" t="str">
        <f t="shared" si="330"/>
        <v>49+ Months</v>
      </c>
      <c r="Y5283" s="1" t="str">
        <f t="shared" si="331"/>
        <v>Medium</v>
      </c>
    </row>
    <row r="5284" spans="1:25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 t="shared" si="328"/>
        <v>1</v>
      </c>
      <c r="W5284">
        <f t="shared" si="329"/>
        <v>0</v>
      </c>
      <c r="X5284" t="str">
        <f t="shared" si="330"/>
        <v>0-12 Months</v>
      </c>
      <c r="Y5284" s="1" t="str">
        <f t="shared" si="331"/>
        <v>High</v>
      </c>
    </row>
    <row r="5285" spans="1:25" x14ac:dyDescent="0.2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 t="shared" si="328"/>
        <v>0</v>
      </c>
      <c r="W5285">
        <f t="shared" si="329"/>
        <v>1</v>
      </c>
      <c r="X5285" t="str">
        <f t="shared" si="330"/>
        <v>13-24 Months</v>
      </c>
      <c r="Y5285" s="1" t="str">
        <f t="shared" si="331"/>
        <v>Low</v>
      </c>
    </row>
    <row r="5286" spans="1:25" x14ac:dyDescent="0.2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 t="shared" si="328"/>
        <v>1</v>
      </c>
      <c r="W5286">
        <f t="shared" si="329"/>
        <v>0</v>
      </c>
      <c r="X5286" t="str">
        <f t="shared" si="330"/>
        <v>0-12 Months</v>
      </c>
      <c r="Y5286" s="1" t="str">
        <f t="shared" si="331"/>
        <v>Low</v>
      </c>
    </row>
    <row r="5287" spans="1:25" x14ac:dyDescent="0.2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 t="shared" si="328"/>
        <v>0</v>
      </c>
      <c r="W5287">
        <f t="shared" si="329"/>
        <v>1</v>
      </c>
      <c r="X5287" t="str">
        <f t="shared" si="330"/>
        <v>49+ Months</v>
      </c>
      <c r="Y5287" s="1" t="str">
        <f t="shared" si="331"/>
        <v>High</v>
      </c>
    </row>
    <row r="5288" spans="1:25" x14ac:dyDescent="0.2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 t="shared" si="328"/>
        <v>1</v>
      </c>
      <c r="W5288">
        <f t="shared" si="329"/>
        <v>0</v>
      </c>
      <c r="X5288" t="str">
        <f t="shared" si="330"/>
        <v>0-12 Months</v>
      </c>
      <c r="Y5288" s="1" t="str">
        <f t="shared" si="331"/>
        <v>Medium</v>
      </c>
    </row>
    <row r="5289" spans="1:25" x14ac:dyDescent="0.2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 t="shared" si="328"/>
        <v>0</v>
      </c>
      <c r="W5289">
        <f t="shared" si="329"/>
        <v>1</v>
      </c>
      <c r="X5289" t="str">
        <f t="shared" si="330"/>
        <v>0-12 Months</v>
      </c>
      <c r="Y5289" s="1" t="str">
        <f t="shared" si="331"/>
        <v>Low</v>
      </c>
    </row>
    <row r="5290" spans="1:25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 t="shared" si="328"/>
        <v>1</v>
      </c>
      <c r="W5290">
        <f t="shared" si="329"/>
        <v>0</v>
      </c>
      <c r="X5290" t="str">
        <f t="shared" si="330"/>
        <v>0-12 Months</v>
      </c>
      <c r="Y5290" s="1" t="str">
        <f t="shared" si="331"/>
        <v>Medium</v>
      </c>
    </row>
    <row r="5291" spans="1:25" x14ac:dyDescent="0.2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 t="shared" si="328"/>
        <v>0</v>
      </c>
      <c r="W5291">
        <f t="shared" si="329"/>
        <v>1</v>
      </c>
      <c r="X5291" t="str">
        <f t="shared" si="330"/>
        <v>49+ Months</v>
      </c>
      <c r="Y5291" s="1" t="str">
        <f t="shared" si="331"/>
        <v>High</v>
      </c>
    </row>
    <row r="5292" spans="1:25" x14ac:dyDescent="0.2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 t="shared" si="328"/>
        <v>0</v>
      </c>
      <c r="W5292">
        <f t="shared" si="329"/>
        <v>1</v>
      </c>
      <c r="X5292" t="str">
        <f t="shared" si="330"/>
        <v>49+ Months</v>
      </c>
      <c r="Y5292" s="1" t="str">
        <f t="shared" si="331"/>
        <v>Medium</v>
      </c>
    </row>
    <row r="5293" spans="1:25" x14ac:dyDescent="0.2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 t="shared" si="328"/>
        <v>0</v>
      </c>
      <c r="W5293">
        <f t="shared" si="329"/>
        <v>1</v>
      </c>
      <c r="X5293" t="str">
        <f t="shared" si="330"/>
        <v>49+ Months</v>
      </c>
      <c r="Y5293" s="1" t="str">
        <f t="shared" si="331"/>
        <v>High</v>
      </c>
    </row>
    <row r="5294" spans="1:25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 t="shared" si="328"/>
        <v>0</v>
      </c>
      <c r="W5294">
        <f t="shared" si="329"/>
        <v>1</v>
      </c>
      <c r="X5294" t="str">
        <f t="shared" si="330"/>
        <v>25-48 Months</v>
      </c>
      <c r="Y5294" s="1" t="str">
        <f t="shared" si="331"/>
        <v>Low</v>
      </c>
    </row>
    <row r="5295" spans="1:25" x14ac:dyDescent="0.2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 t="shared" si="328"/>
        <v>0</v>
      </c>
      <c r="W5295">
        <f t="shared" si="329"/>
        <v>1</v>
      </c>
      <c r="X5295" t="str">
        <f t="shared" si="330"/>
        <v>25-48 Months</v>
      </c>
      <c r="Y5295" s="1" t="str">
        <f t="shared" si="331"/>
        <v>High</v>
      </c>
    </row>
    <row r="5296" spans="1:25" x14ac:dyDescent="0.2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 t="shared" si="328"/>
        <v>0</v>
      </c>
      <c r="W5296">
        <f t="shared" si="329"/>
        <v>1</v>
      </c>
      <c r="X5296" t="str">
        <f t="shared" si="330"/>
        <v>49+ Months</v>
      </c>
      <c r="Y5296" s="1" t="str">
        <f t="shared" si="331"/>
        <v>High</v>
      </c>
    </row>
    <row r="5297" spans="1:25" x14ac:dyDescent="0.2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 t="shared" si="328"/>
        <v>0</v>
      </c>
      <c r="W5297">
        <f t="shared" si="329"/>
        <v>1</v>
      </c>
      <c r="X5297" t="str">
        <f t="shared" si="330"/>
        <v>49+ Months</v>
      </c>
      <c r="Y5297" s="1" t="str">
        <f t="shared" si="331"/>
        <v>High</v>
      </c>
    </row>
    <row r="5298" spans="1:25" x14ac:dyDescent="0.2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 t="shared" si="328"/>
        <v>0</v>
      </c>
      <c r="W5298">
        <f t="shared" si="329"/>
        <v>1</v>
      </c>
      <c r="X5298" t="str">
        <f t="shared" si="330"/>
        <v>49+ Months</v>
      </c>
      <c r="Y5298" s="1" t="str">
        <f t="shared" si="331"/>
        <v>Low</v>
      </c>
    </row>
    <row r="5299" spans="1:25" x14ac:dyDescent="0.2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 t="shared" si="328"/>
        <v>0</v>
      </c>
      <c r="W5299">
        <f t="shared" si="329"/>
        <v>1</v>
      </c>
      <c r="X5299" t="str">
        <f t="shared" si="330"/>
        <v>49+ Months</v>
      </c>
      <c r="Y5299" s="1" t="str">
        <f t="shared" si="331"/>
        <v>Low</v>
      </c>
    </row>
    <row r="5300" spans="1:25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 t="shared" si="328"/>
        <v>0</v>
      </c>
      <c r="W5300">
        <f t="shared" si="329"/>
        <v>1</v>
      </c>
      <c r="X5300" t="str">
        <f t="shared" si="330"/>
        <v>49+ Months</v>
      </c>
      <c r="Y5300" s="1" t="str">
        <f t="shared" si="331"/>
        <v>High</v>
      </c>
    </row>
    <row r="5301" spans="1:25" x14ac:dyDescent="0.2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 t="shared" si="328"/>
        <v>1</v>
      </c>
      <c r="W5301">
        <f t="shared" si="329"/>
        <v>0</v>
      </c>
      <c r="X5301" t="str">
        <f t="shared" si="330"/>
        <v>25-48 Months</v>
      </c>
      <c r="Y5301" s="1" t="str">
        <f t="shared" si="331"/>
        <v>High</v>
      </c>
    </row>
    <row r="5302" spans="1:25" x14ac:dyDescent="0.2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 t="shared" si="328"/>
        <v>1</v>
      </c>
      <c r="W5302">
        <f t="shared" si="329"/>
        <v>0</v>
      </c>
      <c r="X5302" t="str">
        <f t="shared" si="330"/>
        <v>0-12 Months</v>
      </c>
      <c r="Y5302" s="1" t="str">
        <f t="shared" si="331"/>
        <v>High</v>
      </c>
    </row>
    <row r="5303" spans="1:25" x14ac:dyDescent="0.2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 t="shared" si="328"/>
        <v>1</v>
      </c>
      <c r="W5303">
        <f t="shared" si="329"/>
        <v>0</v>
      </c>
      <c r="X5303" t="str">
        <f t="shared" si="330"/>
        <v>25-48 Months</v>
      </c>
      <c r="Y5303" s="1" t="str">
        <f t="shared" si="331"/>
        <v>High</v>
      </c>
    </row>
    <row r="5304" spans="1:25" x14ac:dyDescent="0.2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 t="shared" si="328"/>
        <v>0</v>
      </c>
      <c r="W5304">
        <f t="shared" si="329"/>
        <v>1</v>
      </c>
      <c r="X5304" t="str">
        <f t="shared" si="330"/>
        <v>0-12 Months</v>
      </c>
      <c r="Y5304" s="1" t="str">
        <f t="shared" si="331"/>
        <v>Medium</v>
      </c>
    </row>
    <row r="5305" spans="1:25" x14ac:dyDescent="0.2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 t="shared" si="328"/>
        <v>0</v>
      </c>
      <c r="W5305">
        <f t="shared" si="329"/>
        <v>1</v>
      </c>
      <c r="X5305" t="str">
        <f t="shared" si="330"/>
        <v>25-48 Months</v>
      </c>
      <c r="Y5305" s="1" t="str">
        <f t="shared" si="331"/>
        <v>Low</v>
      </c>
    </row>
    <row r="5306" spans="1:25" x14ac:dyDescent="0.2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 t="shared" si="328"/>
        <v>0</v>
      </c>
      <c r="W5306">
        <f t="shared" si="329"/>
        <v>1</v>
      </c>
      <c r="X5306" t="str">
        <f t="shared" si="330"/>
        <v>13-24 Months</v>
      </c>
      <c r="Y5306" s="1" t="str">
        <f t="shared" si="331"/>
        <v>Medium</v>
      </c>
    </row>
    <row r="5307" spans="1:25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 t="shared" si="328"/>
        <v>0</v>
      </c>
      <c r="W5307">
        <f t="shared" si="329"/>
        <v>1</v>
      </c>
      <c r="X5307" t="str">
        <f t="shared" si="330"/>
        <v>25-48 Months</v>
      </c>
      <c r="Y5307" s="1" t="str">
        <f t="shared" si="331"/>
        <v>Medium</v>
      </c>
    </row>
    <row r="5308" spans="1:25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 t="shared" si="328"/>
        <v>1</v>
      </c>
      <c r="W5308">
        <f t="shared" si="329"/>
        <v>0</v>
      </c>
      <c r="X5308" t="str">
        <f t="shared" si="330"/>
        <v>13-24 Months</v>
      </c>
      <c r="Y5308" s="1" t="str">
        <f t="shared" si="331"/>
        <v>High</v>
      </c>
    </row>
    <row r="5309" spans="1:25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 t="shared" si="328"/>
        <v>0</v>
      </c>
      <c r="W5309">
        <f t="shared" si="329"/>
        <v>1</v>
      </c>
      <c r="X5309" t="str">
        <f t="shared" si="330"/>
        <v>0-12 Months</v>
      </c>
      <c r="Y5309" s="1" t="str">
        <f t="shared" si="331"/>
        <v>High</v>
      </c>
    </row>
    <row r="5310" spans="1:25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 t="shared" si="328"/>
        <v>0</v>
      </c>
      <c r="W5310">
        <f t="shared" si="329"/>
        <v>1</v>
      </c>
      <c r="X5310" t="str">
        <f t="shared" si="330"/>
        <v>49+ Months</v>
      </c>
      <c r="Y5310" s="1" t="str">
        <f t="shared" si="331"/>
        <v>High</v>
      </c>
    </row>
    <row r="5311" spans="1:25" x14ac:dyDescent="0.2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 t="shared" si="328"/>
        <v>0</v>
      </c>
      <c r="W5311">
        <f t="shared" si="329"/>
        <v>1</v>
      </c>
      <c r="X5311" t="str">
        <f t="shared" si="330"/>
        <v>49+ Months</v>
      </c>
      <c r="Y5311" s="1" t="str">
        <f t="shared" si="331"/>
        <v>Low</v>
      </c>
    </row>
    <row r="5312" spans="1:25" x14ac:dyDescent="0.2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 t="shared" si="328"/>
        <v>0</v>
      </c>
      <c r="W5312">
        <f t="shared" si="329"/>
        <v>1</v>
      </c>
      <c r="X5312" t="str">
        <f t="shared" si="330"/>
        <v>25-48 Months</v>
      </c>
      <c r="Y5312" s="1" t="str">
        <f t="shared" si="331"/>
        <v>Medium</v>
      </c>
    </row>
    <row r="5313" spans="1:25" x14ac:dyDescent="0.2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 t="shared" si="328"/>
        <v>1</v>
      </c>
      <c r="W5313">
        <f t="shared" si="329"/>
        <v>0</v>
      </c>
      <c r="X5313" t="str">
        <f t="shared" si="330"/>
        <v>0-12 Months</v>
      </c>
      <c r="Y5313" s="1" t="str">
        <f t="shared" si="331"/>
        <v>Low</v>
      </c>
    </row>
    <row r="5314" spans="1:25" x14ac:dyDescent="0.2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 t="shared" ref="V5314:V5377" si="332">IF(U5314="Yes",1,0)</f>
        <v>1</v>
      </c>
      <c r="W5314">
        <f t="shared" ref="W5314:W5377" si="333">IF(U5314="No",1,0)</f>
        <v>0</v>
      </c>
      <c r="X5314" t="str">
        <f t="shared" ref="X5314:X5377" si="334">IF(F5314&lt;=12,"0-12 Months",IF(F5314&lt;=24,"13-24 Months",IF(F5314&lt;=48,"25-48 Months","49+ Months")))</f>
        <v>0-12 Months</v>
      </c>
      <c r="Y5314" s="1" t="str">
        <f t="shared" ref="Y5314:Y5377" si="335">IF(S5314&lt;50,"Low",IF(S5314&lt;80,"Medium","High"))</f>
        <v>Medium</v>
      </c>
    </row>
    <row r="5315" spans="1:25" x14ac:dyDescent="0.2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 t="shared" si="332"/>
        <v>0</v>
      </c>
      <c r="W5315">
        <f t="shared" si="333"/>
        <v>1</v>
      </c>
      <c r="X5315" t="str">
        <f t="shared" si="334"/>
        <v>49+ Months</v>
      </c>
      <c r="Y5315" s="1" t="str">
        <f t="shared" si="335"/>
        <v>High</v>
      </c>
    </row>
    <row r="5316" spans="1:25" x14ac:dyDescent="0.2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 t="shared" si="332"/>
        <v>0</v>
      </c>
      <c r="W5316">
        <f t="shared" si="333"/>
        <v>1</v>
      </c>
      <c r="X5316" t="str">
        <f t="shared" si="334"/>
        <v>49+ Months</v>
      </c>
      <c r="Y5316" s="1" t="str">
        <f t="shared" si="335"/>
        <v>Medium</v>
      </c>
    </row>
    <row r="5317" spans="1:25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 t="shared" si="332"/>
        <v>1</v>
      </c>
      <c r="W5317">
        <f t="shared" si="333"/>
        <v>0</v>
      </c>
      <c r="X5317" t="str">
        <f t="shared" si="334"/>
        <v>0-12 Months</v>
      </c>
      <c r="Y5317" s="1" t="str">
        <f t="shared" si="335"/>
        <v>Low</v>
      </c>
    </row>
    <row r="5318" spans="1:25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 t="shared" si="332"/>
        <v>0</v>
      </c>
      <c r="W5318">
        <f t="shared" si="333"/>
        <v>1</v>
      </c>
      <c r="X5318" t="str">
        <f t="shared" si="334"/>
        <v>49+ Months</v>
      </c>
      <c r="Y5318" s="1" t="str">
        <f t="shared" si="335"/>
        <v>High</v>
      </c>
    </row>
    <row r="5319" spans="1:25" x14ac:dyDescent="0.2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 t="shared" si="332"/>
        <v>1</v>
      </c>
      <c r="W5319">
        <f t="shared" si="333"/>
        <v>0</v>
      </c>
      <c r="X5319" t="str">
        <f t="shared" si="334"/>
        <v>0-12 Months</v>
      </c>
      <c r="Y5319" s="1" t="str">
        <f t="shared" si="335"/>
        <v>Low</v>
      </c>
    </row>
    <row r="5320" spans="1:25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 t="shared" si="332"/>
        <v>0</v>
      </c>
      <c r="W5320">
        <f t="shared" si="333"/>
        <v>1</v>
      </c>
      <c r="X5320" t="str">
        <f t="shared" si="334"/>
        <v>25-48 Months</v>
      </c>
      <c r="Y5320" s="1" t="str">
        <f t="shared" si="335"/>
        <v>Medium</v>
      </c>
    </row>
    <row r="5321" spans="1:25" x14ac:dyDescent="0.2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 t="shared" si="332"/>
        <v>0</v>
      </c>
      <c r="W5321">
        <f t="shared" si="333"/>
        <v>1</v>
      </c>
      <c r="X5321" t="str">
        <f t="shared" si="334"/>
        <v>49+ Months</v>
      </c>
      <c r="Y5321" s="1" t="str">
        <f t="shared" si="335"/>
        <v>High</v>
      </c>
    </row>
    <row r="5322" spans="1:25" x14ac:dyDescent="0.2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 t="shared" si="332"/>
        <v>0</v>
      </c>
      <c r="W5322">
        <f t="shared" si="333"/>
        <v>1</v>
      </c>
      <c r="X5322" t="str">
        <f t="shared" si="334"/>
        <v>25-48 Months</v>
      </c>
      <c r="Y5322" s="1" t="str">
        <f t="shared" si="335"/>
        <v>Medium</v>
      </c>
    </row>
    <row r="5323" spans="1:25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 t="shared" si="332"/>
        <v>0</v>
      </c>
      <c r="W5323">
        <f t="shared" si="333"/>
        <v>1</v>
      </c>
      <c r="X5323" t="str">
        <f t="shared" si="334"/>
        <v>49+ Months</v>
      </c>
      <c r="Y5323" s="1" t="str">
        <f t="shared" si="335"/>
        <v>High</v>
      </c>
    </row>
    <row r="5324" spans="1:25" x14ac:dyDescent="0.2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 t="shared" si="332"/>
        <v>0</v>
      </c>
      <c r="W5324">
        <f t="shared" si="333"/>
        <v>1</v>
      </c>
      <c r="X5324" t="str">
        <f t="shared" si="334"/>
        <v>25-48 Months</v>
      </c>
      <c r="Y5324" s="1" t="str">
        <f t="shared" si="335"/>
        <v>High</v>
      </c>
    </row>
    <row r="5325" spans="1:25" x14ac:dyDescent="0.2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 t="shared" si="332"/>
        <v>0</v>
      </c>
      <c r="W5325">
        <f t="shared" si="333"/>
        <v>1</v>
      </c>
      <c r="X5325" t="str">
        <f t="shared" si="334"/>
        <v>49+ Months</v>
      </c>
      <c r="Y5325" s="1" t="str">
        <f t="shared" si="335"/>
        <v>High</v>
      </c>
    </row>
    <row r="5326" spans="1:25" x14ac:dyDescent="0.2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 t="shared" si="332"/>
        <v>0</v>
      </c>
      <c r="W5326">
        <f t="shared" si="333"/>
        <v>1</v>
      </c>
      <c r="X5326" t="str">
        <f t="shared" si="334"/>
        <v>13-24 Months</v>
      </c>
      <c r="Y5326" s="1" t="str">
        <f t="shared" si="335"/>
        <v>Medium</v>
      </c>
    </row>
    <row r="5327" spans="1:25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 t="shared" si="332"/>
        <v>0</v>
      </c>
      <c r="W5327">
        <f t="shared" si="333"/>
        <v>1</v>
      </c>
      <c r="X5327" t="str">
        <f t="shared" si="334"/>
        <v>0-12 Months</v>
      </c>
      <c r="Y5327" s="1" t="str">
        <f t="shared" si="335"/>
        <v>Low</v>
      </c>
    </row>
    <row r="5328" spans="1:25" x14ac:dyDescent="0.2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 t="shared" si="332"/>
        <v>1</v>
      </c>
      <c r="W5328">
        <f t="shared" si="333"/>
        <v>0</v>
      </c>
      <c r="X5328" t="str">
        <f t="shared" si="334"/>
        <v>13-24 Months</v>
      </c>
      <c r="Y5328" s="1" t="str">
        <f t="shared" si="335"/>
        <v>Low</v>
      </c>
    </row>
    <row r="5329" spans="1:25" x14ac:dyDescent="0.2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 t="shared" si="332"/>
        <v>0</v>
      </c>
      <c r="W5329">
        <f t="shared" si="333"/>
        <v>1</v>
      </c>
      <c r="X5329" t="str">
        <f t="shared" si="334"/>
        <v>25-48 Months</v>
      </c>
      <c r="Y5329" s="1" t="str">
        <f t="shared" si="335"/>
        <v>Low</v>
      </c>
    </row>
    <row r="5330" spans="1:25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 t="shared" si="332"/>
        <v>0</v>
      </c>
      <c r="W5330">
        <f t="shared" si="333"/>
        <v>1</v>
      </c>
      <c r="X5330" t="str">
        <f t="shared" si="334"/>
        <v>49+ Months</v>
      </c>
      <c r="Y5330" s="1" t="str">
        <f t="shared" si="335"/>
        <v>Medium</v>
      </c>
    </row>
    <row r="5331" spans="1:25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 t="shared" si="332"/>
        <v>1</v>
      </c>
      <c r="W5331">
        <f t="shared" si="333"/>
        <v>0</v>
      </c>
      <c r="X5331" t="str">
        <f t="shared" si="334"/>
        <v>25-48 Months</v>
      </c>
      <c r="Y5331" s="1" t="str">
        <f t="shared" si="335"/>
        <v>Low</v>
      </c>
    </row>
    <row r="5332" spans="1:25" x14ac:dyDescent="0.2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 t="shared" si="332"/>
        <v>1</v>
      </c>
      <c r="W5332">
        <f t="shared" si="333"/>
        <v>0</v>
      </c>
      <c r="X5332" t="str">
        <f t="shared" si="334"/>
        <v>0-12 Months</v>
      </c>
      <c r="Y5332" s="1" t="str">
        <f t="shared" si="335"/>
        <v>High</v>
      </c>
    </row>
    <row r="5333" spans="1:25" x14ac:dyDescent="0.2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 t="shared" si="332"/>
        <v>0</v>
      </c>
      <c r="W5333">
        <f t="shared" si="333"/>
        <v>1</v>
      </c>
      <c r="X5333" t="str">
        <f t="shared" si="334"/>
        <v>25-48 Months</v>
      </c>
      <c r="Y5333" s="1" t="str">
        <f t="shared" si="335"/>
        <v>Medium</v>
      </c>
    </row>
    <row r="5334" spans="1:25" x14ac:dyDescent="0.2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 t="shared" si="332"/>
        <v>0</v>
      </c>
      <c r="W5334">
        <f t="shared" si="333"/>
        <v>1</v>
      </c>
      <c r="X5334" t="str">
        <f t="shared" si="334"/>
        <v>25-48 Months</v>
      </c>
      <c r="Y5334" s="1" t="str">
        <f t="shared" si="335"/>
        <v>Medium</v>
      </c>
    </row>
    <row r="5335" spans="1:25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 t="shared" si="332"/>
        <v>1</v>
      </c>
      <c r="W5335">
        <f t="shared" si="333"/>
        <v>0</v>
      </c>
      <c r="X5335" t="str">
        <f t="shared" si="334"/>
        <v>13-24 Months</v>
      </c>
      <c r="Y5335" s="1" t="str">
        <f t="shared" si="335"/>
        <v>High</v>
      </c>
    </row>
    <row r="5336" spans="1:25" x14ac:dyDescent="0.2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 t="shared" si="332"/>
        <v>1</v>
      </c>
      <c r="W5336">
        <f t="shared" si="333"/>
        <v>0</v>
      </c>
      <c r="X5336" t="str">
        <f t="shared" si="334"/>
        <v>49+ Months</v>
      </c>
      <c r="Y5336" s="1" t="str">
        <f t="shared" si="335"/>
        <v>High</v>
      </c>
    </row>
    <row r="5337" spans="1:25" x14ac:dyDescent="0.2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 t="shared" si="332"/>
        <v>0</v>
      </c>
      <c r="W5337">
        <f t="shared" si="333"/>
        <v>1</v>
      </c>
      <c r="X5337" t="str">
        <f t="shared" si="334"/>
        <v>49+ Months</v>
      </c>
      <c r="Y5337" s="1" t="str">
        <f t="shared" si="335"/>
        <v>High</v>
      </c>
    </row>
    <row r="5338" spans="1:25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 t="shared" si="332"/>
        <v>0</v>
      </c>
      <c r="W5338">
        <f t="shared" si="333"/>
        <v>1</v>
      </c>
      <c r="X5338" t="str">
        <f t="shared" si="334"/>
        <v>0-12 Months</v>
      </c>
      <c r="Y5338" s="1" t="str">
        <f t="shared" si="335"/>
        <v>Low</v>
      </c>
    </row>
    <row r="5339" spans="1:25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 t="shared" si="332"/>
        <v>0</v>
      </c>
      <c r="W5339">
        <f t="shared" si="333"/>
        <v>1</v>
      </c>
      <c r="X5339" t="str">
        <f t="shared" si="334"/>
        <v>13-24 Months</v>
      </c>
      <c r="Y5339" s="1" t="str">
        <f t="shared" si="335"/>
        <v>Medium</v>
      </c>
    </row>
    <row r="5340" spans="1:25" x14ac:dyDescent="0.2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 t="shared" si="332"/>
        <v>0</v>
      </c>
      <c r="W5340">
        <f t="shared" si="333"/>
        <v>1</v>
      </c>
      <c r="X5340" t="str">
        <f t="shared" si="334"/>
        <v>25-48 Months</v>
      </c>
      <c r="Y5340" s="1" t="str">
        <f t="shared" si="335"/>
        <v>Low</v>
      </c>
    </row>
    <row r="5341" spans="1:25" x14ac:dyDescent="0.2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 t="shared" si="332"/>
        <v>0</v>
      </c>
      <c r="W5341">
        <f t="shared" si="333"/>
        <v>1</v>
      </c>
      <c r="X5341" t="str">
        <f t="shared" si="334"/>
        <v>25-48 Months</v>
      </c>
      <c r="Y5341" s="1" t="str">
        <f t="shared" si="335"/>
        <v>High</v>
      </c>
    </row>
    <row r="5342" spans="1:25" x14ac:dyDescent="0.2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 t="shared" si="332"/>
        <v>0</v>
      </c>
      <c r="W5342">
        <f t="shared" si="333"/>
        <v>1</v>
      </c>
      <c r="X5342" t="str">
        <f t="shared" si="334"/>
        <v>25-48 Months</v>
      </c>
      <c r="Y5342" s="1" t="str">
        <f t="shared" si="335"/>
        <v>High</v>
      </c>
    </row>
    <row r="5343" spans="1:25" x14ac:dyDescent="0.2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 t="shared" si="332"/>
        <v>1</v>
      </c>
      <c r="W5343">
        <f t="shared" si="333"/>
        <v>0</v>
      </c>
      <c r="X5343" t="str">
        <f t="shared" si="334"/>
        <v>0-12 Months</v>
      </c>
      <c r="Y5343" s="1" t="str">
        <f t="shared" si="335"/>
        <v>Medium</v>
      </c>
    </row>
    <row r="5344" spans="1:25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 t="shared" si="332"/>
        <v>1</v>
      </c>
      <c r="W5344">
        <f t="shared" si="333"/>
        <v>0</v>
      </c>
      <c r="X5344" t="str">
        <f t="shared" si="334"/>
        <v>25-48 Months</v>
      </c>
      <c r="Y5344" s="1" t="str">
        <f t="shared" si="335"/>
        <v>Medium</v>
      </c>
    </row>
    <row r="5345" spans="1:25" x14ac:dyDescent="0.2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 t="shared" si="332"/>
        <v>0</v>
      </c>
      <c r="W5345">
        <f t="shared" si="333"/>
        <v>1</v>
      </c>
      <c r="X5345" t="str">
        <f t="shared" si="334"/>
        <v>49+ Months</v>
      </c>
      <c r="Y5345" s="1" t="str">
        <f t="shared" si="335"/>
        <v>Medium</v>
      </c>
    </row>
    <row r="5346" spans="1:25" x14ac:dyDescent="0.2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 t="shared" si="332"/>
        <v>0</v>
      </c>
      <c r="W5346">
        <f t="shared" si="333"/>
        <v>1</v>
      </c>
      <c r="X5346" t="str">
        <f t="shared" si="334"/>
        <v>49+ Months</v>
      </c>
      <c r="Y5346" s="1" t="str">
        <f t="shared" si="335"/>
        <v>Medium</v>
      </c>
    </row>
    <row r="5347" spans="1:25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 t="shared" si="332"/>
        <v>1</v>
      </c>
      <c r="W5347">
        <f t="shared" si="333"/>
        <v>0</v>
      </c>
      <c r="X5347" t="str">
        <f t="shared" si="334"/>
        <v>25-48 Months</v>
      </c>
      <c r="Y5347" s="1" t="str">
        <f t="shared" si="335"/>
        <v>High</v>
      </c>
    </row>
    <row r="5348" spans="1:25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 t="shared" si="332"/>
        <v>0</v>
      </c>
      <c r="W5348">
        <f t="shared" si="333"/>
        <v>1</v>
      </c>
      <c r="X5348" t="str">
        <f t="shared" si="334"/>
        <v>49+ Months</v>
      </c>
      <c r="Y5348" s="1" t="str">
        <f t="shared" si="335"/>
        <v>Medium</v>
      </c>
    </row>
    <row r="5349" spans="1:25" x14ac:dyDescent="0.2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 t="shared" si="332"/>
        <v>0</v>
      </c>
      <c r="W5349">
        <f t="shared" si="333"/>
        <v>1</v>
      </c>
      <c r="X5349" t="str">
        <f t="shared" si="334"/>
        <v>49+ Months</v>
      </c>
      <c r="Y5349" s="1" t="str">
        <f t="shared" si="335"/>
        <v>High</v>
      </c>
    </row>
    <row r="5350" spans="1:25" x14ac:dyDescent="0.2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 t="shared" si="332"/>
        <v>0</v>
      </c>
      <c r="W5350">
        <f t="shared" si="333"/>
        <v>1</v>
      </c>
      <c r="X5350" t="str">
        <f t="shared" si="334"/>
        <v>25-48 Months</v>
      </c>
      <c r="Y5350" s="1" t="str">
        <f t="shared" si="335"/>
        <v>Low</v>
      </c>
    </row>
    <row r="5351" spans="1:25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 t="shared" si="332"/>
        <v>0</v>
      </c>
      <c r="W5351">
        <f t="shared" si="333"/>
        <v>1</v>
      </c>
      <c r="X5351" t="str">
        <f t="shared" si="334"/>
        <v>49+ Months</v>
      </c>
      <c r="Y5351" s="1" t="str">
        <f t="shared" si="335"/>
        <v>High</v>
      </c>
    </row>
    <row r="5352" spans="1:25" x14ac:dyDescent="0.2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 t="shared" si="332"/>
        <v>0</v>
      </c>
      <c r="W5352">
        <f t="shared" si="333"/>
        <v>1</v>
      </c>
      <c r="X5352" t="str">
        <f t="shared" si="334"/>
        <v>49+ Months</v>
      </c>
      <c r="Y5352" s="1" t="str">
        <f t="shared" si="335"/>
        <v>Medium</v>
      </c>
    </row>
    <row r="5353" spans="1:25" x14ac:dyDescent="0.2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 t="shared" si="332"/>
        <v>1</v>
      </c>
      <c r="W5353">
        <f t="shared" si="333"/>
        <v>0</v>
      </c>
      <c r="X5353" t="str">
        <f t="shared" si="334"/>
        <v>0-12 Months</v>
      </c>
      <c r="Y5353" s="1" t="str">
        <f t="shared" si="335"/>
        <v>High</v>
      </c>
    </row>
    <row r="5354" spans="1:25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 t="shared" si="332"/>
        <v>0</v>
      </c>
      <c r="W5354">
        <f t="shared" si="333"/>
        <v>1</v>
      </c>
      <c r="X5354" t="str">
        <f t="shared" si="334"/>
        <v>25-48 Months</v>
      </c>
      <c r="Y5354" s="1" t="str">
        <f t="shared" si="335"/>
        <v>High</v>
      </c>
    </row>
    <row r="5355" spans="1:25" x14ac:dyDescent="0.2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 t="shared" si="332"/>
        <v>0</v>
      </c>
      <c r="W5355">
        <f t="shared" si="333"/>
        <v>1</v>
      </c>
      <c r="X5355" t="str">
        <f t="shared" si="334"/>
        <v>13-24 Months</v>
      </c>
      <c r="Y5355" s="1" t="str">
        <f t="shared" si="335"/>
        <v>Medium</v>
      </c>
    </row>
    <row r="5356" spans="1:25" x14ac:dyDescent="0.2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 t="shared" si="332"/>
        <v>0</v>
      </c>
      <c r="W5356">
        <f t="shared" si="333"/>
        <v>1</v>
      </c>
      <c r="X5356" t="str">
        <f t="shared" si="334"/>
        <v>0-12 Months</v>
      </c>
      <c r="Y5356" s="1" t="str">
        <f t="shared" si="335"/>
        <v>High</v>
      </c>
    </row>
    <row r="5357" spans="1:25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 t="shared" si="332"/>
        <v>0</v>
      </c>
      <c r="W5357">
        <f t="shared" si="333"/>
        <v>1</v>
      </c>
      <c r="X5357" t="str">
        <f t="shared" si="334"/>
        <v>25-48 Months</v>
      </c>
      <c r="Y5357" s="1" t="str">
        <f t="shared" si="335"/>
        <v>High</v>
      </c>
    </row>
    <row r="5358" spans="1:25" x14ac:dyDescent="0.2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 t="shared" si="332"/>
        <v>0</v>
      </c>
      <c r="W5358">
        <f t="shared" si="333"/>
        <v>1</v>
      </c>
      <c r="X5358" t="str">
        <f t="shared" si="334"/>
        <v>25-48 Months</v>
      </c>
      <c r="Y5358" s="1" t="str">
        <f t="shared" si="335"/>
        <v>Low</v>
      </c>
    </row>
    <row r="5359" spans="1:25" x14ac:dyDescent="0.2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 t="shared" si="332"/>
        <v>0</v>
      </c>
      <c r="W5359">
        <f t="shared" si="333"/>
        <v>1</v>
      </c>
      <c r="X5359" t="str">
        <f t="shared" si="334"/>
        <v>49+ Months</v>
      </c>
      <c r="Y5359" s="1" t="str">
        <f t="shared" si="335"/>
        <v>Low</v>
      </c>
    </row>
    <row r="5360" spans="1:25" x14ac:dyDescent="0.2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 t="shared" si="332"/>
        <v>0</v>
      </c>
      <c r="W5360">
        <f t="shared" si="333"/>
        <v>1</v>
      </c>
      <c r="X5360" t="str">
        <f t="shared" si="334"/>
        <v>13-24 Months</v>
      </c>
      <c r="Y5360" s="1" t="str">
        <f t="shared" si="335"/>
        <v>Low</v>
      </c>
    </row>
    <row r="5361" spans="1:25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 t="shared" si="332"/>
        <v>1</v>
      </c>
      <c r="W5361">
        <f t="shared" si="333"/>
        <v>0</v>
      </c>
      <c r="X5361" t="str">
        <f t="shared" si="334"/>
        <v>0-12 Months</v>
      </c>
      <c r="Y5361" s="1" t="str">
        <f t="shared" si="335"/>
        <v>Low</v>
      </c>
    </row>
    <row r="5362" spans="1:25" x14ac:dyDescent="0.2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 t="shared" si="332"/>
        <v>1</v>
      </c>
      <c r="W5362">
        <f t="shared" si="333"/>
        <v>0</v>
      </c>
      <c r="X5362" t="str">
        <f t="shared" si="334"/>
        <v>0-12 Months</v>
      </c>
      <c r="Y5362" s="1" t="str">
        <f t="shared" si="335"/>
        <v>High</v>
      </c>
    </row>
    <row r="5363" spans="1:25" x14ac:dyDescent="0.2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 t="shared" si="332"/>
        <v>0</v>
      </c>
      <c r="W5363">
        <f t="shared" si="333"/>
        <v>1</v>
      </c>
      <c r="X5363" t="str">
        <f t="shared" si="334"/>
        <v>0-12 Months</v>
      </c>
      <c r="Y5363" s="1" t="str">
        <f t="shared" si="335"/>
        <v>Low</v>
      </c>
    </row>
    <row r="5364" spans="1:25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 t="shared" si="332"/>
        <v>0</v>
      </c>
      <c r="W5364">
        <f t="shared" si="333"/>
        <v>1</v>
      </c>
      <c r="X5364" t="str">
        <f t="shared" si="334"/>
        <v>49+ Months</v>
      </c>
      <c r="Y5364" s="1" t="str">
        <f t="shared" si="335"/>
        <v>Low</v>
      </c>
    </row>
    <row r="5365" spans="1:25" x14ac:dyDescent="0.2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 t="shared" si="332"/>
        <v>0</v>
      </c>
      <c r="W5365">
        <f t="shared" si="333"/>
        <v>1</v>
      </c>
      <c r="X5365" t="str">
        <f t="shared" si="334"/>
        <v>49+ Months</v>
      </c>
      <c r="Y5365" s="1" t="str">
        <f t="shared" si="335"/>
        <v>Low</v>
      </c>
    </row>
    <row r="5366" spans="1:25" x14ac:dyDescent="0.2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 t="shared" si="332"/>
        <v>1</v>
      </c>
      <c r="W5366">
        <f t="shared" si="333"/>
        <v>0</v>
      </c>
      <c r="X5366" t="str">
        <f t="shared" si="334"/>
        <v>13-24 Months</v>
      </c>
      <c r="Y5366" s="1" t="str">
        <f t="shared" si="335"/>
        <v>High</v>
      </c>
    </row>
    <row r="5367" spans="1:25" x14ac:dyDescent="0.2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 t="shared" si="332"/>
        <v>0</v>
      </c>
      <c r="W5367">
        <f t="shared" si="333"/>
        <v>1</v>
      </c>
      <c r="X5367" t="str">
        <f t="shared" si="334"/>
        <v>49+ Months</v>
      </c>
      <c r="Y5367" s="1" t="str">
        <f t="shared" si="335"/>
        <v>Low</v>
      </c>
    </row>
    <row r="5368" spans="1:25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 t="shared" si="332"/>
        <v>0</v>
      </c>
      <c r="W5368">
        <f t="shared" si="333"/>
        <v>1</v>
      </c>
      <c r="X5368" t="str">
        <f t="shared" si="334"/>
        <v>49+ Months</v>
      </c>
      <c r="Y5368" s="1" t="str">
        <f t="shared" si="335"/>
        <v>Medium</v>
      </c>
    </row>
    <row r="5369" spans="1:25" x14ac:dyDescent="0.2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 t="shared" si="332"/>
        <v>0</v>
      </c>
      <c r="W5369">
        <f t="shared" si="333"/>
        <v>1</v>
      </c>
      <c r="X5369" t="str">
        <f t="shared" si="334"/>
        <v>49+ Months</v>
      </c>
      <c r="Y5369" s="1" t="str">
        <f t="shared" si="335"/>
        <v>High</v>
      </c>
    </row>
    <row r="5370" spans="1:25" x14ac:dyDescent="0.2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 t="shared" si="332"/>
        <v>1</v>
      </c>
      <c r="W5370">
        <f t="shared" si="333"/>
        <v>0</v>
      </c>
      <c r="X5370" t="str">
        <f t="shared" si="334"/>
        <v>0-12 Months</v>
      </c>
      <c r="Y5370" s="1" t="str">
        <f t="shared" si="335"/>
        <v>Medium</v>
      </c>
    </row>
    <row r="5371" spans="1:25" x14ac:dyDescent="0.2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 t="shared" si="332"/>
        <v>0</v>
      </c>
      <c r="W5371">
        <f t="shared" si="333"/>
        <v>1</v>
      </c>
      <c r="X5371" t="str">
        <f t="shared" si="334"/>
        <v>25-48 Months</v>
      </c>
      <c r="Y5371" s="1" t="str">
        <f t="shared" si="335"/>
        <v>Low</v>
      </c>
    </row>
    <row r="5372" spans="1:25" x14ac:dyDescent="0.2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 t="shared" si="332"/>
        <v>0</v>
      </c>
      <c r="W5372">
        <f t="shared" si="333"/>
        <v>1</v>
      </c>
      <c r="X5372" t="str">
        <f t="shared" si="334"/>
        <v>13-24 Months</v>
      </c>
      <c r="Y5372" s="1" t="str">
        <f t="shared" si="335"/>
        <v>High</v>
      </c>
    </row>
    <row r="5373" spans="1:25" x14ac:dyDescent="0.2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 t="shared" si="332"/>
        <v>1</v>
      </c>
      <c r="W5373">
        <f t="shared" si="333"/>
        <v>0</v>
      </c>
      <c r="X5373" t="str">
        <f t="shared" si="334"/>
        <v>49+ Months</v>
      </c>
      <c r="Y5373" s="1" t="str">
        <f t="shared" si="335"/>
        <v>High</v>
      </c>
    </row>
    <row r="5374" spans="1:25" x14ac:dyDescent="0.2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 t="shared" si="332"/>
        <v>0</v>
      </c>
      <c r="W5374">
        <f t="shared" si="333"/>
        <v>1</v>
      </c>
      <c r="X5374" t="str">
        <f t="shared" si="334"/>
        <v>49+ Months</v>
      </c>
      <c r="Y5374" s="1" t="str">
        <f t="shared" si="335"/>
        <v>High</v>
      </c>
    </row>
    <row r="5375" spans="1:25" x14ac:dyDescent="0.2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 t="shared" si="332"/>
        <v>0</v>
      </c>
      <c r="W5375">
        <f t="shared" si="333"/>
        <v>1</v>
      </c>
      <c r="X5375" t="str">
        <f t="shared" si="334"/>
        <v>49+ Months</v>
      </c>
      <c r="Y5375" s="1" t="str">
        <f t="shared" si="335"/>
        <v>High</v>
      </c>
    </row>
    <row r="5376" spans="1:25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 t="shared" si="332"/>
        <v>1</v>
      </c>
      <c r="W5376">
        <f t="shared" si="333"/>
        <v>0</v>
      </c>
      <c r="X5376" t="str">
        <f t="shared" si="334"/>
        <v>0-12 Months</v>
      </c>
      <c r="Y5376" s="1" t="str">
        <f t="shared" si="335"/>
        <v>Medium</v>
      </c>
    </row>
    <row r="5377" spans="1:25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 t="shared" si="332"/>
        <v>1</v>
      </c>
      <c r="W5377">
        <f t="shared" si="333"/>
        <v>0</v>
      </c>
      <c r="X5377" t="str">
        <f t="shared" si="334"/>
        <v>0-12 Months</v>
      </c>
      <c r="Y5377" s="1" t="str">
        <f t="shared" si="335"/>
        <v>Medium</v>
      </c>
    </row>
    <row r="5378" spans="1:25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 t="shared" ref="V5378:V5441" si="336">IF(U5378="Yes",1,0)</f>
        <v>0</v>
      </c>
      <c r="W5378">
        <f t="shared" ref="W5378:W5441" si="337">IF(U5378="No",1,0)</f>
        <v>1</v>
      </c>
      <c r="X5378" t="str">
        <f t="shared" ref="X5378:X5441" si="338">IF(F5378&lt;=12,"0-12 Months",IF(F5378&lt;=24,"13-24 Months",IF(F5378&lt;=48,"25-48 Months","49+ Months")))</f>
        <v>13-24 Months</v>
      </c>
      <c r="Y5378" s="1" t="str">
        <f t="shared" ref="Y5378:Y5441" si="339">IF(S5378&lt;50,"Low",IF(S5378&lt;80,"Medium","High"))</f>
        <v>Low</v>
      </c>
    </row>
    <row r="5379" spans="1:25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 t="shared" si="336"/>
        <v>0</v>
      </c>
      <c r="W5379">
        <f t="shared" si="337"/>
        <v>1</v>
      </c>
      <c r="X5379" t="str">
        <f t="shared" si="338"/>
        <v>0-12 Months</v>
      </c>
      <c r="Y5379" s="1" t="str">
        <f t="shared" si="339"/>
        <v>Medium</v>
      </c>
    </row>
    <row r="5380" spans="1:25" x14ac:dyDescent="0.2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 t="shared" si="336"/>
        <v>0</v>
      </c>
      <c r="W5380">
        <f t="shared" si="337"/>
        <v>1</v>
      </c>
      <c r="X5380" t="str">
        <f t="shared" si="338"/>
        <v>49+ Months</v>
      </c>
      <c r="Y5380" s="1" t="str">
        <f t="shared" si="339"/>
        <v>Medium</v>
      </c>
    </row>
    <row r="5381" spans="1:25" x14ac:dyDescent="0.2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 t="shared" si="336"/>
        <v>0</v>
      </c>
      <c r="W5381">
        <f t="shared" si="337"/>
        <v>1</v>
      </c>
      <c r="X5381" t="str">
        <f t="shared" si="338"/>
        <v>49+ Months</v>
      </c>
      <c r="Y5381" s="1" t="str">
        <f t="shared" si="339"/>
        <v>High</v>
      </c>
    </row>
    <row r="5382" spans="1:25" x14ac:dyDescent="0.2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 t="shared" si="336"/>
        <v>1</v>
      </c>
      <c r="W5382">
        <f t="shared" si="337"/>
        <v>0</v>
      </c>
      <c r="X5382" t="str">
        <f t="shared" si="338"/>
        <v>0-12 Months</v>
      </c>
      <c r="Y5382" s="1" t="str">
        <f t="shared" si="339"/>
        <v>High</v>
      </c>
    </row>
    <row r="5383" spans="1:25" x14ac:dyDescent="0.2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 t="shared" si="336"/>
        <v>1</v>
      </c>
      <c r="W5383">
        <f t="shared" si="337"/>
        <v>0</v>
      </c>
      <c r="X5383" t="str">
        <f t="shared" si="338"/>
        <v>25-48 Months</v>
      </c>
      <c r="Y5383" s="1" t="str">
        <f t="shared" si="339"/>
        <v>Medium</v>
      </c>
    </row>
    <row r="5384" spans="1:25" x14ac:dyDescent="0.2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 t="shared" si="336"/>
        <v>0</v>
      </c>
      <c r="W5384">
        <f t="shared" si="337"/>
        <v>1</v>
      </c>
      <c r="X5384" t="str">
        <f t="shared" si="338"/>
        <v>49+ Months</v>
      </c>
      <c r="Y5384" s="1" t="str">
        <f t="shared" si="339"/>
        <v>Medium</v>
      </c>
    </row>
    <row r="5385" spans="1:25" x14ac:dyDescent="0.2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 t="shared" si="336"/>
        <v>1</v>
      </c>
      <c r="W5385">
        <f t="shared" si="337"/>
        <v>0</v>
      </c>
      <c r="X5385" t="str">
        <f t="shared" si="338"/>
        <v>25-48 Months</v>
      </c>
      <c r="Y5385" s="1" t="str">
        <f t="shared" si="339"/>
        <v>High</v>
      </c>
    </row>
    <row r="5386" spans="1:25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 t="shared" si="336"/>
        <v>0</v>
      </c>
      <c r="W5386">
        <f t="shared" si="337"/>
        <v>1</v>
      </c>
      <c r="X5386" t="str">
        <f t="shared" si="338"/>
        <v>0-12 Months</v>
      </c>
      <c r="Y5386" s="1" t="str">
        <f t="shared" si="339"/>
        <v>Medium</v>
      </c>
    </row>
    <row r="5387" spans="1:25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 t="shared" si="336"/>
        <v>1</v>
      </c>
      <c r="W5387">
        <f t="shared" si="337"/>
        <v>0</v>
      </c>
      <c r="X5387" t="str">
        <f t="shared" si="338"/>
        <v>49+ Months</v>
      </c>
      <c r="Y5387" s="1" t="str">
        <f t="shared" si="339"/>
        <v>High</v>
      </c>
    </row>
    <row r="5388" spans="1:25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 t="shared" si="336"/>
        <v>0</v>
      </c>
      <c r="W5388">
        <f t="shared" si="337"/>
        <v>1</v>
      </c>
      <c r="X5388" t="str">
        <f t="shared" si="338"/>
        <v>0-12 Months</v>
      </c>
      <c r="Y5388" s="1" t="str">
        <f t="shared" si="339"/>
        <v>Low</v>
      </c>
    </row>
    <row r="5389" spans="1:25" x14ac:dyDescent="0.2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 t="shared" si="336"/>
        <v>0</v>
      </c>
      <c r="W5389">
        <f t="shared" si="337"/>
        <v>1</v>
      </c>
      <c r="X5389" t="str">
        <f t="shared" si="338"/>
        <v>0-12 Months</v>
      </c>
      <c r="Y5389" s="1" t="str">
        <f t="shared" si="339"/>
        <v>Low</v>
      </c>
    </row>
    <row r="5390" spans="1:25" x14ac:dyDescent="0.2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 t="shared" si="336"/>
        <v>1</v>
      </c>
      <c r="W5390">
        <f t="shared" si="337"/>
        <v>0</v>
      </c>
      <c r="X5390" t="str">
        <f t="shared" si="338"/>
        <v>0-12 Months</v>
      </c>
      <c r="Y5390" s="1" t="str">
        <f t="shared" si="339"/>
        <v>Low</v>
      </c>
    </row>
    <row r="5391" spans="1:25" x14ac:dyDescent="0.2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 t="shared" si="336"/>
        <v>0</v>
      </c>
      <c r="W5391">
        <f t="shared" si="337"/>
        <v>1</v>
      </c>
      <c r="X5391" t="str">
        <f t="shared" si="338"/>
        <v>49+ Months</v>
      </c>
      <c r="Y5391" s="1" t="str">
        <f t="shared" si="339"/>
        <v>Medium</v>
      </c>
    </row>
    <row r="5392" spans="1:25" x14ac:dyDescent="0.2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 t="shared" si="336"/>
        <v>1</v>
      </c>
      <c r="W5392">
        <f t="shared" si="337"/>
        <v>0</v>
      </c>
      <c r="X5392" t="str">
        <f t="shared" si="338"/>
        <v>0-12 Months</v>
      </c>
      <c r="Y5392" s="1" t="str">
        <f t="shared" si="339"/>
        <v>High</v>
      </c>
    </row>
    <row r="5393" spans="1:25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 t="shared" si="336"/>
        <v>0</v>
      </c>
      <c r="W5393">
        <f t="shared" si="337"/>
        <v>1</v>
      </c>
      <c r="X5393" t="str">
        <f t="shared" si="338"/>
        <v>0-12 Months</v>
      </c>
      <c r="Y5393" s="1" t="str">
        <f t="shared" si="339"/>
        <v>Low</v>
      </c>
    </row>
    <row r="5394" spans="1:25" x14ac:dyDescent="0.2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 t="shared" si="336"/>
        <v>0</v>
      </c>
      <c r="W5394">
        <f t="shared" si="337"/>
        <v>1</v>
      </c>
      <c r="X5394" t="str">
        <f t="shared" si="338"/>
        <v>49+ Months</v>
      </c>
      <c r="Y5394" s="1" t="str">
        <f t="shared" si="339"/>
        <v>Low</v>
      </c>
    </row>
    <row r="5395" spans="1:25" x14ac:dyDescent="0.2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 t="shared" si="336"/>
        <v>1</v>
      </c>
      <c r="W5395">
        <f t="shared" si="337"/>
        <v>0</v>
      </c>
      <c r="X5395" t="str">
        <f t="shared" si="338"/>
        <v>0-12 Months</v>
      </c>
      <c r="Y5395" s="1" t="str">
        <f t="shared" si="339"/>
        <v>Medium</v>
      </c>
    </row>
    <row r="5396" spans="1:25" x14ac:dyDescent="0.2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 t="shared" si="336"/>
        <v>0</v>
      </c>
      <c r="W5396">
        <f t="shared" si="337"/>
        <v>1</v>
      </c>
      <c r="X5396" t="str">
        <f t="shared" si="338"/>
        <v>25-48 Months</v>
      </c>
      <c r="Y5396" s="1" t="str">
        <f t="shared" si="339"/>
        <v>High</v>
      </c>
    </row>
    <row r="5397" spans="1:25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 t="shared" si="336"/>
        <v>1</v>
      </c>
      <c r="W5397">
        <f t="shared" si="337"/>
        <v>0</v>
      </c>
      <c r="X5397" t="str">
        <f t="shared" si="338"/>
        <v>0-12 Months</v>
      </c>
      <c r="Y5397" s="1" t="str">
        <f t="shared" si="339"/>
        <v>High</v>
      </c>
    </row>
    <row r="5398" spans="1:25" x14ac:dyDescent="0.2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 t="shared" si="336"/>
        <v>0</v>
      </c>
      <c r="W5398">
        <f t="shared" si="337"/>
        <v>1</v>
      </c>
      <c r="X5398" t="str">
        <f t="shared" si="338"/>
        <v>25-48 Months</v>
      </c>
      <c r="Y5398" s="1" t="str">
        <f t="shared" si="339"/>
        <v>Low</v>
      </c>
    </row>
    <row r="5399" spans="1:25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 t="shared" si="336"/>
        <v>1</v>
      </c>
      <c r="W5399">
        <f t="shared" si="337"/>
        <v>0</v>
      </c>
      <c r="X5399" t="str">
        <f t="shared" si="338"/>
        <v>0-12 Months</v>
      </c>
      <c r="Y5399" s="1" t="str">
        <f t="shared" si="339"/>
        <v>High</v>
      </c>
    </row>
    <row r="5400" spans="1:25" x14ac:dyDescent="0.2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 t="shared" si="336"/>
        <v>0</v>
      </c>
      <c r="W5400">
        <f t="shared" si="337"/>
        <v>1</v>
      </c>
      <c r="X5400" t="str">
        <f t="shared" si="338"/>
        <v>0-12 Months</v>
      </c>
      <c r="Y5400" s="1" t="str">
        <f t="shared" si="339"/>
        <v>Low</v>
      </c>
    </row>
    <row r="5401" spans="1:25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 t="shared" si="336"/>
        <v>0</v>
      </c>
      <c r="W5401">
        <f t="shared" si="337"/>
        <v>1</v>
      </c>
      <c r="X5401" t="str">
        <f t="shared" si="338"/>
        <v>49+ Months</v>
      </c>
      <c r="Y5401" s="1" t="str">
        <f t="shared" si="339"/>
        <v>Low</v>
      </c>
    </row>
    <row r="5402" spans="1:25" x14ac:dyDescent="0.2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 t="shared" si="336"/>
        <v>0</v>
      </c>
      <c r="W5402">
        <f t="shared" si="337"/>
        <v>1</v>
      </c>
      <c r="X5402" t="str">
        <f t="shared" si="338"/>
        <v>25-48 Months</v>
      </c>
      <c r="Y5402" s="1" t="str">
        <f t="shared" si="339"/>
        <v>Medium</v>
      </c>
    </row>
    <row r="5403" spans="1:25" x14ac:dyDescent="0.2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 t="shared" si="336"/>
        <v>0</v>
      </c>
      <c r="W5403">
        <f t="shared" si="337"/>
        <v>1</v>
      </c>
      <c r="X5403" t="str">
        <f t="shared" si="338"/>
        <v>25-48 Months</v>
      </c>
      <c r="Y5403" s="1" t="str">
        <f t="shared" si="339"/>
        <v>Low</v>
      </c>
    </row>
    <row r="5404" spans="1:25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 t="shared" si="336"/>
        <v>0</v>
      </c>
      <c r="W5404">
        <f t="shared" si="337"/>
        <v>1</v>
      </c>
      <c r="X5404" t="str">
        <f t="shared" si="338"/>
        <v>0-12 Months</v>
      </c>
      <c r="Y5404" s="1" t="str">
        <f t="shared" si="339"/>
        <v>Low</v>
      </c>
    </row>
    <row r="5405" spans="1:25" x14ac:dyDescent="0.2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 t="shared" si="336"/>
        <v>0</v>
      </c>
      <c r="W5405">
        <f t="shared" si="337"/>
        <v>1</v>
      </c>
      <c r="X5405" t="str">
        <f t="shared" si="338"/>
        <v>49+ Months</v>
      </c>
      <c r="Y5405" s="1" t="str">
        <f t="shared" si="339"/>
        <v>High</v>
      </c>
    </row>
    <row r="5406" spans="1:25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 t="shared" si="336"/>
        <v>0</v>
      </c>
      <c r="W5406">
        <f t="shared" si="337"/>
        <v>1</v>
      </c>
      <c r="X5406" t="str">
        <f t="shared" si="338"/>
        <v>25-48 Months</v>
      </c>
      <c r="Y5406" s="1" t="str">
        <f t="shared" si="339"/>
        <v>High</v>
      </c>
    </row>
    <row r="5407" spans="1:25" x14ac:dyDescent="0.2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 t="shared" si="336"/>
        <v>0</v>
      </c>
      <c r="W5407">
        <f t="shared" si="337"/>
        <v>1</v>
      </c>
      <c r="X5407" t="str">
        <f t="shared" si="338"/>
        <v>25-48 Months</v>
      </c>
      <c r="Y5407" s="1" t="str">
        <f t="shared" si="339"/>
        <v>High</v>
      </c>
    </row>
    <row r="5408" spans="1:25" x14ac:dyDescent="0.2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 t="shared" si="336"/>
        <v>0</v>
      </c>
      <c r="W5408">
        <f t="shared" si="337"/>
        <v>1</v>
      </c>
      <c r="X5408" t="str">
        <f t="shared" si="338"/>
        <v>49+ Months</v>
      </c>
      <c r="Y5408" s="1" t="str">
        <f t="shared" si="339"/>
        <v>High</v>
      </c>
    </row>
    <row r="5409" spans="1:25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 t="shared" si="336"/>
        <v>0</v>
      </c>
      <c r="W5409">
        <f t="shared" si="337"/>
        <v>1</v>
      </c>
      <c r="X5409" t="str">
        <f t="shared" si="338"/>
        <v>49+ Months</v>
      </c>
      <c r="Y5409" s="1" t="str">
        <f t="shared" si="339"/>
        <v>Medium</v>
      </c>
    </row>
    <row r="5410" spans="1:25" x14ac:dyDescent="0.2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 t="shared" si="336"/>
        <v>0</v>
      </c>
      <c r="W5410">
        <f t="shared" si="337"/>
        <v>1</v>
      </c>
      <c r="X5410" t="str">
        <f t="shared" si="338"/>
        <v>49+ Months</v>
      </c>
      <c r="Y5410" s="1" t="str">
        <f t="shared" si="339"/>
        <v>Low</v>
      </c>
    </row>
    <row r="5411" spans="1:25" x14ac:dyDescent="0.2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 t="shared" si="336"/>
        <v>1</v>
      </c>
      <c r="W5411">
        <f t="shared" si="337"/>
        <v>0</v>
      </c>
      <c r="X5411" t="str">
        <f t="shared" si="338"/>
        <v>25-48 Months</v>
      </c>
      <c r="Y5411" s="1" t="str">
        <f t="shared" si="339"/>
        <v>High</v>
      </c>
    </row>
    <row r="5412" spans="1:25" x14ac:dyDescent="0.2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 t="shared" si="336"/>
        <v>0</v>
      </c>
      <c r="W5412">
        <f t="shared" si="337"/>
        <v>1</v>
      </c>
      <c r="X5412" t="str">
        <f t="shared" si="338"/>
        <v>49+ Months</v>
      </c>
      <c r="Y5412" s="1" t="str">
        <f t="shared" si="339"/>
        <v>High</v>
      </c>
    </row>
    <row r="5413" spans="1:25" x14ac:dyDescent="0.2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 t="shared" si="336"/>
        <v>1</v>
      </c>
      <c r="W5413">
        <f t="shared" si="337"/>
        <v>0</v>
      </c>
      <c r="X5413" t="str">
        <f t="shared" si="338"/>
        <v>0-12 Months</v>
      </c>
      <c r="Y5413" s="1" t="str">
        <f t="shared" si="339"/>
        <v>Low</v>
      </c>
    </row>
    <row r="5414" spans="1:25" x14ac:dyDescent="0.2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 t="shared" si="336"/>
        <v>0</v>
      </c>
      <c r="W5414">
        <f t="shared" si="337"/>
        <v>1</v>
      </c>
      <c r="X5414" t="str">
        <f t="shared" si="338"/>
        <v>49+ Months</v>
      </c>
      <c r="Y5414" s="1" t="str">
        <f t="shared" si="339"/>
        <v>High</v>
      </c>
    </row>
    <row r="5415" spans="1:25" x14ac:dyDescent="0.2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 t="shared" si="336"/>
        <v>0</v>
      </c>
      <c r="W5415">
        <f t="shared" si="337"/>
        <v>1</v>
      </c>
      <c r="X5415" t="str">
        <f t="shared" si="338"/>
        <v>13-24 Months</v>
      </c>
      <c r="Y5415" s="1" t="str">
        <f t="shared" si="339"/>
        <v>High</v>
      </c>
    </row>
    <row r="5416" spans="1:25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 t="shared" si="336"/>
        <v>1</v>
      </c>
      <c r="W5416">
        <f t="shared" si="337"/>
        <v>0</v>
      </c>
      <c r="X5416" t="str">
        <f t="shared" si="338"/>
        <v>49+ Months</v>
      </c>
      <c r="Y5416" s="1" t="str">
        <f t="shared" si="339"/>
        <v>High</v>
      </c>
    </row>
    <row r="5417" spans="1:25" x14ac:dyDescent="0.2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 t="shared" si="336"/>
        <v>0</v>
      </c>
      <c r="W5417">
        <f t="shared" si="337"/>
        <v>1</v>
      </c>
      <c r="X5417" t="str">
        <f t="shared" si="338"/>
        <v>13-24 Months</v>
      </c>
      <c r="Y5417" s="1" t="str">
        <f t="shared" si="339"/>
        <v>Medium</v>
      </c>
    </row>
    <row r="5418" spans="1:25" x14ac:dyDescent="0.2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 t="shared" si="336"/>
        <v>0</v>
      </c>
      <c r="W5418">
        <f t="shared" si="337"/>
        <v>1</v>
      </c>
      <c r="X5418" t="str">
        <f t="shared" si="338"/>
        <v>49+ Months</v>
      </c>
      <c r="Y5418" s="1" t="str">
        <f t="shared" si="339"/>
        <v>High</v>
      </c>
    </row>
    <row r="5419" spans="1:25" x14ac:dyDescent="0.2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 t="shared" si="336"/>
        <v>0</v>
      </c>
      <c r="W5419">
        <f t="shared" si="337"/>
        <v>1</v>
      </c>
      <c r="X5419" t="str">
        <f t="shared" si="338"/>
        <v>13-24 Months</v>
      </c>
      <c r="Y5419" s="1" t="str">
        <f t="shared" si="339"/>
        <v>Medium</v>
      </c>
    </row>
    <row r="5420" spans="1:25" x14ac:dyDescent="0.2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 t="shared" si="336"/>
        <v>0</v>
      </c>
      <c r="W5420">
        <f t="shared" si="337"/>
        <v>1</v>
      </c>
      <c r="X5420" t="str">
        <f t="shared" si="338"/>
        <v>13-24 Months</v>
      </c>
      <c r="Y5420" s="1" t="str">
        <f t="shared" si="339"/>
        <v>High</v>
      </c>
    </row>
    <row r="5421" spans="1:25" x14ac:dyDescent="0.2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 t="shared" si="336"/>
        <v>0</v>
      </c>
      <c r="W5421">
        <f t="shared" si="337"/>
        <v>1</v>
      </c>
      <c r="X5421" t="str">
        <f t="shared" si="338"/>
        <v>49+ Months</v>
      </c>
      <c r="Y5421" s="1" t="str">
        <f t="shared" si="339"/>
        <v>Medium</v>
      </c>
    </row>
    <row r="5422" spans="1:25" x14ac:dyDescent="0.2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 t="shared" si="336"/>
        <v>0</v>
      </c>
      <c r="W5422">
        <f t="shared" si="337"/>
        <v>1</v>
      </c>
      <c r="X5422" t="str">
        <f t="shared" si="338"/>
        <v>49+ Months</v>
      </c>
      <c r="Y5422" s="1" t="str">
        <f t="shared" si="339"/>
        <v>High</v>
      </c>
    </row>
    <row r="5423" spans="1:25" x14ac:dyDescent="0.2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 t="shared" si="336"/>
        <v>0</v>
      </c>
      <c r="W5423">
        <f t="shared" si="337"/>
        <v>1</v>
      </c>
      <c r="X5423" t="str">
        <f t="shared" si="338"/>
        <v>25-48 Months</v>
      </c>
      <c r="Y5423" s="1" t="str">
        <f t="shared" si="339"/>
        <v>Low</v>
      </c>
    </row>
    <row r="5424" spans="1:25" x14ac:dyDescent="0.2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 t="shared" si="336"/>
        <v>0</v>
      </c>
      <c r="W5424">
        <f t="shared" si="337"/>
        <v>1</v>
      </c>
      <c r="X5424" t="str">
        <f t="shared" si="338"/>
        <v>49+ Months</v>
      </c>
      <c r="Y5424" s="1" t="str">
        <f t="shared" si="339"/>
        <v>Medium</v>
      </c>
    </row>
    <row r="5425" spans="1:25" x14ac:dyDescent="0.2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 t="shared" si="336"/>
        <v>1</v>
      </c>
      <c r="W5425">
        <f t="shared" si="337"/>
        <v>0</v>
      </c>
      <c r="X5425" t="str">
        <f t="shared" si="338"/>
        <v>13-24 Months</v>
      </c>
      <c r="Y5425" s="1" t="str">
        <f t="shared" si="339"/>
        <v>High</v>
      </c>
    </row>
    <row r="5426" spans="1:25" x14ac:dyDescent="0.2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 t="shared" si="336"/>
        <v>0</v>
      </c>
      <c r="W5426">
        <f t="shared" si="337"/>
        <v>1</v>
      </c>
      <c r="X5426" t="str">
        <f t="shared" si="338"/>
        <v>49+ Months</v>
      </c>
      <c r="Y5426" s="1" t="str">
        <f t="shared" si="339"/>
        <v>High</v>
      </c>
    </row>
    <row r="5427" spans="1:25" x14ac:dyDescent="0.2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 t="shared" si="336"/>
        <v>0</v>
      </c>
      <c r="W5427">
        <f t="shared" si="337"/>
        <v>1</v>
      </c>
      <c r="X5427" t="str">
        <f t="shared" si="338"/>
        <v>25-48 Months</v>
      </c>
      <c r="Y5427" s="1" t="str">
        <f t="shared" si="339"/>
        <v>High</v>
      </c>
    </row>
    <row r="5428" spans="1:25" x14ac:dyDescent="0.2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 t="shared" si="336"/>
        <v>0</v>
      </c>
      <c r="W5428">
        <f t="shared" si="337"/>
        <v>1</v>
      </c>
      <c r="X5428" t="str">
        <f t="shared" si="338"/>
        <v>49+ Months</v>
      </c>
      <c r="Y5428" s="1" t="str">
        <f t="shared" si="339"/>
        <v>Medium</v>
      </c>
    </row>
    <row r="5429" spans="1:25" x14ac:dyDescent="0.2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 t="shared" si="336"/>
        <v>0</v>
      </c>
      <c r="W5429">
        <f t="shared" si="337"/>
        <v>1</v>
      </c>
      <c r="X5429" t="str">
        <f t="shared" si="338"/>
        <v>25-48 Months</v>
      </c>
      <c r="Y5429" s="1" t="str">
        <f t="shared" si="339"/>
        <v>High</v>
      </c>
    </row>
    <row r="5430" spans="1:25" x14ac:dyDescent="0.2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 t="shared" si="336"/>
        <v>1</v>
      </c>
      <c r="W5430">
        <f t="shared" si="337"/>
        <v>0</v>
      </c>
      <c r="X5430" t="str">
        <f t="shared" si="338"/>
        <v>0-12 Months</v>
      </c>
      <c r="Y5430" s="1" t="str">
        <f t="shared" si="339"/>
        <v>High</v>
      </c>
    </row>
    <row r="5431" spans="1:25" x14ac:dyDescent="0.2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 t="shared" si="336"/>
        <v>0</v>
      </c>
      <c r="W5431">
        <f t="shared" si="337"/>
        <v>1</v>
      </c>
      <c r="X5431" t="str">
        <f t="shared" si="338"/>
        <v>49+ Months</v>
      </c>
      <c r="Y5431" s="1" t="str">
        <f t="shared" si="339"/>
        <v>Medium</v>
      </c>
    </row>
    <row r="5432" spans="1:25" x14ac:dyDescent="0.2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 t="shared" si="336"/>
        <v>1</v>
      </c>
      <c r="W5432">
        <f t="shared" si="337"/>
        <v>0</v>
      </c>
      <c r="X5432" t="str">
        <f t="shared" si="338"/>
        <v>0-12 Months</v>
      </c>
      <c r="Y5432" s="1" t="str">
        <f t="shared" si="339"/>
        <v>Medium</v>
      </c>
    </row>
    <row r="5433" spans="1:25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 t="shared" si="336"/>
        <v>0</v>
      </c>
      <c r="W5433">
        <f t="shared" si="337"/>
        <v>1</v>
      </c>
      <c r="X5433" t="str">
        <f t="shared" si="338"/>
        <v>25-48 Months</v>
      </c>
      <c r="Y5433" s="1" t="str">
        <f t="shared" si="339"/>
        <v>Low</v>
      </c>
    </row>
    <row r="5434" spans="1:25" x14ac:dyDescent="0.2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 t="shared" si="336"/>
        <v>1</v>
      </c>
      <c r="W5434">
        <f t="shared" si="337"/>
        <v>0</v>
      </c>
      <c r="X5434" t="str">
        <f t="shared" si="338"/>
        <v>0-12 Months</v>
      </c>
      <c r="Y5434" s="1" t="str">
        <f t="shared" si="339"/>
        <v>Medium</v>
      </c>
    </row>
    <row r="5435" spans="1:25" x14ac:dyDescent="0.2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 t="shared" si="336"/>
        <v>0</v>
      </c>
      <c r="W5435">
        <f t="shared" si="337"/>
        <v>1</v>
      </c>
      <c r="X5435" t="str">
        <f t="shared" si="338"/>
        <v>49+ Months</v>
      </c>
      <c r="Y5435" s="1" t="str">
        <f t="shared" si="339"/>
        <v>High</v>
      </c>
    </row>
    <row r="5436" spans="1:25" x14ac:dyDescent="0.2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 t="shared" si="336"/>
        <v>0</v>
      </c>
      <c r="W5436">
        <f t="shared" si="337"/>
        <v>1</v>
      </c>
      <c r="X5436" t="str">
        <f t="shared" si="338"/>
        <v>25-48 Months</v>
      </c>
      <c r="Y5436" s="1" t="str">
        <f t="shared" si="339"/>
        <v>High</v>
      </c>
    </row>
    <row r="5437" spans="1:25" x14ac:dyDescent="0.2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 t="shared" si="336"/>
        <v>0</v>
      </c>
      <c r="W5437">
        <f t="shared" si="337"/>
        <v>1</v>
      </c>
      <c r="X5437" t="str">
        <f t="shared" si="338"/>
        <v>25-48 Months</v>
      </c>
      <c r="Y5437" s="1" t="str">
        <f t="shared" si="339"/>
        <v>High</v>
      </c>
    </row>
    <row r="5438" spans="1:25" x14ac:dyDescent="0.2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 t="shared" si="336"/>
        <v>0</v>
      </c>
      <c r="W5438">
        <f t="shared" si="337"/>
        <v>1</v>
      </c>
      <c r="X5438" t="str">
        <f t="shared" si="338"/>
        <v>0-12 Months</v>
      </c>
      <c r="Y5438" s="1" t="str">
        <f t="shared" si="339"/>
        <v>Medium</v>
      </c>
    </row>
    <row r="5439" spans="1:25" x14ac:dyDescent="0.2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 t="shared" si="336"/>
        <v>1</v>
      </c>
      <c r="W5439">
        <f t="shared" si="337"/>
        <v>0</v>
      </c>
      <c r="X5439" t="str">
        <f t="shared" si="338"/>
        <v>13-24 Months</v>
      </c>
      <c r="Y5439" s="1" t="str">
        <f t="shared" si="339"/>
        <v>Medium</v>
      </c>
    </row>
    <row r="5440" spans="1:25" x14ac:dyDescent="0.2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 t="shared" si="336"/>
        <v>1</v>
      </c>
      <c r="W5440">
        <f t="shared" si="337"/>
        <v>0</v>
      </c>
      <c r="X5440" t="str">
        <f t="shared" si="338"/>
        <v>0-12 Months</v>
      </c>
      <c r="Y5440" s="1" t="str">
        <f t="shared" si="339"/>
        <v>Medium</v>
      </c>
    </row>
    <row r="5441" spans="1:25" x14ac:dyDescent="0.2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 t="shared" si="336"/>
        <v>1</v>
      </c>
      <c r="W5441">
        <f t="shared" si="337"/>
        <v>0</v>
      </c>
      <c r="X5441" t="str">
        <f t="shared" si="338"/>
        <v>25-48 Months</v>
      </c>
      <c r="Y5441" s="1" t="str">
        <f t="shared" si="339"/>
        <v>High</v>
      </c>
    </row>
    <row r="5442" spans="1:25" x14ac:dyDescent="0.2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 t="shared" ref="V5442:V5505" si="340">IF(U5442="Yes",1,0)</f>
        <v>0</v>
      </c>
      <c r="W5442">
        <f t="shared" ref="W5442:W5505" si="341">IF(U5442="No",1,0)</f>
        <v>1</v>
      </c>
      <c r="X5442" t="str">
        <f t="shared" ref="X5442:X5505" si="342">IF(F5442&lt;=12,"0-12 Months",IF(F5442&lt;=24,"13-24 Months",IF(F5442&lt;=48,"25-48 Months","49+ Months")))</f>
        <v>13-24 Months</v>
      </c>
      <c r="Y5442" s="1" t="str">
        <f t="shared" ref="Y5442:Y5505" si="343">IF(S5442&lt;50,"Low",IF(S5442&lt;80,"Medium","High"))</f>
        <v>Low</v>
      </c>
    </row>
    <row r="5443" spans="1:25" x14ac:dyDescent="0.2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 t="shared" si="340"/>
        <v>1</v>
      </c>
      <c r="W5443">
        <f t="shared" si="341"/>
        <v>0</v>
      </c>
      <c r="X5443" t="str">
        <f t="shared" si="342"/>
        <v>49+ Months</v>
      </c>
      <c r="Y5443" s="1" t="str">
        <f t="shared" si="343"/>
        <v>Medium</v>
      </c>
    </row>
    <row r="5444" spans="1:25" x14ac:dyDescent="0.2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 t="shared" si="340"/>
        <v>0</v>
      </c>
      <c r="W5444">
        <f t="shared" si="341"/>
        <v>1</v>
      </c>
      <c r="X5444" t="str">
        <f t="shared" si="342"/>
        <v>49+ Months</v>
      </c>
      <c r="Y5444" s="1" t="str">
        <f t="shared" si="343"/>
        <v>Low</v>
      </c>
    </row>
    <row r="5445" spans="1:25" x14ac:dyDescent="0.2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 t="shared" si="340"/>
        <v>0</v>
      </c>
      <c r="W5445">
        <f t="shared" si="341"/>
        <v>1</v>
      </c>
      <c r="X5445" t="str">
        <f t="shared" si="342"/>
        <v>25-48 Months</v>
      </c>
      <c r="Y5445" s="1" t="str">
        <f t="shared" si="343"/>
        <v>Low</v>
      </c>
    </row>
    <row r="5446" spans="1:25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 t="shared" si="340"/>
        <v>0</v>
      </c>
      <c r="W5446">
        <f t="shared" si="341"/>
        <v>1</v>
      </c>
      <c r="X5446" t="str">
        <f t="shared" si="342"/>
        <v>25-48 Months</v>
      </c>
      <c r="Y5446" s="1" t="str">
        <f t="shared" si="343"/>
        <v>High</v>
      </c>
    </row>
    <row r="5447" spans="1:25" x14ac:dyDescent="0.2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 t="shared" si="340"/>
        <v>0</v>
      </c>
      <c r="W5447">
        <f t="shared" si="341"/>
        <v>1</v>
      </c>
      <c r="X5447" t="str">
        <f t="shared" si="342"/>
        <v>49+ Months</v>
      </c>
      <c r="Y5447" s="1" t="str">
        <f t="shared" si="343"/>
        <v>High</v>
      </c>
    </row>
    <row r="5448" spans="1:25" x14ac:dyDescent="0.2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 t="shared" si="340"/>
        <v>1</v>
      </c>
      <c r="W5448">
        <f t="shared" si="341"/>
        <v>0</v>
      </c>
      <c r="X5448" t="str">
        <f t="shared" si="342"/>
        <v>0-12 Months</v>
      </c>
      <c r="Y5448" s="1" t="str">
        <f t="shared" si="343"/>
        <v>Low</v>
      </c>
    </row>
    <row r="5449" spans="1:25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 t="shared" si="340"/>
        <v>0</v>
      </c>
      <c r="W5449">
        <f t="shared" si="341"/>
        <v>1</v>
      </c>
      <c r="X5449" t="str">
        <f t="shared" si="342"/>
        <v>0-12 Months</v>
      </c>
      <c r="Y5449" s="1" t="str">
        <f t="shared" si="343"/>
        <v>Low</v>
      </c>
    </row>
    <row r="5450" spans="1:25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 t="shared" si="340"/>
        <v>0</v>
      </c>
      <c r="W5450">
        <f t="shared" si="341"/>
        <v>1</v>
      </c>
      <c r="X5450" t="str">
        <f t="shared" si="342"/>
        <v>25-48 Months</v>
      </c>
      <c r="Y5450" s="1" t="str">
        <f t="shared" si="343"/>
        <v>High</v>
      </c>
    </row>
    <row r="5451" spans="1:25" x14ac:dyDescent="0.2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 t="shared" si="340"/>
        <v>0</v>
      </c>
      <c r="W5451">
        <f t="shared" si="341"/>
        <v>1</v>
      </c>
      <c r="X5451" t="str">
        <f t="shared" si="342"/>
        <v>49+ Months</v>
      </c>
      <c r="Y5451" s="1" t="str">
        <f t="shared" si="343"/>
        <v>High</v>
      </c>
    </row>
    <row r="5452" spans="1:25" x14ac:dyDescent="0.2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 t="shared" si="340"/>
        <v>1</v>
      </c>
      <c r="W5452">
        <f t="shared" si="341"/>
        <v>0</v>
      </c>
      <c r="X5452" t="str">
        <f t="shared" si="342"/>
        <v>0-12 Months</v>
      </c>
      <c r="Y5452" s="1" t="str">
        <f t="shared" si="343"/>
        <v>High</v>
      </c>
    </row>
    <row r="5453" spans="1:25" x14ac:dyDescent="0.2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 t="shared" si="340"/>
        <v>0</v>
      </c>
      <c r="W5453">
        <f t="shared" si="341"/>
        <v>1</v>
      </c>
      <c r="X5453" t="str">
        <f t="shared" si="342"/>
        <v>49+ Months</v>
      </c>
      <c r="Y5453" s="1" t="str">
        <f t="shared" si="343"/>
        <v>High</v>
      </c>
    </row>
    <row r="5454" spans="1:25" x14ac:dyDescent="0.2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 t="shared" si="340"/>
        <v>0</v>
      </c>
      <c r="W5454">
        <f t="shared" si="341"/>
        <v>1</v>
      </c>
      <c r="X5454" t="str">
        <f t="shared" si="342"/>
        <v>25-48 Months</v>
      </c>
      <c r="Y5454" s="1" t="str">
        <f t="shared" si="343"/>
        <v>Medium</v>
      </c>
    </row>
    <row r="5455" spans="1:25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 t="shared" si="340"/>
        <v>0</v>
      </c>
      <c r="W5455">
        <f t="shared" si="341"/>
        <v>1</v>
      </c>
      <c r="X5455" t="str">
        <f t="shared" si="342"/>
        <v>49+ Months</v>
      </c>
      <c r="Y5455" s="1" t="str">
        <f t="shared" si="343"/>
        <v>Medium</v>
      </c>
    </row>
    <row r="5456" spans="1:25" x14ac:dyDescent="0.2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 t="shared" si="340"/>
        <v>1</v>
      </c>
      <c r="W5456">
        <f t="shared" si="341"/>
        <v>0</v>
      </c>
      <c r="X5456" t="str">
        <f t="shared" si="342"/>
        <v>0-12 Months</v>
      </c>
      <c r="Y5456" s="1" t="str">
        <f t="shared" si="343"/>
        <v>Medium</v>
      </c>
    </row>
    <row r="5457" spans="1:25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 t="shared" si="340"/>
        <v>0</v>
      </c>
      <c r="W5457">
        <f t="shared" si="341"/>
        <v>1</v>
      </c>
      <c r="X5457" t="str">
        <f t="shared" si="342"/>
        <v>0-12 Months</v>
      </c>
      <c r="Y5457" s="1" t="str">
        <f t="shared" si="343"/>
        <v>Low</v>
      </c>
    </row>
    <row r="5458" spans="1:25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 t="shared" si="340"/>
        <v>1</v>
      </c>
      <c r="W5458">
        <f t="shared" si="341"/>
        <v>0</v>
      </c>
      <c r="X5458" t="str">
        <f t="shared" si="342"/>
        <v>13-24 Months</v>
      </c>
      <c r="Y5458" s="1" t="str">
        <f t="shared" si="343"/>
        <v>Low</v>
      </c>
    </row>
    <row r="5459" spans="1:25" x14ac:dyDescent="0.2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 t="shared" si="340"/>
        <v>0</v>
      </c>
      <c r="W5459">
        <f t="shared" si="341"/>
        <v>1</v>
      </c>
      <c r="X5459" t="str">
        <f t="shared" si="342"/>
        <v>0-12 Months</v>
      </c>
      <c r="Y5459" s="1" t="str">
        <f t="shared" si="343"/>
        <v>Medium</v>
      </c>
    </row>
    <row r="5460" spans="1:25" x14ac:dyDescent="0.2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 t="shared" si="340"/>
        <v>1</v>
      </c>
      <c r="W5460">
        <f t="shared" si="341"/>
        <v>0</v>
      </c>
      <c r="X5460" t="str">
        <f t="shared" si="342"/>
        <v>0-12 Months</v>
      </c>
      <c r="Y5460" s="1" t="str">
        <f t="shared" si="343"/>
        <v>Medium</v>
      </c>
    </row>
    <row r="5461" spans="1:25" x14ac:dyDescent="0.2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 t="shared" si="340"/>
        <v>0</v>
      </c>
      <c r="W5461">
        <f t="shared" si="341"/>
        <v>1</v>
      </c>
      <c r="X5461" t="str">
        <f t="shared" si="342"/>
        <v>0-12 Months</v>
      </c>
      <c r="Y5461" s="1" t="str">
        <f t="shared" si="343"/>
        <v>High</v>
      </c>
    </row>
    <row r="5462" spans="1:25" x14ac:dyDescent="0.2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 t="shared" si="340"/>
        <v>0</v>
      </c>
      <c r="W5462">
        <f t="shared" si="341"/>
        <v>1</v>
      </c>
      <c r="X5462" t="str">
        <f t="shared" si="342"/>
        <v>25-48 Months</v>
      </c>
      <c r="Y5462" s="1" t="str">
        <f t="shared" si="343"/>
        <v>Low</v>
      </c>
    </row>
    <row r="5463" spans="1:25" x14ac:dyDescent="0.2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 t="shared" si="340"/>
        <v>0</v>
      </c>
      <c r="W5463">
        <f t="shared" si="341"/>
        <v>1</v>
      </c>
      <c r="X5463" t="str">
        <f t="shared" si="342"/>
        <v>49+ Months</v>
      </c>
      <c r="Y5463" s="1" t="str">
        <f t="shared" si="343"/>
        <v>Medium</v>
      </c>
    </row>
    <row r="5464" spans="1:25" x14ac:dyDescent="0.2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 t="shared" si="340"/>
        <v>0</v>
      </c>
      <c r="W5464">
        <f t="shared" si="341"/>
        <v>1</v>
      </c>
      <c r="X5464" t="str">
        <f t="shared" si="342"/>
        <v>49+ Months</v>
      </c>
      <c r="Y5464" s="1" t="str">
        <f t="shared" si="343"/>
        <v>Medium</v>
      </c>
    </row>
    <row r="5465" spans="1:25" x14ac:dyDescent="0.2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 t="shared" si="340"/>
        <v>1</v>
      </c>
      <c r="W5465">
        <f t="shared" si="341"/>
        <v>0</v>
      </c>
      <c r="X5465" t="str">
        <f t="shared" si="342"/>
        <v>0-12 Months</v>
      </c>
      <c r="Y5465" s="1" t="str">
        <f t="shared" si="343"/>
        <v>Low</v>
      </c>
    </row>
    <row r="5466" spans="1:25" x14ac:dyDescent="0.2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 t="shared" si="340"/>
        <v>0</v>
      </c>
      <c r="W5466">
        <f t="shared" si="341"/>
        <v>1</v>
      </c>
      <c r="X5466" t="str">
        <f t="shared" si="342"/>
        <v>25-48 Months</v>
      </c>
      <c r="Y5466" s="1" t="str">
        <f t="shared" si="343"/>
        <v>Low</v>
      </c>
    </row>
    <row r="5467" spans="1:25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 t="shared" si="340"/>
        <v>0</v>
      </c>
      <c r="W5467">
        <f t="shared" si="341"/>
        <v>1</v>
      </c>
      <c r="X5467" t="str">
        <f t="shared" si="342"/>
        <v>25-48 Months</v>
      </c>
      <c r="Y5467" s="1" t="str">
        <f t="shared" si="343"/>
        <v>Medium</v>
      </c>
    </row>
    <row r="5468" spans="1:25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 t="shared" si="340"/>
        <v>0</v>
      </c>
      <c r="W5468">
        <f t="shared" si="341"/>
        <v>1</v>
      </c>
      <c r="X5468" t="str">
        <f t="shared" si="342"/>
        <v>0-12 Months</v>
      </c>
      <c r="Y5468" s="1" t="str">
        <f t="shared" si="343"/>
        <v>Low</v>
      </c>
    </row>
    <row r="5469" spans="1:25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 t="shared" si="340"/>
        <v>0</v>
      </c>
      <c r="W5469">
        <f t="shared" si="341"/>
        <v>1</v>
      </c>
      <c r="X5469" t="str">
        <f t="shared" si="342"/>
        <v>49+ Months</v>
      </c>
      <c r="Y5469" s="1" t="str">
        <f t="shared" si="343"/>
        <v>High</v>
      </c>
    </row>
    <row r="5470" spans="1:25" x14ac:dyDescent="0.2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 t="shared" si="340"/>
        <v>1</v>
      </c>
      <c r="W5470">
        <f t="shared" si="341"/>
        <v>0</v>
      </c>
      <c r="X5470" t="str">
        <f t="shared" si="342"/>
        <v>0-12 Months</v>
      </c>
      <c r="Y5470" s="1" t="str">
        <f t="shared" si="343"/>
        <v>Medium</v>
      </c>
    </row>
    <row r="5471" spans="1:25" x14ac:dyDescent="0.2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 t="shared" si="340"/>
        <v>0</v>
      </c>
      <c r="W5471">
        <f t="shared" si="341"/>
        <v>1</v>
      </c>
      <c r="X5471" t="str">
        <f t="shared" si="342"/>
        <v>25-48 Months</v>
      </c>
      <c r="Y5471" s="1" t="str">
        <f t="shared" si="343"/>
        <v>Medium</v>
      </c>
    </row>
    <row r="5472" spans="1:25" x14ac:dyDescent="0.2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 t="shared" si="340"/>
        <v>0</v>
      </c>
      <c r="W5472">
        <f t="shared" si="341"/>
        <v>1</v>
      </c>
      <c r="X5472" t="str">
        <f t="shared" si="342"/>
        <v>49+ Months</v>
      </c>
      <c r="Y5472" s="1" t="str">
        <f t="shared" si="343"/>
        <v>High</v>
      </c>
    </row>
    <row r="5473" spans="1:25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 t="shared" si="340"/>
        <v>0</v>
      </c>
      <c r="W5473">
        <f t="shared" si="341"/>
        <v>1</v>
      </c>
      <c r="X5473" t="str">
        <f t="shared" si="342"/>
        <v>25-48 Months</v>
      </c>
      <c r="Y5473" s="1" t="str">
        <f t="shared" si="343"/>
        <v>Medium</v>
      </c>
    </row>
    <row r="5474" spans="1:25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 t="shared" si="340"/>
        <v>0</v>
      </c>
      <c r="W5474">
        <f t="shared" si="341"/>
        <v>1</v>
      </c>
      <c r="X5474" t="str">
        <f t="shared" si="342"/>
        <v>13-24 Months</v>
      </c>
      <c r="Y5474" s="1" t="str">
        <f t="shared" si="343"/>
        <v>High</v>
      </c>
    </row>
    <row r="5475" spans="1:25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 t="shared" si="340"/>
        <v>0</v>
      </c>
      <c r="W5475">
        <f t="shared" si="341"/>
        <v>1</v>
      </c>
      <c r="X5475" t="str">
        <f t="shared" si="342"/>
        <v>13-24 Months</v>
      </c>
      <c r="Y5475" s="1" t="str">
        <f t="shared" si="343"/>
        <v>Low</v>
      </c>
    </row>
    <row r="5476" spans="1:25" x14ac:dyDescent="0.2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 t="shared" si="340"/>
        <v>0</v>
      </c>
      <c r="W5476">
        <f t="shared" si="341"/>
        <v>1</v>
      </c>
      <c r="X5476" t="str">
        <f t="shared" si="342"/>
        <v>0-12 Months</v>
      </c>
      <c r="Y5476" s="1" t="str">
        <f t="shared" si="343"/>
        <v>High</v>
      </c>
    </row>
    <row r="5477" spans="1:25" x14ac:dyDescent="0.2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 t="shared" si="340"/>
        <v>1</v>
      </c>
      <c r="W5477">
        <f t="shared" si="341"/>
        <v>0</v>
      </c>
      <c r="X5477" t="str">
        <f t="shared" si="342"/>
        <v>49+ Months</v>
      </c>
      <c r="Y5477" s="1" t="str">
        <f t="shared" si="343"/>
        <v>Medium</v>
      </c>
    </row>
    <row r="5478" spans="1:25" x14ac:dyDescent="0.2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 t="shared" si="340"/>
        <v>1</v>
      </c>
      <c r="W5478">
        <f t="shared" si="341"/>
        <v>0</v>
      </c>
      <c r="X5478" t="str">
        <f t="shared" si="342"/>
        <v>0-12 Months</v>
      </c>
      <c r="Y5478" s="1" t="str">
        <f t="shared" si="343"/>
        <v>High</v>
      </c>
    </row>
    <row r="5479" spans="1:25" x14ac:dyDescent="0.2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 t="shared" si="340"/>
        <v>0</v>
      </c>
      <c r="W5479">
        <f t="shared" si="341"/>
        <v>1</v>
      </c>
      <c r="X5479" t="str">
        <f t="shared" si="342"/>
        <v>49+ Months</v>
      </c>
      <c r="Y5479" s="1" t="str">
        <f t="shared" si="343"/>
        <v>High</v>
      </c>
    </row>
    <row r="5480" spans="1:25" x14ac:dyDescent="0.2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 t="shared" si="340"/>
        <v>0</v>
      </c>
      <c r="W5480">
        <f t="shared" si="341"/>
        <v>1</v>
      </c>
      <c r="X5480" t="str">
        <f t="shared" si="342"/>
        <v>49+ Months</v>
      </c>
      <c r="Y5480" s="1" t="str">
        <f t="shared" si="343"/>
        <v>High</v>
      </c>
    </row>
    <row r="5481" spans="1:25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 t="shared" si="340"/>
        <v>0</v>
      </c>
      <c r="W5481">
        <f t="shared" si="341"/>
        <v>1</v>
      </c>
      <c r="X5481" t="str">
        <f t="shared" si="342"/>
        <v>0-12 Months</v>
      </c>
      <c r="Y5481" s="1" t="str">
        <f t="shared" si="343"/>
        <v>Medium</v>
      </c>
    </row>
    <row r="5482" spans="1:25" x14ac:dyDescent="0.2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 t="shared" si="340"/>
        <v>0</v>
      </c>
      <c r="W5482">
        <f t="shared" si="341"/>
        <v>1</v>
      </c>
      <c r="X5482" t="str">
        <f t="shared" si="342"/>
        <v>0-12 Months</v>
      </c>
      <c r="Y5482" s="1" t="str">
        <f t="shared" si="343"/>
        <v>Low</v>
      </c>
    </row>
    <row r="5483" spans="1:25" x14ac:dyDescent="0.2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 t="shared" si="340"/>
        <v>1</v>
      </c>
      <c r="W5483">
        <f t="shared" si="341"/>
        <v>0</v>
      </c>
      <c r="X5483" t="str">
        <f t="shared" si="342"/>
        <v>0-12 Months</v>
      </c>
      <c r="Y5483" s="1" t="str">
        <f t="shared" si="343"/>
        <v>Medium</v>
      </c>
    </row>
    <row r="5484" spans="1:25" x14ac:dyDescent="0.2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 t="shared" si="340"/>
        <v>1</v>
      </c>
      <c r="W5484">
        <f t="shared" si="341"/>
        <v>0</v>
      </c>
      <c r="X5484" t="str">
        <f t="shared" si="342"/>
        <v>25-48 Months</v>
      </c>
      <c r="Y5484" s="1" t="str">
        <f t="shared" si="343"/>
        <v>Medium</v>
      </c>
    </row>
    <row r="5485" spans="1:25" x14ac:dyDescent="0.2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 t="shared" si="340"/>
        <v>1</v>
      </c>
      <c r="W5485">
        <f t="shared" si="341"/>
        <v>0</v>
      </c>
      <c r="X5485" t="str">
        <f t="shared" si="342"/>
        <v>49+ Months</v>
      </c>
      <c r="Y5485" s="1" t="str">
        <f t="shared" si="343"/>
        <v>Medium</v>
      </c>
    </row>
    <row r="5486" spans="1:25" x14ac:dyDescent="0.2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 t="shared" si="340"/>
        <v>0</v>
      </c>
      <c r="W5486">
        <f t="shared" si="341"/>
        <v>1</v>
      </c>
      <c r="X5486" t="str">
        <f t="shared" si="342"/>
        <v>49+ Months</v>
      </c>
      <c r="Y5486" s="1" t="str">
        <f t="shared" si="343"/>
        <v>High</v>
      </c>
    </row>
    <row r="5487" spans="1:25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 t="shared" si="340"/>
        <v>0</v>
      </c>
      <c r="W5487">
        <f t="shared" si="341"/>
        <v>1</v>
      </c>
      <c r="X5487" t="str">
        <f t="shared" si="342"/>
        <v>0-12 Months</v>
      </c>
      <c r="Y5487" s="1" t="str">
        <f t="shared" si="343"/>
        <v>Medium</v>
      </c>
    </row>
    <row r="5488" spans="1:25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 t="shared" si="340"/>
        <v>0</v>
      </c>
      <c r="W5488">
        <f t="shared" si="341"/>
        <v>1</v>
      </c>
      <c r="X5488" t="str">
        <f t="shared" si="342"/>
        <v>49+ Months</v>
      </c>
      <c r="Y5488" s="1" t="str">
        <f t="shared" si="343"/>
        <v>High</v>
      </c>
    </row>
    <row r="5489" spans="1:25" x14ac:dyDescent="0.2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 t="shared" si="340"/>
        <v>0</v>
      </c>
      <c r="W5489">
        <f t="shared" si="341"/>
        <v>1</v>
      </c>
      <c r="X5489" t="str">
        <f t="shared" si="342"/>
        <v>25-48 Months</v>
      </c>
      <c r="Y5489" s="1" t="str">
        <f t="shared" si="343"/>
        <v>Low</v>
      </c>
    </row>
    <row r="5490" spans="1:25" x14ac:dyDescent="0.2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 t="shared" si="340"/>
        <v>0</v>
      </c>
      <c r="W5490">
        <f t="shared" si="341"/>
        <v>1</v>
      </c>
      <c r="X5490" t="str">
        <f t="shared" si="342"/>
        <v>25-48 Months</v>
      </c>
      <c r="Y5490" s="1" t="str">
        <f t="shared" si="343"/>
        <v>High</v>
      </c>
    </row>
    <row r="5491" spans="1:25" x14ac:dyDescent="0.2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 t="shared" si="340"/>
        <v>0</v>
      </c>
      <c r="W5491">
        <f t="shared" si="341"/>
        <v>1</v>
      </c>
      <c r="X5491" t="str">
        <f t="shared" si="342"/>
        <v>0-12 Months</v>
      </c>
      <c r="Y5491" s="1" t="str">
        <f t="shared" si="343"/>
        <v>Low</v>
      </c>
    </row>
    <row r="5492" spans="1:25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 t="shared" si="340"/>
        <v>0</v>
      </c>
      <c r="W5492">
        <f t="shared" si="341"/>
        <v>1</v>
      </c>
      <c r="X5492" t="str">
        <f t="shared" si="342"/>
        <v>0-12 Months</v>
      </c>
      <c r="Y5492" s="1" t="str">
        <f t="shared" si="343"/>
        <v>Medium</v>
      </c>
    </row>
    <row r="5493" spans="1:25" x14ac:dyDescent="0.2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 t="shared" si="340"/>
        <v>0</v>
      </c>
      <c r="W5493">
        <f t="shared" si="341"/>
        <v>1</v>
      </c>
      <c r="X5493" t="str">
        <f t="shared" si="342"/>
        <v>13-24 Months</v>
      </c>
      <c r="Y5493" s="1" t="str">
        <f t="shared" si="343"/>
        <v>Medium</v>
      </c>
    </row>
    <row r="5494" spans="1:25" x14ac:dyDescent="0.2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 t="shared" si="340"/>
        <v>0</v>
      </c>
      <c r="W5494">
        <f t="shared" si="341"/>
        <v>1</v>
      </c>
      <c r="X5494" t="str">
        <f t="shared" si="342"/>
        <v>49+ Months</v>
      </c>
      <c r="Y5494" s="1" t="str">
        <f t="shared" si="343"/>
        <v>Low</v>
      </c>
    </row>
    <row r="5495" spans="1:25" x14ac:dyDescent="0.2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 t="shared" si="340"/>
        <v>1</v>
      </c>
      <c r="W5495">
        <f t="shared" si="341"/>
        <v>0</v>
      </c>
      <c r="X5495" t="str">
        <f t="shared" si="342"/>
        <v>0-12 Months</v>
      </c>
      <c r="Y5495" s="1" t="str">
        <f t="shared" si="343"/>
        <v>High</v>
      </c>
    </row>
    <row r="5496" spans="1:25" x14ac:dyDescent="0.2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 t="shared" si="340"/>
        <v>1</v>
      </c>
      <c r="W5496">
        <f t="shared" si="341"/>
        <v>0</v>
      </c>
      <c r="X5496" t="str">
        <f t="shared" si="342"/>
        <v>0-12 Months</v>
      </c>
      <c r="Y5496" s="1" t="str">
        <f t="shared" si="343"/>
        <v>High</v>
      </c>
    </row>
    <row r="5497" spans="1:25" x14ac:dyDescent="0.2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 t="shared" si="340"/>
        <v>1</v>
      </c>
      <c r="W5497">
        <f t="shared" si="341"/>
        <v>0</v>
      </c>
      <c r="X5497" t="str">
        <f t="shared" si="342"/>
        <v>0-12 Months</v>
      </c>
      <c r="Y5497" s="1" t="str">
        <f t="shared" si="343"/>
        <v>Medium</v>
      </c>
    </row>
    <row r="5498" spans="1:25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 t="shared" si="340"/>
        <v>0</v>
      </c>
      <c r="W5498">
        <f t="shared" si="341"/>
        <v>1</v>
      </c>
      <c r="X5498" t="str">
        <f t="shared" si="342"/>
        <v>25-48 Months</v>
      </c>
      <c r="Y5498" s="1" t="str">
        <f t="shared" si="343"/>
        <v>Low</v>
      </c>
    </row>
    <row r="5499" spans="1:25" x14ac:dyDescent="0.2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 t="shared" si="340"/>
        <v>1</v>
      </c>
      <c r="W5499">
        <f t="shared" si="341"/>
        <v>0</v>
      </c>
      <c r="X5499" t="str">
        <f t="shared" si="342"/>
        <v>49+ Months</v>
      </c>
      <c r="Y5499" s="1" t="str">
        <f t="shared" si="343"/>
        <v>Medium</v>
      </c>
    </row>
    <row r="5500" spans="1:25" x14ac:dyDescent="0.2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 t="shared" si="340"/>
        <v>1</v>
      </c>
      <c r="W5500">
        <f t="shared" si="341"/>
        <v>0</v>
      </c>
      <c r="X5500" t="str">
        <f t="shared" si="342"/>
        <v>0-12 Months</v>
      </c>
      <c r="Y5500" s="1" t="str">
        <f t="shared" si="343"/>
        <v>Low</v>
      </c>
    </row>
    <row r="5501" spans="1:25" x14ac:dyDescent="0.2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 t="shared" si="340"/>
        <v>1</v>
      </c>
      <c r="W5501">
        <f t="shared" si="341"/>
        <v>0</v>
      </c>
      <c r="X5501" t="str">
        <f t="shared" si="342"/>
        <v>13-24 Months</v>
      </c>
      <c r="Y5501" s="1" t="str">
        <f t="shared" si="343"/>
        <v>Medium</v>
      </c>
    </row>
    <row r="5502" spans="1:25" x14ac:dyDescent="0.2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 t="shared" si="340"/>
        <v>0</v>
      </c>
      <c r="W5502">
        <f t="shared" si="341"/>
        <v>1</v>
      </c>
      <c r="X5502" t="str">
        <f t="shared" si="342"/>
        <v>49+ Months</v>
      </c>
      <c r="Y5502" s="1" t="str">
        <f t="shared" si="343"/>
        <v>Medium</v>
      </c>
    </row>
    <row r="5503" spans="1:25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 t="shared" si="340"/>
        <v>0</v>
      </c>
      <c r="W5503">
        <f t="shared" si="341"/>
        <v>1</v>
      </c>
      <c r="X5503" t="str">
        <f t="shared" si="342"/>
        <v>13-24 Months</v>
      </c>
      <c r="Y5503" s="1" t="str">
        <f t="shared" si="343"/>
        <v>Low</v>
      </c>
    </row>
    <row r="5504" spans="1:25" x14ac:dyDescent="0.2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 t="shared" si="340"/>
        <v>1</v>
      </c>
      <c r="W5504">
        <f t="shared" si="341"/>
        <v>0</v>
      </c>
      <c r="X5504" t="str">
        <f t="shared" si="342"/>
        <v>13-24 Months</v>
      </c>
      <c r="Y5504" s="1" t="str">
        <f t="shared" si="343"/>
        <v>Medium</v>
      </c>
    </row>
    <row r="5505" spans="1:25" x14ac:dyDescent="0.2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 t="shared" si="340"/>
        <v>0</v>
      </c>
      <c r="W5505">
        <f t="shared" si="341"/>
        <v>1</v>
      </c>
      <c r="X5505" t="str">
        <f t="shared" si="342"/>
        <v>25-48 Months</v>
      </c>
      <c r="Y5505" s="1" t="str">
        <f t="shared" si="343"/>
        <v>Low</v>
      </c>
    </row>
    <row r="5506" spans="1:25" x14ac:dyDescent="0.2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 t="shared" ref="V5506:V5569" si="344">IF(U5506="Yes",1,0)</f>
        <v>1</v>
      </c>
      <c r="W5506">
        <f t="shared" ref="W5506:W5569" si="345">IF(U5506="No",1,0)</f>
        <v>0</v>
      </c>
      <c r="X5506" t="str">
        <f t="shared" ref="X5506:X5569" si="346">IF(F5506&lt;=12,"0-12 Months",IF(F5506&lt;=24,"13-24 Months",IF(F5506&lt;=48,"25-48 Months","49+ Months")))</f>
        <v>25-48 Months</v>
      </c>
      <c r="Y5506" s="1" t="str">
        <f t="shared" ref="Y5506:Y5569" si="347">IF(S5506&lt;50,"Low",IF(S5506&lt;80,"Medium","High"))</f>
        <v>High</v>
      </c>
    </row>
    <row r="5507" spans="1:25" x14ac:dyDescent="0.2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 t="shared" si="344"/>
        <v>0</v>
      </c>
      <c r="W5507">
        <f t="shared" si="345"/>
        <v>1</v>
      </c>
      <c r="X5507" t="str">
        <f t="shared" si="346"/>
        <v>0-12 Months</v>
      </c>
      <c r="Y5507" s="1" t="str">
        <f t="shared" si="347"/>
        <v>Low</v>
      </c>
    </row>
    <row r="5508" spans="1:25" x14ac:dyDescent="0.2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 t="shared" si="344"/>
        <v>0</v>
      </c>
      <c r="W5508">
        <f t="shared" si="345"/>
        <v>1</v>
      </c>
      <c r="X5508" t="str">
        <f t="shared" si="346"/>
        <v>0-12 Months</v>
      </c>
      <c r="Y5508" s="1" t="str">
        <f t="shared" si="347"/>
        <v>Low</v>
      </c>
    </row>
    <row r="5509" spans="1:25" x14ac:dyDescent="0.2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 t="shared" si="344"/>
        <v>0</v>
      </c>
      <c r="W5509">
        <f t="shared" si="345"/>
        <v>1</v>
      </c>
      <c r="X5509" t="str">
        <f t="shared" si="346"/>
        <v>25-48 Months</v>
      </c>
      <c r="Y5509" s="1" t="str">
        <f t="shared" si="347"/>
        <v>Medium</v>
      </c>
    </row>
    <row r="5510" spans="1:25" x14ac:dyDescent="0.2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 t="shared" si="344"/>
        <v>0</v>
      </c>
      <c r="W5510">
        <f t="shared" si="345"/>
        <v>1</v>
      </c>
      <c r="X5510" t="str">
        <f t="shared" si="346"/>
        <v>49+ Months</v>
      </c>
      <c r="Y5510" s="1" t="str">
        <f t="shared" si="347"/>
        <v>Low</v>
      </c>
    </row>
    <row r="5511" spans="1:25" x14ac:dyDescent="0.2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 t="shared" si="344"/>
        <v>1</v>
      </c>
      <c r="W5511">
        <f t="shared" si="345"/>
        <v>0</v>
      </c>
      <c r="X5511" t="str">
        <f t="shared" si="346"/>
        <v>0-12 Months</v>
      </c>
      <c r="Y5511" s="1" t="str">
        <f t="shared" si="347"/>
        <v>Low</v>
      </c>
    </row>
    <row r="5512" spans="1:25" x14ac:dyDescent="0.2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 t="shared" si="344"/>
        <v>0</v>
      </c>
      <c r="W5512">
        <f t="shared" si="345"/>
        <v>1</v>
      </c>
      <c r="X5512" t="str">
        <f t="shared" si="346"/>
        <v>13-24 Months</v>
      </c>
      <c r="Y5512" s="1" t="str">
        <f t="shared" si="347"/>
        <v>High</v>
      </c>
    </row>
    <row r="5513" spans="1:25" x14ac:dyDescent="0.2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 t="shared" si="344"/>
        <v>0</v>
      </c>
      <c r="W5513">
        <f t="shared" si="345"/>
        <v>1</v>
      </c>
      <c r="X5513" t="str">
        <f t="shared" si="346"/>
        <v>49+ Months</v>
      </c>
      <c r="Y5513" s="1" t="str">
        <f t="shared" si="347"/>
        <v>Medium</v>
      </c>
    </row>
    <row r="5514" spans="1:25" x14ac:dyDescent="0.2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 t="shared" si="344"/>
        <v>0</v>
      </c>
      <c r="W5514">
        <f t="shared" si="345"/>
        <v>1</v>
      </c>
      <c r="X5514" t="str">
        <f t="shared" si="346"/>
        <v>0-12 Months</v>
      </c>
      <c r="Y5514" s="1" t="str">
        <f t="shared" si="347"/>
        <v>Medium</v>
      </c>
    </row>
    <row r="5515" spans="1:25" x14ac:dyDescent="0.2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 t="shared" si="344"/>
        <v>0</v>
      </c>
      <c r="W5515">
        <f t="shared" si="345"/>
        <v>1</v>
      </c>
      <c r="X5515" t="str">
        <f t="shared" si="346"/>
        <v>49+ Months</v>
      </c>
      <c r="Y5515" s="1" t="str">
        <f t="shared" si="347"/>
        <v>High</v>
      </c>
    </row>
    <row r="5516" spans="1:25" x14ac:dyDescent="0.2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 t="shared" si="344"/>
        <v>0</v>
      </c>
      <c r="W5516">
        <f t="shared" si="345"/>
        <v>1</v>
      </c>
      <c r="X5516" t="str">
        <f t="shared" si="346"/>
        <v>0-12 Months</v>
      </c>
      <c r="Y5516" s="1" t="str">
        <f t="shared" si="347"/>
        <v>Low</v>
      </c>
    </row>
    <row r="5517" spans="1:25" x14ac:dyDescent="0.2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 t="shared" si="344"/>
        <v>0</v>
      </c>
      <c r="W5517">
        <f t="shared" si="345"/>
        <v>1</v>
      </c>
      <c r="X5517" t="str">
        <f t="shared" si="346"/>
        <v>13-24 Months</v>
      </c>
      <c r="Y5517" s="1" t="str">
        <f t="shared" si="347"/>
        <v>Low</v>
      </c>
    </row>
    <row r="5518" spans="1:25" x14ac:dyDescent="0.2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 t="shared" si="344"/>
        <v>1</v>
      </c>
      <c r="W5518">
        <f t="shared" si="345"/>
        <v>0</v>
      </c>
      <c r="X5518" t="str">
        <f t="shared" si="346"/>
        <v>0-12 Months</v>
      </c>
      <c r="Y5518" s="1" t="str">
        <f t="shared" si="347"/>
        <v>Medium</v>
      </c>
    </row>
    <row r="5519" spans="1:25" x14ac:dyDescent="0.2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 t="shared" si="344"/>
        <v>0</v>
      </c>
      <c r="W5519">
        <f t="shared" si="345"/>
        <v>1</v>
      </c>
      <c r="X5519" t="str">
        <f t="shared" si="346"/>
        <v>49+ Months</v>
      </c>
      <c r="Y5519" s="1" t="str">
        <f t="shared" si="347"/>
        <v>High</v>
      </c>
    </row>
    <row r="5520" spans="1:25" x14ac:dyDescent="0.2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 t="shared" si="344"/>
        <v>1</v>
      </c>
      <c r="W5520">
        <f t="shared" si="345"/>
        <v>0</v>
      </c>
      <c r="X5520" t="str">
        <f t="shared" si="346"/>
        <v>25-48 Months</v>
      </c>
      <c r="Y5520" s="1" t="str">
        <f t="shared" si="347"/>
        <v>High</v>
      </c>
    </row>
    <row r="5521" spans="1:25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 t="shared" si="344"/>
        <v>0</v>
      </c>
      <c r="W5521">
        <f t="shared" si="345"/>
        <v>1</v>
      </c>
      <c r="X5521" t="str">
        <f t="shared" si="346"/>
        <v>0-12 Months</v>
      </c>
      <c r="Y5521" s="1" t="str">
        <f t="shared" si="347"/>
        <v>Medium</v>
      </c>
    </row>
    <row r="5522" spans="1:25" x14ac:dyDescent="0.2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 t="shared" si="344"/>
        <v>0</v>
      </c>
      <c r="W5522">
        <f t="shared" si="345"/>
        <v>1</v>
      </c>
      <c r="X5522" t="str">
        <f t="shared" si="346"/>
        <v>49+ Months</v>
      </c>
      <c r="Y5522" s="1" t="str">
        <f t="shared" si="347"/>
        <v>High</v>
      </c>
    </row>
    <row r="5523" spans="1:25" x14ac:dyDescent="0.2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 t="shared" si="344"/>
        <v>0</v>
      </c>
      <c r="W5523">
        <f t="shared" si="345"/>
        <v>1</v>
      </c>
      <c r="X5523" t="str">
        <f t="shared" si="346"/>
        <v>49+ Months</v>
      </c>
      <c r="Y5523" s="1" t="str">
        <f t="shared" si="347"/>
        <v>Medium</v>
      </c>
    </row>
    <row r="5524" spans="1:25" x14ac:dyDescent="0.2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 t="shared" si="344"/>
        <v>1</v>
      </c>
      <c r="W5524">
        <f t="shared" si="345"/>
        <v>0</v>
      </c>
      <c r="X5524" t="str">
        <f t="shared" si="346"/>
        <v>0-12 Months</v>
      </c>
      <c r="Y5524" s="1" t="str">
        <f t="shared" si="347"/>
        <v>Medium</v>
      </c>
    </row>
    <row r="5525" spans="1:25" x14ac:dyDescent="0.2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 t="shared" si="344"/>
        <v>0</v>
      </c>
      <c r="W5525">
        <f t="shared" si="345"/>
        <v>1</v>
      </c>
      <c r="X5525" t="str">
        <f t="shared" si="346"/>
        <v>0-12 Months</v>
      </c>
      <c r="Y5525" s="1" t="str">
        <f t="shared" si="347"/>
        <v>Medium</v>
      </c>
    </row>
    <row r="5526" spans="1:25" x14ac:dyDescent="0.2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 t="shared" si="344"/>
        <v>0</v>
      </c>
      <c r="W5526">
        <f t="shared" si="345"/>
        <v>1</v>
      </c>
      <c r="X5526" t="str">
        <f t="shared" si="346"/>
        <v>25-48 Months</v>
      </c>
      <c r="Y5526" s="1" t="str">
        <f t="shared" si="347"/>
        <v>Medium</v>
      </c>
    </row>
    <row r="5527" spans="1:25" x14ac:dyDescent="0.2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 t="shared" si="344"/>
        <v>0</v>
      </c>
      <c r="W5527">
        <f t="shared" si="345"/>
        <v>1</v>
      </c>
      <c r="X5527" t="str">
        <f t="shared" si="346"/>
        <v>49+ Months</v>
      </c>
      <c r="Y5527" s="1" t="str">
        <f t="shared" si="347"/>
        <v>Low</v>
      </c>
    </row>
    <row r="5528" spans="1:25" x14ac:dyDescent="0.2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 t="shared" si="344"/>
        <v>0</v>
      </c>
      <c r="W5528">
        <f t="shared" si="345"/>
        <v>1</v>
      </c>
      <c r="X5528" t="str">
        <f t="shared" si="346"/>
        <v>49+ Months</v>
      </c>
      <c r="Y5528" s="1" t="str">
        <f t="shared" si="347"/>
        <v>Low</v>
      </c>
    </row>
    <row r="5529" spans="1:25" x14ac:dyDescent="0.2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 t="shared" si="344"/>
        <v>0</v>
      </c>
      <c r="W5529">
        <f t="shared" si="345"/>
        <v>1</v>
      </c>
      <c r="X5529" t="str">
        <f t="shared" si="346"/>
        <v>49+ Months</v>
      </c>
      <c r="Y5529" s="1" t="str">
        <f t="shared" si="347"/>
        <v>High</v>
      </c>
    </row>
    <row r="5530" spans="1:25" x14ac:dyDescent="0.2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 t="shared" si="344"/>
        <v>0</v>
      </c>
      <c r="W5530">
        <f t="shared" si="345"/>
        <v>1</v>
      </c>
      <c r="X5530" t="str">
        <f t="shared" si="346"/>
        <v>25-48 Months</v>
      </c>
      <c r="Y5530" s="1" t="str">
        <f t="shared" si="347"/>
        <v>Medium</v>
      </c>
    </row>
    <row r="5531" spans="1:25" x14ac:dyDescent="0.2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 t="shared" si="344"/>
        <v>0</v>
      </c>
      <c r="W5531">
        <f t="shared" si="345"/>
        <v>1</v>
      </c>
      <c r="X5531" t="str">
        <f t="shared" si="346"/>
        <v>0-12 Months</v>
      </c>
      <c r="Y5531" s="1" t="str">
        <f t="shared" si="347"/>
        <v>Low</v>
      </c>
    </row>
    <row r="5532" spans="1:25" x14ac:dyDescent="0.2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 t="shared" si="344"/>
        <v>0</v>
      </c>
      <c r="W5532">
        <f t="shared" si="345"/>
        <v>1</v>
      </c>
      <c r="X5532" t="str">
        <f t="shared" si="346"/>
        <v>49+ Months</v>
      </c>
      <c r="Y5532" s="1" t="str">
        <f t="shared" si="347"/>
        <v>High</v>
      </c>
    </row>
    <row r="5533" spans="1:25" x14ac:dyDescent="0.2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 t="shared" si="344"/>
        <v>0</v>
      </c>
      <c r="W5533">
        <f t="shared" si="345"/>
        <v>1</v>
      </c>
      <c r="X5533" t="str">
        <f t="shared" si="346"/>
        <v>49+ Months</v>
      </c>
      <c r="Y5533" s="1" t="str">
        <f t="shared" si="347"/>
        <v>Low</v>
      </c>
    </row>
    <row r="5534" spans="1:25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 t="shared" si="344"/>
        <v>0</v>
      </c>
      <c r="W5534">
        <f t="shared" si="345"/>
        <v>1</v>
      </c>
      <c r="X5534" t="str">
        <f t="shared" si="346"/>
        <v>25-48 Months</v>
      </c>
      <c r="Y5534" s="1" t="str">
        <f t="shared" si="347"/>
        <v>Low</v>
      </c>
    </row>
    <row r="5535" spans="1:25" x14ac:dyDescent="0.2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 t="shared" si="344"/>
        <v>0</v>
      </c>
      <c r="W5535">
        <f t="shared" si="345"/>
        <v>1</v>
      </c>
      <c r="X5535" t="str">
        <f t="shared" si="346"/>
        <v>13-24 Months</v>
      </c>
      <c r="Y5535" s="1" t="str">
        <f t="shared" si="347"/>
        <v>High</v>
      </c>
    </row>
    <row r="5536" spans="1:25" x14ac:dyDescent="0.2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 t="shared" si="344"/>
        <v>0</v>
      </c>
      <c r="W5536">
        <f t="shared" si="345"/>
        <v>1</v>
      </c>
      <c r="X5536" t="str">
        <f t="shared" si="346"/>
        <v>13-24 Months</v>
      </c>
      <c r="Y5536" s="1" t="str">
        <f t="shared" si="347"/>
        <v>High</v>
      </c>
    </row>
    <row r="5537" spans="1:25" x14ac:dyDescent="0.2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 t="shared" si="344"/>
        <v>0</v>
      </c>
      <c r="W5537">
        <f t="shared" si="345"/>
        <v>1</v>
      </c>
      <c r="X5537" t="str">
        <f t="shared" si="346"/>
        <v>49+ Months</v>
      </c>
      <c r="Y5537" s="1" t="str">
        <f t="shared" si="347"/>
        <v>High</v>
      </c>
    </row>
    <row r="5538" spans="1:25" x14ac:dyDescent="0.2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 t="shared" si="344"/>
        <v>1</v>
      </c>
      <c r="W5538">
        <f t="shared" si="345"/>
        <v>0</v>
      </c>
      <c r="X5538" t="str">
        <f t="shared" si="346"/>
        <v>0-12 Months</v>
      </c>
      <c r="Y5538" s="1" t="str">
        <f t="shared" si="347"/>
        <v>Low</v>
      </c>
    </row>
    <row r="5539" spans="1:25" x14ac:dyDescent="0.2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 t="shared" si="344"/>
        <v>0</v>
      </c>
      <c r="W5539">
        <f t="shared" si="345"/>
        <v>1</v>
      </c>
      <c r="X5539" t="str">
        <f t="shared" si="346"/>
        <v>49+ Months</v>
      </c>
      <c r="Y5539" s="1" t="str">
        <f t="shared" si="347"/>
        <v>High</v>
      </c>
    </row>
    <row r="5540" spans="1:25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 t="shared" si="344"/>
        <v>1</v>
      </c>
      <c r="W5540">
        <f t="shared" si="345"/>
        <v>0</v>
      </c>
      <c r="X5540" t="str">
        <f t="shared" si="346"/>
        <v>0-12 Months</v>
      </c>
      <c r="Y5540" s="1" t="str">
        <f t="shared" si="347"/>
        <v>High</v>
      </c>
    </row>
    <row r="5541" spans="1:25" x14ac:dyDescent="0.2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 t="shared" si="344"/>
        <v>0</v>
      </c>
      <c r="W5541">
        <f t="shared" si="345"/>
        <v>1</v>
      </c>
      <c r="X5541" t="str">
        <f t="shared" si="346"/>
        <v>13-24 Months</v>
      </c>
      <c r="Y5541" s="1" t="str">
        <f t="shared" si="347"/>
        <v>Low</v>
      </c>
    </row>
    <row r="5542" spans="1:25" x14ac:dyDescent="0.2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 t="shared" si="344"/>
        <v>1</v>
      </c>
      <c r="W5542">
        <f t="shared" si="345"/>
        <v>0</v>
      </c>
      <c r="X5542" t="str">
        <f t="shared" si="346"/>
        <v>0-12 Months</v>
      </c>
      <c r="Y5542" s="1" t="str">
        <f t="shared" si="347"/>
        <v>Low</v>
      </c>
    </row>
    <row r="5543" spans="1:25" x14ac:dyDescent="0.2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 t="shared" si="344"/>
        <v>1</v>
      </c>
      <c r="W5543">
        <f t="shared" si="345"/>
        <v>0</v>
      </c>
      <c r="X5543" t="str">
        <f t="shared" si="346"/>
        <v>49+ Months</v>
      </c>
      <c r="Y5543" s="1" t="str">
        <f t="shared" si="347"/>
        <v>High</v>
      </c>
    </row>
    <row r="5544" spans="1:25" x14ac:dyDescent="0.2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 t="shared" si="344"/>
        <v>0</v>
      </c>
      <c r="W5544">
        <f t="shared" si="345"/>
        <v>1</v>
      </c>
      <c r="X5544" t="str">
        <f t="shared" si="346"/>
        <v>49+ Months</v>
      </c>
      <c r="Y5544" s="1" t="str">
        <f t="shared" si="347"/>
        <v>High</v>
      </c>
    </row>
    <row r="5545" spans="1:25" x14ac:dyDescent="0.2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 t="shared" si="344"/>
        <v>0</v>
      </c>
      <c r="W5545">
        <f t="shared" si="345"/>
        <v>1</v>
      </c>
      <c r="X5545" t="str">
        <f t="shared" si="346"/>
        <v>13-24 Months</v>
      </c>
      <c r="Y5545" s="1" t="str">
        <f t="shared" si="347"/>
        <v>Medium</v>
      </c>
    </row>
    <row r="5546" spans="1:25" x14ac:dyDescent="0.2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 t="shared" si="344"/>
        <v>1</v>
      </c>
      <c r="W5546">
        <f t="shared" si="345"/>
        <v>0</v>
      </c>
      <c r="X5546" t="str">
        <f t="shared" si="346"/>
        <v>49+ Months</v>
      </c>
      <c r="Y5546" s="1" t="str">
        <f t="shared" si="347"/>
        <v>High</v>
      </c>
    </row>
    <row r="5547" spans="1:25" x14ac:dyDescent="0.2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 t="shared" si="344"/>
        <v>0</v>
      </c>
      <c r="W5547">
        <f t="shared" si="345"/>
        <v>1</v>
      </c>
      <c r="X5547" t="str">
        <f t="shared" si="346"/>
        <v>13-24 Months</v>
      </c>
      <c r="Y5547" s="1" t="str">
        <f t="shared" si="347"/>
        <v>High</v>
      </c>
    </row>
    <row r="5548" spans="1:25" x14ac:dyDescent="0.2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 t="shared" si="344"/>
        <v>0</v>
      </c>
      <c r="W5548">
        <f t="shared" si="345"/>
        <v>1</v>
      </c>
      <c r="X5548" t="str">
        <f t="shared" si="346"/>
        <v>0-12 Months</v>
      </c>
      <c r="Y5548" s="1" t="str">
        <f t="shared" si="347"/>
        <v>Low</v>
      </c>
    </row>
    <row r="5549" spans="1:25" x14ac:dyDescent="0.2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 t="shared" si="344"/>
        <v>1</v>
      </c>
      <c r="W5549">
        <f t="shared" si="345"/>
        <v>0</v>
      </c>
      <c r="X5549" t="str">
        <f t="shared" si="346"/>
        <v>0-12 Months</v>
      </c>
      <c r="Y5549" s="1" t="str">
        <f t="shared" si="347"/>
        <v>High</v>
      </c>
    </row>
    <row r="5550" spans="1:25" x14ac:dyDescent="0.2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 t="shared" si="344"/>
        <v>0</v>
      </c>
      <c r="W5550">
        <f t="shared" si="345"/>
        <v>1</v>
      </c>
      <c r="X5550" t="str">
        <f t="shared" si="346"/>
        <v>49+ Months</v>
      </c>
      <c r="Y5550" s="1" t="str">
        <f t="shared" si="347"/>
        <v>Low</v>
      </c>
    </row>
    <row r="5551" spans="1:25" x14ac:dyDescent="0.2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 t="shared" si="344"/>
        <v>1</v>
      </c>
      <c r="W5551">
        <f t="shared" si="345"/>
        <v>0</v>
      </c>
      <c r="X5551" t="str">
        <f t="shared" si="346"/>
        <v>0-12 Months</v>
      </c>
      <c r="Y5551" s="1" t="str">
        <f t="shared" si="347"/>
        <v>High</v>
      </c>
    </row>
    <row r="5552" spans="1:25" x14ac:dyDescent="0.2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 t="shared" si="344"/>
        <v>0</v>
      </c>
      <c r="W5552">
        <f t="shared" si="345"/>
        <v>1</v>
      </c>
      <c r="X5552" t="str">
        <f t="shared" si="346"/>
        <v>13-24 Months</v>
      </c>
      <c r="Y5552" s="1" t="str">
        <f t="shared" si="347"/>
        <v>Low</v>
      </c>
    </row>
    <row r="5553" spans="1:25" x14ac:dyDescent="0.2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 t="shared" si="344"/>
        <v>0</v>
      </c>
      <c r="W5553">
        <f t="shared" si="345"/>
        <v>1</v>
      </c>
      <c r="X5553" t="str">
        <f t="shared" si="346"/>
        <v>13-24 Months</v>
      </c>
      <c r="Y5553" s="1" t="str">
        <f t="shared" si="347"/>
        <v>Low</v>
      </c>
    </row>
    <row r="5554" spans="1:25" x14ac:dyDescent="0.2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 t="shared" si="344"/>
        <v>0</v>
      </c>
      <c r="W5554">
        <f t="shared" si="345"/>
        <v>1</v>
      </c>
      <c r="X5554" t="str">
        <f t="shared" si="346"/>
        <v>13-24 Months</v>
      </c>
      <c r="Y5554" s="1" t="str">
        <f t="shared" si="347"/>
        <v>Low</v>
      </c>
    </row>
    <row r="5555" spans="1:25" x14ac:dyDescent="0.2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 t="shared" si="344"/>
        <v>1</v>
      </c>
      <c r="W5555">
        <f t="shared" si="345"/>
        <v>0</v>
      </c>
      <c r="X5555" t="str">
        <f t="shared" si="346"/>
        <v>0-12 Months</v>
      </c>
      <c r="Y5555" s="1" t="str">
        <f t="shared" si="347"/>
        <v>Medium</v>
      </c>
    </row>
    <row r="5556" spans="1:25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 t="shared" si="344"/>
        <v>0</v>
      </c>
      <c r="W5556">
        <f t="shared" si="345"/>
        <v>1</v>
      </c>
      <c r="X5556" t="str">
        <f t="shared" si="346"/>
        <v>49+ Months</v>
      </c>
      <c r="Y5556" s="1" t="str">
        <f t="shared" si="347"/>
        <v>Low</v>
      </c>
    </row>
    <row r="5557" spans="1:25" x14ac:dyDescent="0.2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 t="shared" si="344"/>
        <v>0</v>
      </c>
      <c r="W5557">
        <f t="shared" si="345"/>
        <v>1</v>
      </c>
      <c r="X5557" t="str">
        <f t="shared" si="346"/>
        <v>49+ Months</v>
      </c>
      <c r="Y5557" s="1" t="str">
        <f t="shared" si="347"/>
        <v>Low</v>
      </c>
    </row>
    <row r="5558" spans="1:25" x14ac:dyDescent="0.2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 t="shared" si="344"/>
        <v>1</v>
      </c>
      <c r="W5558">
        <f t="shared" si="345"/>
        <v>0</v>
      </c>
      <c r="X5558" t="str">
        <f t="shared" si="346"/>
        <v>13-24 Months</v>
      </c>
      <c r="Y5558" s="1" t="str">
        <f t="shared" si="347"/>
        <v>Medium</v>
      </c>
    </row>
    <row r="5559" spans="1:25" x14ac:dyDescent="0.2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 t="shared" si="344"/>
        <v>0</v>
      </c>
      <c r="W5559">
        <f t="shared" si="345"/>
        <v>1</v>
      </c>
      <c r="X5559" t="str">
        <f t="shared" si="346"/>
        <v>0-12 Months</v>
      </c>
      <c r="Y5559" s="1" t="str">
        <f t="shared" si="347"/>
        <v>High</v>
      </c>
    </row>
    <row r="5560" spans="1:25" x14ac:dyDescent="0.2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 t="shared" si="344"/>
        <v>0</v>
      </c>
      <c r="W5560">
        <f t="shared" si="345"/>
        <v>1</v>
      </c>
      <c r="X5560" t="str">
        <f t="shared" si="346"/>
        <v>49+ Months</v>
      </c>
      <c r="Y5560" s="1" t="str">
        <f t="shared" si="347"/>
        <v>High</v>
      </c>
    </row>
    <row r="5561" spans="1:25" x14ac:dyDescent="0.2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 t="shared" si="344"/>
        <v>0</v>
      </c>
      <c r="W5561">
        <f t="shared" si="345"/>
        <v>1</v>
      </c>
      <c r="X5561" t="str">
        <f t="shared" si="346"/>
        <v>13-24 Months</v>
      </c>
      <c r="Y5561" s="1" t="str">
        <f t="shared" si="347"/>
        <v>Low</v>
      </c>
    </row>
    <row r="5562" spans="1:25" x14ac:dyDescent="0.2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 t="shared" si="344"/>
        <v>0</v>
      </c>
      <c r="W5562">
        <f t="shared" si="345"/>
        <v>1</v>
      </c>
      <c r="X5562" t="str">
        <f t="shared" si="346"/>
        <v>49+ Months</v>
      </c>
      <c r="Y5562" s="1" t="str">
        <f t="shared" si="347"/>
        <v>High</v>
      </c>
    </row>
    <row r="5563" spans="1:25" x14ac:dyDescent="0.2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 t="shared" si="344"/>
        <v>0</v>
      </c>
      <c r="W5563">
        <f t="shared" si="345"/>
        <v>1</v>
      </c>
      <c r="X5563" t="str">
        <f t="shared" si="346"/>
        <v>0-12 Months</v>
      </c>
      <c r="Y5563" s="1" t="str">
        <f t="shared" si="347"/>
        <v>Low</v>
      </c>
    </row>
    <row r="5564" spans="1:25" x14ac:dyDescent="0.2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 t="shared" si="344"/>
        <v>0</v>
      </c>
      <c r="W5564">
        <f t="shared" si="345"/>
        <v>1</v>
      </c>
      <c r="X5564" t="str">
        <f t="shared" si="346"/>
        <v>49+ Months</v>
      </c>
      <c r="Y5564" s="1" t="str">
        <f t="shared" si="347"/>
        <v>Medium</v>
      </c>
    </row>
    <row r="5565" spans="1:25" x14ac:dyDescent="0.2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 t="shared" si="344"/>
        <v>0</v>
      </c>
      <c r="W5565">
        <f t="shared" si="345"/>
        <v>1</v>
      </c>
      <c r="X5565" t="str">
        <f t="shared" si="346"/>
        <v>0-12 Months</v>
      </c>
      <c r="Y5565" s="1" t="str">
        <f t="shared" si="347"/>
        <v>Low</v>
      </c>
    </row>
    <row r="5566" spans="1:25" x14ac:dyDescent="0.2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 t="shared" si="344"/>
        <v>0</v>
      </c>
      <c r="W5566">
        <f t="shared" si="345"/>
        <v>1</v>
      </c>
      <c r="X5566" t="str">
        <f t="shared" si="346"/>
        <v>25-48 Months</v>
      </c>
      <c r="Y5566" s="1" t="str">
        <f t="shared" si="347"/>
        <v>Medium</v>
      </c>
    </row>
    <row r="5567" spans="1:25" x14ac:dyDescent="0.2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 t="shared" si="344"/>
        <v>1</v>
      </c>
      <c r="W5567">
        <f t="shared" si="345"/>
        <v>0</v>
      </c>
      <c r="X5567" t="str">
        <f t="shared" si="346"/>
        <v>13-24 Months</v>
      </c>
      <c r="Y5567" s="1" t="str">
        <f t="shared" si="347"/>
        <v>Low</v>
      </c>
    </row>
    <row r="5568" spans="1:25" x14ac:dyDescent="0.2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 t="shared" si="344"/>
        <v>0</v>
      </c>
      <c r="W5568">
        <f t="shared" si="345"/>
        <v>1</v>
      </c>
      <c r="X5568" t="str">
        <f t="shared" si="346"/>
        <v>49+ Months</v>
      </c>
      <c r="Y5568" s="1" t="str">
        <f t="shared" si="347"/>
        <v>High</v>
      </c>
    </row>
    <row r="5569" spans="1:25" x14ac:dyDescent="0.2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 t="shared" si="344"/>
        <v>0</v>
      </c>
      <c r="W5569">
        <f t="shared" si="345"/>
        <v>1</v>
      </c>
      <c r="X5569" t="str">
        <f t="shared" si="346"/>
        <v>49+ Months</v>
      </c>
      <c r="Y5569" s="1" t="str">
        <f t="shared" si="347"/>
        <v>High</v>
      </c>
    </row>
    <row r="5570" spans="1:25" x14ac:dyDescent="0.2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 t="shared" ref="V5570:V5633" si="348">IF(U5570="Yes",1,0)</f>
        <v>0</v>
      </c>
      <c r="W5570">
        <f t="shared" ref="W5570:W5633" si="349">IF(U5570="No",1,0)</f>
        <v>1</v>
      </c>
      <c r="X5570" t="str">
        <f t="shared" ref="X5570:X5633" si="350">IF(F5570&lt;=12,"0-12 Months",IF(F5570&lt;=24,"13-24 Months",IF(F5570&lt;=48,"25-48 Months","49+ Months")))</f>
        <v>25-48 Months</v>
      </c>
      <c r="Y5570" s="1" t="str">
        <f t="shared" ref="Y5570:Y5633" si="351">IF(S5570&lt;50,"Low",IF(S5570&lt;80,"Medium","High"))</f>
        <v>High</v>
      </c>
    </row>
    <row r="5571" spans="1:25" x14ac:dyDescent="0.2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 t="shared" si="348"/>
        <v>1</v>
      </c>
      <c r="W5571">
        <f t="shared" si="349"/>
        <v>0</v>
      </c>
      <c r="X5571" t="str">
        <f t="shared" si="350"/>
        <v>0-12 Months</v>
      </c>
      <c r="Y5571" s="1" t="str">
        <f t="shared" si="351"/>
        <v>High</v>
      </c>
    </row>
    <row r="5572" spans="1:25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 t="shared" si="348"/>
        <v>0</v>
      </c>
      <c r="W5572">
        <f t="shared" si="349"/>
        <v>1</v>
      </c>
      <c r="X5572" t="str">
        <f t="shared" si="350"/>
        <v>25-48 Months</v>
      </c>
      <c r="Y5572" s="1" t="str">
        <f t="shared" si="351"/>
        <v>High</v>
      </c>
    </row>
    <row r="5573" spans="1:25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 t="shared" si="348"/>
        <v>0</v>
      </c>
      <c r="W5573">
        <f t="shared" si="349"/>
        <v>1</v>
      </c>
      <c r="X5573" t="str">
        <f t="shared" si="350"/>
        <v>49+ Months</v>
      </c>
      <c r="Y5573" s="1" t="str">
        <f t="shared" si="351"/>
        <v>Medium</v>
      </c>
    </row>
    <row r="5574" spans="1:25" x14ac:dyDescent="0.2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 t="shared" si="348"/>
        <v>0</v>
      </c>
      <c r="W5574">
        <f t="shared" si="349"/>
        <v>1</v>
      </c>
      <c r="X5574" t="str">
        <f t="shared" si="350"/>
        <v>49+ Months</v>
      </c>
      <c r="Y5574" s="1" t="str">
        <f t="shared" si="351"/>
        <v>Medium</v>
      </c>
    </row>
    <row r="5575" spans="1:25" x14ac:dyDescent="0.2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 t="shared" si="348"/>
        <v>1</v>
      </c>
      <c r="W5575">
        <f t="shared" si="349"/>
        <v>0</v>
      </c>
      <c r="X5575" t="str">
        <f t="shared" si="350"/>
        <v>0-12 Months</v>
      </c>
      <c r="Y5575" s="1" t="str">
        <f t="shared" si="351"/>
        <v>Medium</v>
      </c>
    </row>
    <row r="5576" spans="1:25" x14ac:dyDescent="0.2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 t="shared" si="348"/>
        <v>0</v>
      </c>
      <c r="W5576">
        <f t="shared" si="349"/>
        <v>1</v>
      </c>
      <c r="X5576" t="str">
        <f t="shared" si="350"/>
        <v>25-48 Months</v>
      </c>
      <c r="Y5576" s="1" t="str">
        <f t="shared" si="351"/>
        <v>Low</v>
      </c>
    </row>
    <row r="5577" spans="1:25" x14ac:dyDescent="0.2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 t="shared" si="348"/>
        <v>0</v>
      </c>
      <c r="W5577">
        <f t="shared" si="349"/>
        <v>1</v>
      </c>
      <c r="X5577" t="str">
        <f t="shared" si="350"/>
        <v>49+ Months</v>
      </c>
      <c r="Y5577" s="1" t="str">
        <f t="shared" si="351"/>
        <v>Medium</v>
      </c>
    </row>
    <row r="5578" spans="1:25" x14ac:dyDescent="0.2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 t="shared" si="348"/>
        <v>1</v>
      </c>
      <c r="W5578">
        <f t="shared" si="349"/>
        <v>0</v>
      </c>
      <c r="X5578" t="str">
        <f t="shared" si="350"/>
        <v>0-12 Months</v>
      </c>
      <c r="Y5578" s="1" t="str">
        <f t="shared" si="351"/>
        <v>Medium</v>
      </c>
    </row>
    <row r="5579" spans="1:25" x14ac:dyDescent="0.2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 t="shared" si="348"/>
        <v>0</v>
      </c>
      <c r="W5579">
        <f t="shared" si="349"/>
        <v>1</v>
      </c>
      <c r="X5579" t="str">
        <f t="shared" si="350"/>
        <v>49+ Months</v>
      </c>
      <c r="Y5579" s="1" t="str">
        <f t="shared" si="351"/>
        <v>Low</v>
      </c>
    </row>
    <row r="5580" spans="1:25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 t="shared" si="348"/>
        <v>0</v>
      </c>
      <c r="W5580">
        <f t="shared" si="349"/>
        <v>1</v>
      </c>
      <c r="X5580" t="str">
        <f t="shared" si="350"/>
        <v>25-48 Months</v>
      </c>
      <c r="Y5580" s="1" t="str">
        <f t="shared" si="351"/>
        <v>Low</v>
      </c>
    </row>
    <row r="5581" spans="1:25" x14ac:dyDescent="0.2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 t="shared" si="348"/>
        <v>1</v>
      </c>
      <c r="W5581">
        <f t="shared" si="349"/>
        <v>0</v>
      </c>
      <c r="X5581" t="str">
        <f t="shared" si="350"/>
        <v>49+ Months</v>
      </c>
      <c r="Y5581" s="1" t="str">
        <f t="shared" si="351"/>
        <v>High</v>
      </c>
    </row>
    <row r="5582" spans="1:25" x14ac:dyDescent="0.2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 t="shared" si="348"/>
        <v>0</v>
      </c>
      <c r="W5582">
        <f t="shared" si="349"/>
        <v>1</v>
      </c>
      <c r="X5582" t="str">
        <f t="shared" si="350"/>
        <v>25-48 Months</v>
      </c>
      <c r="Y5582" s="1" t="str">
        <f t="shared" si="351"/>
        <v>Low</v>
      </c>
    </row>
    <row r="5583" spans="1:25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 t="shared" si="348"/>
        <v>1</v>
      </c>
      <c r="W5583">
        <f t="shared" si="349"/>
        <v>0</v>
      </c>
      <c r="X5583" t="str">
        <f t="shared" si="350"/>
        <v>49+ Months</v>
      </c>
      <c r="Y5583" s="1" t="str">
        <f t="shared" si="351"/>
        <v>High</v>
      </c>
    </row>
    <row r="5584" spans="1:25" x14ac:dyDescent="0.2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 t="shared" si="348"/>
        <v>0</v>
      </c>
      <c r="W5584">
        <f t="shared" si="349"/>
        <v>1</v>
      </c>
      <c r="X5584" t="str">
        <f t="shared" si="350"/>
        <v>25-48 Months</v>
      </c>
      <c r="Y5584" s="1" t="str">
        <f t="shared" si="351"/>
        <v>Low</v>
      </c>
    </row>
    <row r="5585" spans="1:25" x14ac:dyDescent="0.2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 t="shared" si="348"/>
        <v>1</v>
      </c>
      <c r="W5585">
        <f t="shared" si="349"/>
        <v>0</v>
      </c>
      <c r="X5585" t="str">
        <f t="shared" si="350"/>
        <v>25-48 Months</v>
      </c>
      <c r="Y5585" s="1" t="str">
        <f t="shared" si="351"/>
        <v>High</v>
      </c>
    </row>
    <row r="5586" spans="1:25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 t="shared" si="348"/>
        <v>1</v>
      </c>
      <c r="W5586">
        <f t="shared" si="349"/>
        <v>0</v>
      </c>
      <c r="X5586" t="str">
        <f t="shared" si="350"/>
        <v>0-12 Months</v>
      </c>
      <c r="Y5586" s="1" t="str">
        <f t="shared" si="351"/>
        <v>High</v>
      </c>
    </row>
    <row r="5587" spans="1:25" x14ac:dyDescent="0.2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 t="shared" si="348"/>
        <v>1</v>
      </c>
      <c r="W5587">
        <f t="shared" si="349"/>
        <v>0</v>
      </c>
      <c r="X5587" t="str">
        <f t="shared" si="350"/>
        <v>0-12 Months</v>
      </c>
      <c r="Y5587" s="1" t="str">
        <f t="shared" si="351"/>
        <v>Low</v>
      </c>
    </row>
    <row r="5588" spans="1:25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 t="shared" si="348"/>
        <v>0</v>
      </c>
      <c r="W5588">
        <f t="shared" si="349"/>
        <v>1</v>
      </c>
      <c r="X5588" t="str">
        <f t="shared" si="350"/>
        <v>25-48 Months</v>
      </c>
      <c r="Y5588" s="1" t="str">
        <f t="shared" si="351"/>
        <v>Low</v>
      </c>
    </row>
    <row r="5589" spans="1:25" x14ac:dyDescent="0.2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 t="shared" si="348"/>
        <v>0</v>
      </c>
      <c r="W5589">
        <f t="shared" si="349"/>
        <v>1</v>
      </c>
      <c r="X5589" t="str">
        <f t="shared" si="350"/>
        <v>25-48 Months</v>
      </c>
      <c r="Y5589" s="1" t="str">
        <f t="shared" si="351"/>
        <v>High</v>
      </c>
    </row>
    <row r="5590" spans="1:25" x14ac:dyDescent="0.2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 t="shared" si="348"/>
        <v>1</v>
      </c>
      <c r="W5590">
        <f t="shared" si="349"/>
        <v>0</v>
      </c>
      <c r="X5590" t="str">
        <f t="shared" si="350"/>
        <v>0-12 Months</v>
      </c>
      <c r="Y5590" s="1" t="str">
        <f t="shared" si="351"/>
        <v>Low</v>
      </c>
    </row>
    <row r="5591" spans="1:25" x14ac:dyDescent="0.2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 t="shared" si="348"/>
        <v>1</v>
      </c>
      <c r="W5591">
        <f t="shared" si="349"/>
        <v>0</v>
      </c>
      <c r="X5591" t="str">
        <f t="shared" si="350"/>
        <v>25-48 Months</v>
      </c>
      <c r="Y5591" s="1" t="str">
        <f t="shared" si="351"/>
        <v>Medium</v>
      </c>
    </row>
    <row r="5592" spans="1:25" x14ac:dyDescent="0.2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 t="shared" si="348"/>
        <v>0</v>
      </c>
      <c r="W5592">
        <f t="shared" si="349"/>
        <v>1</v>
      </c>
      <c r="X5592" t="str">
        <f t="shared" si="350"/>
        <v>25-48 Months</v>
      </c>
      <c r="Y5592" s="1" t="str">
        <f t="shared" si="351"/>
        <v>Low</v>
      </c>
    </row>
    <row r="5593" spans="1:25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 t="shared" si="348"/>
        <v>1</v>
      </c>
      <c r="W5593">
        <f t="shared" si="349"/>
        <v>0</v>
      </c>
      <c r="X5593" t="str">
        <f t="shared" si="350"/>
        <v>0-12 Months</v>
      </c>
      <c r="Y5593" s="1" t="str">
        <f t="shared" si="351"/>
        <v>High</v>
      </c>
    </row>
    <row r="5594" spans="1:25" x14ac:dyDescent="0.2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 t="shared" si="348"/>
        <v>0</v>
      </c>
      <c r="W5594">
        <f t="shared" si="349"/>
        <v>1</v>
      </c>
      <c r="X5594" t="str">
        <f t="shared" si="350"/>
        <v>13-24 Months</v>
      </c>
      <c r="Y5594" s="1" t="str">
        <f t="shared" si="351"/>
        <v>Low</v>
      </c>
    </row>
    <row r="5595" spans="1:25" x14ac:dyDescent="0.2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 t="shared" si="348"/>
        <v>0</v>
      </c>
      <c r="W5595">
        <f t="shared" si="349"/>
        <v>1</v>
      </c>
      <c r="X5595" t="str">
        <f t="shared" si="350"/>
        <v>25-48 Months</v>
      </c>
      <c r="Y5595" s="1" t="str">
        <f t="shared" si="351"/>
        <v>Medium</v>
      </c>
    </row>
    <row r="5596" spans="1:25" x14ac:dyDescent="0.2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 t="shared" si="348"/>
        <v>0</v>
      </c>
      <c r="W5596">
        <f t="shared" si="349"/>
        <v>1</v>
      </c>
      <c r="X5596" t="str">
        <f t="shared" si="350"/>
        <v>13-24 Months</v>
      </c>
      <c r="Y5596" s="1" t="str">
        <f t="shared" si="351"/>
        <v>High</v>
      </c>
    </row>
    <row r="5597" spans="1:25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 t="shared" si="348"/>
        <v>0</v>
      </c>
      <c r="W5597">
        <f t="shared" si="349"/>
        <v>1</v>
      </c>
      <c r="X5597" t="str">
        <f t="shared" si="350"/>
        <v>0-12 Months</v>
      </c>
      <c r="Y5597" s="1" t="str">
        <f t="shared" si="351"/>
        <v>Low</v>
      </c>
    </row>
    <row r="5598" spans="1:25" x14ac:dyDescent="0.2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 t="shared" si="348"/>
        <v>0</v>
      </c>
      <c r="W5598">
        <f t="shared" si="349"/>
        <v>1</v>
      </c>
      <c r="X5598" t="str">
        <f t="shared" si="350"/>
        <v>49+ Months</v>
      </c>
      <c r="Y5598" s="1" t="str">
        <f t="shared" si="351"/>
        <v>Low</v>
      </c>
    </row>
    <row r="5599" spans="1:25" x14ac:dyDescent="0.2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 t="shared" si="348"/>
        <v>1</v>
      </c>
      <c r="W5599">
        <f t="shared" si="349"/>
        <v>0</v>
      </c>
      <c r="X5599" t="str">
        <f t="shared" si="350"/>
        <v>13-24 Months</v>
      </c>
      <c r="Y5599" s="1" t="str">
        <f t="shared" si="351"/>
        <v>High</v>
      </c>
    </row>
    <row r="5600" spans="1:25" x14ac:dyDescent="0.2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 t="shared" si="348"/>
        <v>0</v>
      </c>
      <c r="W5600">
        <f t="shared" si="349"/>
        <v>1</v>
      </c>
      <c r="X5600" t="str">
        <f t="shared" si="350"/>
        <v>49+ Months</v>
      </c>
      <c r="Y5600" s="1" t="str">
        <f t="shared" si="351"/>
        <v>Low</v>
      </c>
    </row>
    <row r="5601" spans="1:25" x14ac:dyDescent="0.2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 t="shared" si="348"/>
        <v>1</v>
      </c>
      <c r="W5601">
        <f t="shared" si="349"/>
        <v>0</v>
      </c>
      <c r="X5601" t="str">
        <f t="shared" si="350"/>
        <v>0-12 Months</v>
      </c>
      <c r="Y5601" s="1" t="str">
        <f t="shared" si="351"/>
        <v>High</v>
      </c>
    </row>
    <row r="5602" spans="1:25" x14ac:dyDescent="0.2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 t="shared" si="348"/>
        <v>1</v>
      </c>
      <c r="W5602">
        <f t="shared" si="349"/>
        <v>0</v>
      </c>
      <c r="X5602" t="str">
        <f t="shared" si="350"/>
        <v>0-12 Months</v>
      </c>
      <c r="Y5602" s="1" t="str">
        <f t="shared" si="351"/>
        <v>Medium</v>
      </c>
    </row>
    <row r="5603" spans="1:25" x14ac:dyDescent="0.2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 t="shared" si="348"/>
        <v>0</v>
      </c>
      <c r="W5603">
        <f t="shared" si="349"/>
        <v>1</v>
      </c>
      <c r="X5603" t="str">
        <f t="shared" si="350"/>
        <v>25-48 Months</v>
      </c>
      <c r="Y5603" s="1" t="str">
        <f t="shared" si="351"/>
        <v>Low</v>
      </c>
    </row>
    <row r="5604" spans="1:25" x14ac:dyDescent="0.2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 t="shared" si="348"/>
        <v>0</v>
      </c>
      <c r="W5604">
        <f t="shared" si="349"/>
        <v>1</v>
      </c>
      <c r="X5604" t="str">
        <f t="shared" si="350"/>
        <v>0-12 Months</v>
      </c>
      <c r="Y5604" s="1" t="str">
        <f t="shared" si="351"/>
        <v>High</v>
      </c>
    </row>
    <row r="5605" spans="1:25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 t="shared" si="348"/>
        <v>1</v>
      </c>
      <c r="W5605">
        <f t="shared" si="349"/>
        <v>0</v>
      </c>
      <c r="X5605" t="str">
        <f t="shared" si="350"/>
        <v>0-12 Months</v>
      </c>
      <c r="Y5605" s="1" t="str">
        <f t="shared" si="351"/>
        <v>Low</v>
      </c>
    </row>
    <row r="5606" spans="1:25" x14ac:dyDescent="0.2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 t="shared" si="348"/>
        <v>0</v>
      </c>
      <c r="W5606">
        <f t="shared" si="349"/>
        <v>1</v>
      </c>
      <c r="X5606" t="str">
        <f t="shared" si="350"/>
        <v>13-24 Months</v>
      </c>
      <c r="Y5606" s="1" t="str">
        <f t="shared" si="351"/>
        <v>Medium</v>
      </c>
    </row>
    <row r="5607" spans="1:25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 t="shared" si="348"/>
        <v>0</v>
      </c>
      <c r="W5607">
        <f t="shared" si="349"/>
        <v>1</v>
      </c>
      <c r="X5607" t="str">
        <f t="shared" si="350"/>
        <v>0-12 Months</v>
      </c>
      <c r="Y5607" s="1" t="str">
        <f t="shared" si="351"/>
        <v>Medium</v>
      </c>
    </row>
    <row r="5608" spans="1:25" x14ac:dyDescent="0.2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 t="shared" si="348"/>
        <v>0</v>
      </c>
      <c r="W5608">
        <f t="shared" si="349"/>
        <v>1</v>
      </c>
      <c r="X5608" t="str">
        <f t="shared" si="350"/>
        <v>13-24 Months</v>
      </c>
      <c r="Y5608" s="1" t="str">
        <f t="shared" si="351"/>
        <v>Medium</v>
      </c>
    </row>
    <row r="5609" spans="1:25" x14ac:dyDescent="0.2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 t="shared" si="348"/>
        <v>1</v>
      </c>
      <c r="W5609">
        <f t="shared" si="349"/>
        <v>0</v>
      </c>
      <c r="X5609" t="str">
        <f t="shared" si="350"/>
        <v>25-48 Months</v>
      </c>
      <c r="Y5609" s="1" t="str">
        <f t="shared" si="351"/>
        <v>Medium</v>
      </c>
    </row>
    <row r="5610" spans="1:25" x14ac:dyDescent="0.2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 t="shared" si="348"/>
        <v>0</v>
      </c>
      <c r="W5610">
        <f t="shared" si="349"/>
        <v>1</v>
      </c>
      <c r="X5610" t="str">
        <f t="shared" si="350"/>
        <v>13-24 Months</v>
      </c>
      <c r="Y5610" s="1" t="str">
        <f t="shared" si="351"/>
        <v>Medium</v>
      </c>
    </row>
    <row r="5611" spans="1:25" x14ac:dyDescent="0.2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 t="shared" si="348"/>
        <v>1</v>
      </c>
      <c r="W5611">
        <f t="shared" si="349"/>
        <v>0</v>
      </c>
      <c r="X5611" t="str">
        <f t="shared" si="350"/>
        <v>25-48 Months</v>
      </c>
      <c r="Y5611" s="1" t="str">
        <f t="shared" si="351"/>
        <v>High</v>
      </c>
    </row>
    <row r="5612" spans="1:25" x14ac:dyDescent="0.2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 t="shared" si="348"/>
        <v>1</v>
      </c>
      <c r="W5612">
        <f t="shared" si="349"/>
        <v>0</v>
      </c>
      <c r="X5612" t="str">
        <f t="shared" si="350"/>
        <v>0-12 Months</v>
      </c>
      <c r="Y5612" s="1" t="str">
        <f t="shared" si="351"/>
        <v>Medium</v>
      </c>
    </row>
    <row r="5613" spans="1:25" x14ac:dyDescent="0.2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 t="shared" si="348"/>
        <v>0</v>
      </c>
      <c r="W5613">
        <f t="shared" si="349"/>
        <v>1</v>
      </c>
      <c r="X5613" t="str">
        <f t="shared" si="350"/>
        <v>49+ Months</v>
      </c>
      <c r="Y5613" s="1" t="str">
        <f t="shared" si="351"/>
        <v>High</v>
      </c>
    </row>
    <row r="5614" spans="1:25" x14ac:dyDescent="0.2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 t="shared" si="348"/>
        <v>0</v>
      </c>
      <c r="W5614">
        <f t="shared" si="349"/>
        <v>1</v>
      </c>
      <c r="X5614" t="str">
        <f t="shared" si="350"/>
        <v>25-48 Months</v>
      </c>
      <c r="Y5614" s="1" t="str">
        <f t="shared" si="351"/>
        <v>Medium</v>
      </c>
    </row>
    <row r="5615" spans="1:25" x14ac:dyDescent="0.2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 t="shared" si="348"/>
        <v>0</v>
      </c>
      <c r="W5615">
        <f t="shared" si="349"/>
        <v>1</v>
      </c>
      <c r="X5615" t="str">
        <f t="shared" si="350"/>
        <v>49+ Months</v>
      </c>
      <c r="Y5615" s="1" t="str">
        <f t="shared" si="351"/>
        <v>Medium</v>
      </c>
    </row>
    <row r="5616" spans="1:25" x14ac:dyDescent="0.2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 t="shared" si="348"/>
        <v>0</v>
      </c>
      <c r="W5616">
        <f t="shared" si="349"/>
        <v>1</v>
      </c>
      <c r="X5616" t="str">
        <f t="shared" si="350"/>
        <v>49+ Months</v>
      </c>
      <c r="Y5616" s="1" t="str">
        <f t="shared" si="351"/>
        <v>High</v>
      </c>
    </row>
    <row r="5617" spans="1:25" x14ac:dyDescent="0.2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 t="shared" si="348"/>
        <v>1</v>
      </c>
      <c r="W5617">
        <f t="shared" si="349"/>
        <v>0</v>
      </c>
      <c r="X5617" t="str">
        <f t="shared" si="350"/>
        <v>0-12 Months</v>
      </c>
      <c r="Y5617" s="1" t="str">
        <f t="shared" si="351"/>
        <v>Low</v>
      </c>
    </row>
    <row r="5618" spans="1:25" x14ac:dyDescent="0.2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 t="shared" si="348"/>
        <v>0</v>
      </c>
      <c r="W5618">
        <f t="shared" si="349"/>
        <v>1</v>
      </c>
      <c r="X5618" t="str">
        <f t="shared" si="350"/>
        <v>25-48 Months</v>
      </c>
      <c r="Y5618" s="1" t="str">
        <f t="shared" si="351"/>
        <v>Medium</v>
      </c>
    </row>
    <row r="5619" spans="1:25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 t="shared" si="348"/>
        <v>0</v>
      </c>
      <c r="W5619">
        <f t="shared" si="349"/>
        <v>1</v>
      </c>
      <c r="X5619" t="str">
        <f t="shared" si="350"/>
        <v>0-12 Months</v>
      </c>
      <c r="Y5619" s="1" t="str">
        <f t="shared" si="351"/>
        <v>Low</v>
      </c>
    </row>
    <row r="5620" spans="1:25" x14ac:dyDescent="0.2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 t="shared" si="348"/>
        <v>0</v>
      </c>
      <c r="W5620">
        <f t="shared" si="349"/>
        <v>1</v>
      </c>
      <c r="X5620" t="str">
        <f t="shared" si="350"/>
        <v>0-12 Months</v>
      </c>
      <c r="Y5620" s="1" t="str">
        <f t="shared" si="351"/>
        <v>Low</v>
      </c>
    </row>
    <row r="5621" spans="1:25" x14ac:dyDescent="0.2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 t="shared" si="348"/>
        <v>0</v>
      </c>
      <c r="W5621">
        <f t="shared" si="349"/>
        <v>1</v>
      </c>
      <c r="X5621" t="str">
        <f t="shared" si="350"/>
        <v>13-24 Months</v>
      </c>
      <c r="Y5621" s="1" t="str">
        <f t="shared" si="351"/>
        <v>High</v>
      </c>
    </row>
    <row r="5622" spans="1:25" x14ac:dyDescent="0.2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 t="shared" si="348"/>
        <v>0</v>
      </c>
      <c r="W5622">
        <f t="shared" si="349"/>
        <v>1</v>
      </c>
      <c r="X5622" t="str">
        <f t="shared" si="350"/>
        <v>49+ Months</v>
      </c>
      <c r="Y5622" s="1" t="str">
        <f t="shared" si="351"/>
        <v>High</v>
      </c>
    </row>
    <row r="5623" spans="1:25" x14ac:dyDescent="0.2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 t="shared" si="348"/>
        <v>1</v>
      </c>
      <c r="W5623">
        <f t="shared" si="349"/>
        <v>0</v>
      </c>
      <c r="X5623" t="str">
        <f t="shared" si="350"/>
        <v>0-12 Months</v>
      </c>
      <c r="Y5623" s="1" t="str">
        <f t="shared" si="351"/>
        <v>Medium</v>
      </c>
    </row>
    <row r="5624" spans="1:25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 t="shared" si="348"/>
        <v>1</v>
      </c>
      <c r="W5624">
        <f t="shared" si="349"/>
        <v>0</v>
      </c>
      <c r="X5624" t="str">
        <f t="shared" si="350"/>
        <v>13-24 Months</v>
      </c>
      <c r="Y5624" s="1" t="str">
        <f t="shared" si="351"/>
        <v>High</v>
      </c>
    </row>
    <row r="5625" spans="1:25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 t="shared" si="348"/>
        <v>0</v>
      </c>
      <c r="W5625">
        <f t="shared" si="349"/>
        <v>1</v>
      </c>
      <c r="X5625" t="str">
        <f t="shared" si="350"/>
        <v>25-48 Months</v>
      </c>
      <c r="Y5625" s="1" t="str">
        <f t="shared" si="351"/>
        <v>Medium</v>
      </c>
    </row>
    <row r="5626" spans="1:25" x14ac:dyDescent="0.2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 t="shared" si="348"/>
        <v>0</v>
      </c>
      <c r="W5626">
        <f t="shared" si="349"/>
        <v>1</v>
      </c>
      <c r="X5626" t="str">
        <f t="shared" si="350"/>
        <v>49+ Months</v>
      </c>
      <c r="Y5626" s="1" t="str">
        <f t="shared" si="351"/>
        <v>High</v>
      </c>
    </row>
    <row r="5627" spans="1:25" x14ac:dyDescent="0.2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 t="shared" si="348"/>
        <v>0</v>
      </c>
      <c r="W5627">
        <f t="shared" si="349"/>
        <v>1</v>
      </c>
      <c r="X5627" t="str">
        <f t="shared" si="350"/>
        <v>13-24 Months</v>
      </c>
      <c r="Y5627" s="1" t="str">
        <f t="shared" si="351"/>
        <v>Low</v>
      </c>
    </row>
    <row r="5628" spans="1:25" x14ac:dyDescent="0.2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 t="shared" si="348"/>
        <v>0</v>
      </c>
      <c r="W5628">
        <f t="shared" si="349"/>
        <v>1</v>
      </c>
      <c r="X5628" t="str">
        <f t="shared" si="350"/>
        <v>0-12 Months</v>
      </c>
      <c r="Y5628" s="1" t="str">
        <f t="shared" si="351"/>
        <v>Medium</v>
      </c>
    </row>
    <row r="5629" spans="1:25" x14ac:dyDescent="0.2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 t="shared" si="348"/>
        <v>0</v>
      </c>
      <c r="W5629">
        <f t="shared" si="349"/>
        <v>1</v>
      </c>
      <c r="X5629" t="str">
        <f t="shared" si="350"/>
        <v>0-12 Months</v>
      </c>
      <c r="Y5629" s="1" t="str">
        <f t="shared" si="351"/>
        <v>Medium</v>
      </c>
    </row>
    <row r="5630" spans="1:25" x14ac:dyDescent="0.2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 t="shared" si="348"/>
        <v>1</v>
      </c>
      <c r="W5630">
        <f t="shared" si="349"/>
        <v>0</v>
      </c>
      <c r="X5630" t="str">
        <f t="shared" si="350"/>
        <v>13-24 Months</v>
      </c>
      <c r="Y5630" s="1" t="str">
        <f t="shared" si="351"/>
        <v>High</v>
      </c>
    </row>
    <row r="5631" spans="1:25" x14ac:dyDescent="0.2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 t="shared" si="348"/>
        <v>1</v>
      </c>
      <c r="W5631">
        <f t="shared" si="349"/>
        <v>0</v>
      </c>
      <c r="X5631" t="str">
        <f t="shared" si="350"/>
        <v>0-12 Months</v>
      </c>
      <c r="Y5631" s="1" t="str">
        <f t="shared" si="351"/>
        <v>Low</v>
      </c>
    </row>
    <row r="5632" spans="1:25" x14ac:dyDescent="0.2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 t="shared" si="348"/>
        <v>1</v>
      </c>
      <c r="W5632">
        <f t="shared" si="349"/>
        <v>0</v>
      </c>
      <c r="X5632" t="str">
        <f t="shared" si="350"/>
        <v>25-48 Months</v>
      </c>
      <c r="Y5632" s="1" t="str">
        <f t="shared" si="351"/>
        <v>High</v>
      </c>
    </row>
    <row r="5633" spans="1:25" x14ac:dyDescent="0.2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 t="shared" si="348"/>
        <v>0</v>
      </c>
      <c r="W5633">
        <f t="shared" si="349"/>
        <v>1</v>
      </c>
      <c r="X5633" t="str">
        <f t="shared" si="350"/>
        <v>0-12 Months</v>
      </c>
      <c r="Y5633" s="1" t="str">
        <f t="shared" si="351"/>
        <v>Low</v>
      </c>
    </row>
    <row r="5634" spans="1:25" x14ac:dyDescent="0.2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 t="shared" ref="V5634:V5697" si="352">IF(U5634="Yes",1,0)</f>
        <v>0</v>
      </c>
      <c r="W5634">
        <f t="shared" ref="W5634:W5697" si="353">IF(U5634="No",1,0)</f>
        <v>1</v>
      </c>
      <c r="X5634" t="str">
        <f t="shared" ref="X5634:X5697" si="354">IF(F5634&lt;=12,"0-12 Months",IF(F5634&lt;=24,"13-24 Months",IF(F5634&lt;=48,"25-48 Months","49+ Months")))</f>
        <v>49+ Months</v>
      </c>
      <c r="Y5634" s="1" t="str">
        <f t="shared" ref="Y5634:Y5697" si="355">IF(S5634&lt;50,"Low",IF(S5634&lt;80,"Medium","High"))</f>
        <v>Low</v>
      </c>
    </row>
    <row r="5635" spans="1:25" x14ac:dyDescent="0.2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 t="shared" si="352"/>
        <v>0</v>
      </c>
      <c r="W5635">
        <f t="shared" si="353"/>
        <v>1</v>
      </c>
      <c r="X5635" t="str">
        <f t="shared" si="354"/>
        <v>0-12 Months</v>
      </c>
      <c r="Y5635" s="1" t="str">
        <f t="shared" si="355"/>
        <v>Low</v>
      </c>
    </row>
    <row r="5636" spans="1:25" x14ac:dyDescent="0.2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 t="shared" si="352"/>
        <v>1</v>
      </c>
      <c r="W5636">
        <f t="shared" si="353"/>
        <v>0</v>
      </c>
      <c r="X5636" t="str">
        <f t="shared" si="354"/>
        <v>0-12 Months</v>
      </c>
      <c r="Y5636" s="1" t="str">
        <f t="shared" si="355"/>
        <v>Low</v>
      </c>
    </row>
    <row r="5637" spans="1:25" x14ac:dyDescent="0.2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 t="shared" si="352"/>
        <v>0</v>
      </c>
      <c r="W5637">
        <f t="shared" si="353"/>
        <v>1</v>
      </c>
      <c r="X5637" t="str">
        <f t="shared" si="354"/>
        <v>13-24 Months</v>
      </c>
      <c r="Y5637" s="1" t="str">
        <f t="shared" si="355"/>
        <v>Medium</v>
      </c>
    </row>
    <row r="5638" spans="1:25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 t="shared" si="352"/>
        <v>1</v>
      </c>
      <c r="W5638">
        <f t="shared" si="353"/>
        <v>0</v>
      </c>
      <c r="X5638" t="str">
        <f t="shared" si="354"/>
        <v>13-24 Months</v>
      </c>
      <c r="Y5638" s="1" t="str">
        <f t="shared" si="355"/>
        <v>Low</v>
      </c>
    </row>
    <row r="5639" spans="1:25" x14ac:dyDescent="0.2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 t="shared" si="352"/>
        <v>0</v>
      </c>
      <c r="W5639">
        <f t="shared" si="353"/>
        <v>1</v>
      </c>
      <c r="X5639" t="str">
        <f t="shared" si="354"/>
        <v>49+ Months</v>
      </c>
      <c r="Y5639" s="1" t="str">
        <f t="shared" si="355"/>
        <v>High</v>
      </c>
    </row>
    <row r="5640" spans="1:25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 t="shared" si="352"/>
        <v>1</v>
      </c>
      <c r="W5640">
        <f t="shared" si="353"/>
        <v>0</v>
      </c>
      <c r="X5640" t="str">
        <f t="shared" si="354"/>
        <v>0-12 Months</v>
      </c>
      <c r="Y5640" s="1" t="str">
        <f t="shared" si="355"/>
        <v>Low</v>
      </c>
    </row>
    <row r="5641" spans="1:25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 t="shared" si="352"/>
        <v>0</v>
      </c>
      <c r="W5641">
        <f t="shared" si="353"/>
        <v>1</v>
      </c>
      <c r="X5641" t="str">
        <f t="shared" si="354"/>
        <v>0-12 Months</v>
      </c>
      <c r="Y5641" s="1" t="str">
        <f t="shared" si="355"/>
        <v>Low</v>
      </c>
    </row>
    <row r="5642" spans="1:25" x14ac:dyDescent="0.2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 t="shared" si="352"/>
        <v>1</v>
      </c>
      <c r="W5642">
        <f t="shared" si="353"/>
        <v>0</v>
      </c>
      <c r="X5642" t="str">
        <f t="shared" si="354"/>
        <v>0-12 Months</v>
      </c>
      <c r="Y5642" s="1" t="str">
        <f t="shared" si="355"/>
        <v>Medium</v>
      </c>
    </row>
    <row r="5643" spans="1:25" x14ac:dyDescent="0.2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 t="shared" si="352"/>
        <v>0</v>
      </c>
      <c r="W5643">
        <f t="shared" si="353"/>
        <v>1</v>
      </c>
      <c r="X5643" t="str">
        <f t="shared" si="354"/>
        <v>25-48 Months</v>
      </c>
      <c r="Y5643" s="1" t="str">
        <f t="shared" si="355"/>
        <v>Low</v>
      </c>
    </row>
    <row r="5644" spans="1:25" x14ac:dyDescent="0.2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 t="shared" si="352"/>
        <v>0</v>
      </c>
      <c r="W5644">
        <f t="shared" si="353"/>
        <v>1</v>
      </c>
      <c r="X5644" t="str">
        <f t="shared" si="354"/>
        <v>13-24 Months</v>
      </c>
      <c r="Y5644" s="1" t="str">
        <f t="shared" si="355"/>
        <v>Low</v>
      </c>
    </row>
    <row r="5645" spans="1:25" x14ac:dyDescent="0.2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 t="shared" si="352"/>
        <v>1</v>
      </c>
      <c r="W5645">
        <f t="shared" si="353"/>
        <v>0</v>
      </c>
      <c r="X5645" t="str">
        <f t="shared" si="354"/>
        <v>0-12 Months</v>
      </c>
      <c r="Y5645" s="1" t="str">
        <f t="shared" si="355"/>
        <v>Medium</v>
      </c>
    </row>
    <row r="5646" spans="1:25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 t="shared" si="352"/>
        <v>1</v>
      </c>
      <c r="W5646">
        <f t="shared" si="353"/>
        <v>0</v>
      </c>
      <c r="X5646" t="str">
        <f t="shared" si="354"/>
        <v>0-12 Months</v>
      </c>
      <c r="Y5646" s="1" t="str">
        <f t="shared" si="355"/>
        <v>Medium</v>
      </c>
    </row>
    <row r="5647" spans="1:25" x14ac:dyDescent="0.2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 t="shared" si="352"/>
        <v>0</v>
      </c>
      <c r="W5647">
        <f t="shared" si="353"/>
        <v>1</v>
      </c>
      <c r="X5647" t="str">
        <f t="shared" si="354"/>
        <v>49+ Months</v>
      </c>
      <c r="Y5647" s="1" t="str">
        <f t="shared" si="355"/>
        <v>Medium</v>
      </c>
    </row>
    <row r="5648" spans="1:25" x14ac:dyDescent="0.2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 t="shared" si="352"/>
        <v>1</v>
      </c>
      <c r="W5648">
        <f t="shared" si="353"/>
        <v>0</v>
      </c>
      <c r="X5648" t="str">
        <f t="shared" si="354"/>
        <v>0-12 Months</v>
      </c>
      <c r="Y5648" s="1" t="str">
        <f t="shared" si="355"/>
        <v>Low</v>
      </c>
    </row>
    <row r="5649" spans="1:25" x14ac:dyDescent="0.2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 t="shared" si="352"/>
        <v>0</v>
      </c>
      <c r="W5649">
        <f t="shared" si="353"/>
        <v>1</v>
      </c>
      <c r="X5649" t="str">
        <f t="shared" si="354"/>
        <v>25-48 Months</v>
      </c>
      <c r="Y5649" s="1" t="str">
        <f t="shared" si="355"/>
        <v>Medium</v>
      </c>
    </row>
    <row r="5650" spans="1:25" x14ac:dyDescent="0.2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 t="shared" si="352"/>
        <v>0</v>
      </c>
      <c r="W5650">
        <f t="shared" si="353"/>
        <v>1</v>
      </c>
      <c r="X5650" t="str">
        <f t="shared" si="354"/>
        <v>25-48 Months</v>
      </c>
      <c r="Y5650" s="1" t="str">
        <f t="shared" si="355"/>
        <v>Low</v>
      </c>
    </row>
    <row r="5651" spans="1:25" x14ac:dyDescent="0.2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 t="shared" si="352"/>
        <v>0</v>
      </c>
      <c r="W5651">
        <f t="shared" si="353"/>
        <v>1</v>
      </c>
      <c r="X5651" t="str">
        <f t="shared" si="354"/>
        <v>25-48 Months</v>
      </c>
      <c r="Y5651" s="1" t="str">
        <f t="shared" si="355"/>
        <v>Low</v>
      </c>
    </row>
    <row r="5652" spans="1:25" x14ac:dyDescent="0.2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 t="shared" si="352"/>
        <v>0</v>
      </c>
      <c r="W5652">
        <f t="shared" si="353"/>
        <v>1</v>
      </c>
      <c r="X5652" t="str">
        <f t="shared" si="354"/>
        <v>25-48 Months</v>
      </c>
      <c r="Y5652" s="1" t="str">
        <f t="shared" si="355"/>
        <v>Medium</v>
      </c>
    </row>
    <row r="5653" spans="1:25" x14ac:dyDescent="0.2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 t="shared" si="352"/>
        <v>1</v>
      </c>
      <c r="W5653">
        <f t="shared" si="353"/>
        <v>0</v>
      </c>
      <c r="X5653" t="str">
        <f t="shared" si="354"/>
        <v>25-48 Months</v>
      </c>
      <c r="Y5653" s="1" t="str">
        <f t="shared" si="355"/>
        <v>High</v>
      </c>
    </row>
    <row r="5654" spans="1:25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 t="shared" si="352"/>
        <v>0</v>
      </c>
      <c r="W5654">
        <f t="shared" si="353"/>
        <v>1</v>
      </c>
      <c r="X5654" t="str">
        <f t="shared" si="354"/>
        <v>0-12 Months</v>
      </c>
      <c r="Y5654" s="1" t="str">
        <f t="shared" si="355"/>
        <v>Low</v>
      </c>
    </row>
    <row r="5655" spans="1:25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 t="shared" si="352"/>
        <v>1</v>
      </c>
      <c r="W5655">
        <f t="shared" si="353"/>
        <v>0</v>
      </c>
      <c r="X5655" t="str">
        <f t="shared" si="354"/>
        <v>0-12 Months</v>
      </c>
      <c r="Y5655" s="1" t="str">
        <f t="shared" si="355"/>
        <v>Medium</v>
      </c>
    </row>
    <row r="5656" spans="1:25" x14ac:dyDescent="0.2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 t="shared" si="352"/>
        <v>0</v>
      </c>
      <c r="W5656">
        <f t="shared" si="353"/>
        <v>1</v>
      </c>
      <c r="X5656" t="str">
        <f t="shared" si="354"/>
        <v>49+ Months</v>
      </c>
      <c r="Y5656" s="1" t="str">
        <f t="shared" si="355"/>
        <v>High</v>
      </c>
    </row>
    <row r="5657" spans="1:25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 t="shared" si="352"/>
        <v>0</v>
      </c>
      <c r="W5657">
        <f t="shared" si="353"/>
        <v>1</v>
      </c>
      <c r="X5657" t="str">
        <f t="shared" si="354"/>
        <v>49+ Months</v>
      </c>
      <c r="Y5657" s="1" t="str">
        <f t="shared" si="355"/>
        <v>Low</v>
      </c>
    </row>
    <row r="5658" spans="1:25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 t="shared" si="352"/>
        <v>0</v>
      </c>
      <c r="W5658">
        <f t="shared" si="353"/>
        <v>1</v>
      </c>
      <c r="X5658" t="str">
        <f t="shared" si="354"/>
        <v>0-12 Months</v>
      </c>
      <c r="Y5658" s="1" t="str">
        <f t="shared" si="355"/>
        <v>Low</v>
      </c>
    </row>
    <row r="5659" spans="1:25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 t="shared" si="352"/>
        <v>0</v>
      </c>
      <c r="W5659">
        <f t="shared" si="353"/>
        <v>1</v>
      </c>
      <c r="X5659" t="str">
        <f t="shared" si="354"/>
        <v>13-24 Months</v>
      </c>
      <c r="Y5659" s="1" t="str">
        <f t="shared" si="355"/>
        <v>High</v>
      </c>
    </row>
    <row r="5660" spans="1:25" x14ac:dyDescent="0.2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 t="shared" si="352"/>
        <v>0</v>
      </c>
      <c r="W5660">
        <f t="shared" si="353"/>
        <v>1</v>
      </c>
      <c r="X5660" t="str">
        <f t="shared" si="354"/>
        <v>13-24 Months</v>
      </c>
      <c r="Y5660" s="1" t="str">
        <f t="shared" si="355"/>
        <v>High</v>
      </c>
    </row>
    <row r="5661" spans="1:25" x14ac:dyDescent="0.2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 t="shared" si="352"/>
        <v>0</v>
      </c>
      <c r="W5661">
        <f t="shared" si="353"/>
        <v>1</v>
      </c>
      <c r="X5661" t="str">
        <f t="shared" si="354"/>
        <v>49+ Months</v>
      </c>
      <c r="Y5661" s="1" t="str">
        <f t="shared" si="355"/>
        <v>Medium</v>
      </c>
    </row>
    <row r="5662" spans="1:25" x14ac:dyDescent="0.2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 t="shared" si="352"/>
        <v>0</v>
      </c>
      <c r="W5662">
        <f t="shared" si="353"/>
        <v>1</v>
      </c>
      <c r="X5662" t="str">
        <f t="shared" si="354"/>
        <v>25-48 Months</v>
      </c>
      <c r="Y5662" s="1" t="str">
        <f t="shared" si="355"/>
        <v>Medium</v>
      </c>
    </row>
    <row r="5663" spans="1:25" x14ac:dyDescent="0.2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 t="shared" si="352"/>
        <v>0</v>
      </c>
      <c r="W5663">
        <f t="shared" si="353"/>
        <v>1</v>
      </c>
      <c r="X5663" t="str">
        <f t="shared" si="354"/>
        <v>0-12 Months</v>
      </c>
      <c r="Y5663" s="1" t="str">
        <f t="shared" si="355"/>
        <v>Low</v>
      </c>
    </row>
    <row r="5664" spans="1:25" x14ac:dyDescent="0.2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 t="shared" si="352"/>
        <v>1</v>
      </c>
      <c r="W5664">
        <f t="shared" si="353"/>
        <v>0</v>
      </c>
      <c r="X5664" t="str">
        <f t="shared" si="354"/>
        <v>0-12 Months</v>
      </c>
      <c r="Y5664" s="1" t="str">
        <f t="shared" si="355"/>
        <v>Medium</v>
      </c>
    </row>
    <row r="5665" spans="1:25" x14ac:dyDescent="0.2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 t="shared" si="352"/>
        <v>0</v>
      </c>
      <c r="W5665">
        <f t="shared" si="353"/>
        <v>1</v>
      </c>
      <c r="X5665" t="str">
        <f t="shared" si="354"/>
        <v>25-48 Months</v>
      </c>
      <c r="Y5665" s="1" t="str">
        <f t="shared" si="355"/>
        <v>High</v>
      </c>
    </row>
    <row r="5666" spans="1:25" x14ac:dyDescent="0.2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 t="shared" si="352"/>
        <v>1</v>
      </c>
      <c r="W5666">
        <f t="shared" si="353"/>
        <v>0</v>
      </c>
      <c r="X5666" t="str">
        <f t="shared" si="354"/>
        <v>0-12 Months</v>
      </c>
      <c r="Y5666" s="1" t="str">
        <f t="shared" si="355"/>
        <v>High</v>
      </c>
    </row>
    <row r="5667" spans="1:25" x14ac:dyDescent="0.2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 t="shared" si="352"/>
        <v>0</v>
      </c>
      <c r="W5667">
        <f t="shared" si="353"/>
        <v>1</v>
      </c>
      <c r="X5667" t="str">
        <f t="shared" si="354"/>
        <v>25-48 Months</v>
      </c>
      <c r="Y5667" s="1" t="str">
        <f t="shared" si="355"/>
        <v>Low</v>
      </c>
    </row>
    <row r="5668" spans="1:25" x14ac:dyDescent="0.2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 t="shared" si="352"/>
        <v>0</v>
      </c>
      <c r="W5668">
        <f t="shared" si="353"/>
        <v>1</v>
      </c>
      <c r="X5668" t="str">
        <f t="shared" si="354"/>
        <v>25-48 Months</v>
      </c>
      <c r="Y5668" s="1" t="str">
        <f t="shared" si="355"/>
        <v>Medium</v>
      </c>
    </row>
    <row r="5669" spans="1:25" x14ac:dyDescent="0.2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 t="shared" si="352"/>
        <v>0</v>
      </c>
      <c r="W5669">
        <f t="shared" si="353"/>
        <v>1</v>
      </c>
      <c r="X5669" t="str">
        <f t="shared" si="354"/>
        <v>0-12 Months</v>
      </c>
      <c r="Y5669" s="1" t="str">
        <f t="shared" si="355"/>
        <v>Low</v>
      </c>
    </row>
    <row r="5670" spans="1:25" x14ac:dyDescent="0.2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 t="shared" si="352"/>
        <v>0</v>
      </c>
      <c r="W5670">
        <f t="shared" si="353"/>
        <v>1</v>
      </c>
      <c r="X5670" t="str">
        <f t="shared" si="354"/>
        <v>25-48 Months</v>
      </c>
      <c r="Y5670" s="1" t="str">
        <f t="shared" si="355"/>
        <v>High</v>
      </c>
    </row>
    <row r="5671" spans="1:25" x14ac:dyDescent="0.2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 t="shared" si="352"/>
        <v>0</v>
      </c>
      <c r="W5671">
        <f t="shared" si="353"/>
        <v>1</v>
      </c>
      <c r="X5671" t="str">
        <f t="shared" si="354"/>
        <v>25-48 Months</v>
      </c>
      <c r="Y5671" s="1" t="str">
        <f t="shared" si="355"/>
        <v>High</v>
      </c>
    </row>
    <row r="5672" spans="1:25" x14ac:dyDescent="0.2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 t="shared" si="352"/>
        <v>1</v>
      </c>
      <c r="W5672">
        <f t="shared" si="353"/>
        <v>0</v>
      </c>
      <c r="X5672" t="str">
        <f t="shared" si="354"/>
        <v>13-24 Months</v>
      </c>
      <c r="Y5672" s="1" t="str">
        <f t="shared" si="355"/>
        <v>Low</v>
      </c>
    </row>
    <row r="5673" spans="1:25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 t="shared" si="352"/>
        <v>0</v>
      </c>
      <c r="W5673">
        <f t="shared" si="353"/>
        <v>1</v>
      </c>
      <c r="X5673" t="str">
        <f t="shared" si="354"/>
        <v>49+ Months</v>
      </c>
      <c r="Y5673" s="1" t="str">
        <f t="shared" si="355"/>
        <v>Low</v>
      </c>
    </row>
    <row r="5674" spans="1:25" x14ac:dyDescent="0.2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 t="shared" si="352"/>
        <v>0</v>
      </c>
      <c r="W5674">
        <f t="shared" si="353"/>
        <v>1</v>
      </c>
      <c r="X5674" t="str">
        <f t="shared" si="354"/>
        <v>49+ Months</v>
      </c>
      <c r="Y5674" s="1" t="str">
        <f t="shared" si="355"/>
        <v>Medium</v>
      </c>
    </row>
    <row r="5675" spans="1:25" x14ac:dyDescent="0.2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 t="shared" si="352"/>
        <v>0</v>
      </c>
      <c r="W5675">
        <f t="shared" si="353"/>
        <v>1</v>
      </c>
      <c r="X5675" t="str">
        <f t="shared" si="354"/>
        <v>0-12 Months</v>
      </c>
      <c r="Y5675" s="1" t="str">
        <f t="shared" si="355"/>
        <v>Low</v>
      </c>
    </row>
    <row r="5676" spans="1:25" x14ac:dyDescent="0.2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 t="shared" si="352"/>
        <v>0</v>
      </c>
      <c r="W5676">
        <f t="shared" si="353"/>
        <v>1</v>
      </c>
      <c r="X5676" t="str">
        <f t="shared" si="354"/>
        <v>49+ Months</v>
      </c>
      <c r="Y5676" s="1" t="str">
        <f t="shared" si="355"/>
        <v>Low</v>
      </c>
    </row>
    <row r="5677" spans="1:25" x14ac:dyDescent="0.2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 t="shared" si="352"/>
        <v>0</v>
      </c>
      <c r="W5677">
        <f t="shared" si="353"/>
        <v>1</v>
      </c>
      <c r="X5677" t="str">
        <f t="shared" si="354"/>
        <v>0-12 Months</v>
      </c>
      <c r="Y5677" s="1" t="str">
        <f t="shared" si="355"/>
        <v>Medium</v>
      </c>
    </row>
    <row r="5678" spans="1:25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 t="shared" si="352"/>
        <v>0</v>
      </c>
      <c r="W5678">
        <f t="shared" si="353"/>
        <v>1</v>
      </c>
      <c r="X5678" t="str">
        <f t="shared" si="354"/>
        <v>0-12 Months</v>
      </c>
      <c r="Y5678" s="1" t="str">
        <f t="shared" si="355"/>
        <v>Low</v>
      </c>
    </row>
    <row r="5679" spans="1:25" x14ac:dyDescent="0.2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 t="shared" si="352"/>
        <v>0</v>
      </c>
      <c r="W5679">
        <f t="shared" si="353"/>
        <v>1</v>
      </c>
      <c r="X5679" t="str">
        <f t="shared" si="354"/>
        <v>25-48 Months</v>
      </c>
      <c r="Y5679" s="1" t="str">
        <f t="shared" si="355"/>
        <v>High</v>
      </c>
    </row>
    <row r="5680" spans="1:25" x14ac:dyDescent="0.2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 t="shared" si="352"/>
        <v>1</v>
      </c>
      <c r="W5680">
        <f t="shared" si="353"/>
        <v>0</v>
      </c>
      <c r="X5680" t="str">
        <f t="shared" si="354"/>
        <v>0-12 Months</v>
      </c>
      <c r="Y5680" s="1" t="str">
        <f t="shared" si="355"/>
        <v>Medium</v>
      </c>
    </row>
    <row r="5681" spans="1:25" x14ac:dyDescent="0.2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 t="shared" si="352"/>
        <v>1</v>
      </c>
      <c r="W5681">
        <f t="shared" si="353"/>
        <v>0</v>
      </c>
      <c r="X5681" t="str">
        <f t="shared" si="354"/>
        <v>0-12 Months</v>
      </c>
      <c r="Y5681" s="1" t="str">
        <f t="shared" si="355"/>
        <v>High</v>
      </c>
    </row>
    <row r="5682" spans="1:25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 t="shared" si="352"/>
        <v>1</v>
      </c>
      <c r="W5682">
        <f t="shared" si="353"/>
        <v>0</v>
      </c>
      <c r="X5682" t="str">
        <f t="shared" si="354"/>
        <v>0-12 Months</v>
      </c>
      <c r="Y5682" s="1" t="str">
        <f t="shared" si="355"/>
        <v>Low</v>
      </c>
    </row>
    <row r="5683" spans="1:25" x14ac:dyDescent="0.2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 t="shared" si="352"/>
        <v>0</v>
      </c>
      <c r="W5683">
        <f t="shared" si="353"/>
        <v>1</v>
      </c>
      <c r="X5683" t="str">
        <f t="shared" si="354"/>
        <v>25-48 Months</v>
      </c>
      <c r="Y5683" s="1" t="str">
        <f t="shared" si="355"/>
        <v>Medium</v>
      </c>
    </row>
    <row r="5684" spans="1:25" x14ac:dyDescent="0.2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 t="shared" si="352"/>
        <v>0</v>
      </c>
      <c r="W5684">
        <f t="shared" si="353"/>
        <v>1</v>
      </c>
      <c r="X5684" t="str">
        <f t="shared" si="354"/>
        <v>0-12 Months</v>
      </c>
      <c r="Y5684" s="1" t="str">
        <f t="shared" si="355"/>
        <v>Low</v>
      </c>
    </row>
    <row r="5685" spans="1:25" x14ac:dyDescent="0.2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 t="shared" si="352"/>
        <v>1</v>
      </c>
      <c r="W5685">
        <f t="shared" si="353"/>
        <v>0</v>
      </c>
      <c r="X5685" t="str">
        <f t="shared" si="354"/>
        <v>25-48 Months</v>
      </c>
      <c r="Y5685" s="1" t="str">
        <f t="shared" si="355"/>
        <v>Medium</v>
      </c>
    </row>
    <row r="5686" spans="1:25" x14ac:dyDescent="0.2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 t="shared" si="352"/>
        <v>1</v>
      </c>
      <c r="W5686">
        <f t="shared" si="353"/>
        <v>0</v>
      </c>
      <c r="X5686" t="str">
        <f t="shared" si="354"/>
        <v>49+ Months</v>
      </c>
      <c r="Y5686" s="1" t="str">
        <f t="shared" si="355"/>
        <v>High</v>
      </c>
    </row>
    <row r="5687" spans="1:25" x14ac:dyDescent="0.2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 t="shared" si="352"/>
        <v>0</v>
      </c>
      <c r="W5687">
        <f t="shared" si="353"/>
        <v>1</v>
      </c>
      <c r="X5687" t="str">
        <f t="shared" si="354"/>
        <v>25-48 Months</v>
      </c>
      <c r="Y5687" s="1" t="str">
        <f t="shared" si="355"/>
        <v>Low</v>
      </c>
    </row>
    <row r="5688" spans="1:25" x14ac:dyDescent="0.2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 t="shared" si="352"/>
        <v>1</v>
      </c>
      <c r="W5688">
        <f t="shared" si="353"/>
        <v>0</v>
      </c>
      <c r="X5688" t="str">
        <f t="shared" si="354"/>
        <v>0-12 Months</v>
      </c>
      <c r="Y5688" s="1" t="str">
        <f t="shared" si="355"/>
        <v>High</v>
      </c>
    </row>
    <row r="5689" spans="1:25" x14ac:dyDescent="0.2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 t="shared" si="352"/>
        <v>0</v>
      </c>
      <c r="W5689">
        <f t="shared" si="353"/>
        <v>1</v>
      </c>
      <c r="X5689" t="str">
        <f t="shared" si="354"/>
        <v>25-48 Months</v>
      </c>
      <c r="Y5689" s="1" t="str">
        <f t="shared" si="355"/>
        <v>High</v>
      </c>
    </row>
    <row r="5690" spans="1:25" x14ac:dyDescent="0.2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 t="shared" si="352"/>
        <v>0</v>
      </c>
      <c r="W5690">
        <f t="shared" si="353"/>
        <v>1</v>
      </c>
      <c r="X5690" t="str">
        <f t="shared" si="354"/>
        <v>25-48 Months</v>
      </c>
      <c r="Y5690" s="1" t="str">
        <f t="shared" si="355"/>
        <v>Low</v>
      </c>
    </row>
    <row r="5691" spans="1:25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 t="shared" si="352"/>
        <v>0</v>
      </c>
      <c r="W5691">
        <f t="shared" si="353"/>
        <v>1</v>
      </c>
      <c r="X5691" t="str">
        <f t="shared" si="354"/>
        <v>0-12 Months</v>
      </c>
      <c r="Y5691" s="1" t="str">
        <f t="shared" si="355"/>
        <v>Medium</v>
      </c>
    </row>
    <row r="5692" spans="1:25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 t="shared" si="352"/>
        <v>0</v>
      </c>
      <c r="W5692">
        <f t="shared" si="353"/>
        <v>1</v>
      </c>
      <c r="X5692" t="str">
        <f t="shared" si="354"/>
        <v>49+ Months</v>
      </c>
      <c r="Y5692" s="1" t="str">
        <f t="shared" si="355"/>
        <v>Medium</v>
      </c>
    </row>
    <row r="5693" spans="1:25" x14ac:dyDescent="0.2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 t="shared" si="352"/>
        <v>0</v>
      </c>
      <c r="W5693">
        <f t="shared" si="353"/>
        <v>1</v>
      </c>
      <c r="X5693" t="str">
        <f t="shared" si="354"/>
        <v>0-12 Months</v>
      </c>
      <c r="Y5693" s="1" t="str">
        <f t="shared" si="355"/>
        <v>Low</v>
      </c>
    </row>
    <row r="5694" spans="1:25" x14ac:dyDescent="0.2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 t="shared" si="352"/>
        <v>0</v>
      </c>
      <c r="W5694">
        <f t="shared" si="353"/>
        <v>1</v>
      </c>
      <c r="X5694" t="str">
        <f t="shared" si="354"/>
        <v>0-12 Months</v>
      </c>
      <c r="Y5694" s="1" t="str">
        <f t="shared" si="355"/>
        <v>Medium</v>
      </c>
    </row>
    <row r="5695" spans="1:25" x14ac:dyDescent="0.2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 t="shared" si="352"/>
        <v>0</v>
      </c>
      <c r="W5695">
        <f t="shared" si="353"/>
        <v>1</v>
      </c>
      <c r="X5695" t="str">
        <f t="shared" si="354"/>
        <v>49+ Months</v>
      </c>
      <c r="Y5695" s="1" t="str">
        <f t="shared" si="355"/>
        <v>Medium</v>
      </c>
    </row>
    <row r="5696" spans="1:25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 t="shared" si="352"/>
        <v>0</v>
      </c>
      <c r="W5696">
        <f t="shared" si="353"/>
        <v>1</v>
      </c>
      <c r="X5696" t="str">
        <f t="shared" si="354"/>
        <v>25-48 Months</v>
      </c>
      <c r="Y5696" s="1" t="str">
        <f t="shared" si="355"/>
        <v>Medium</v>
      </c>
    </row>
    <row r="5697" spans="1:25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 t="shared" si="352"/>
        <v>0</v>
      </c>
      <c r="W5697">
        <f t="shared" si="353"/>
        <v>1</v>
      </c>
      <c r="X5697" t="str">
        <f t="shared" si="354"/>
        <v>49+ Months</v>
      </c>
      <c r="Y5697" s="1" t="str">
        <f t="shared" si="355"/>
        <v>High</v>
      </c>
    </row>
    <row r="5698" spans="1:25" x14ac:dyDescent="0.2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 t="shared" ref="V5698:V5761" si="356">IF(U5698="Yes",1,0)</f>
        <v>1</v>
      </c>
      <c r="W5698">
        <f t="shared" ref="W5698:W5761" si="357">IF(U5698="No",1,0)</f>
        <v>0</v>
      </c>
      <c r="X5698" t="str">
        <f t="shared" ref="X5698:X5761" si="358">IF(F5698&lt;=12,"0-12 Months",IF(F5698&lt;=24,"13-24 Months",IF(F5698&lt;=48,"25-48 Months","49+ Months")))</f>
        <v>13-24 Months</v>
      </c>
      <c r="Y5698" s="1" t="str">
        <f t="shared" ref="Y5698:Y5761" si="359">IF(S5698&lt;50,"Low",IF(S5698&lt;80,"Medium","High"))</f>
        <v>Medium</v>
      </c>
    </row>
    <row r="5699" spans="1:25" x14ac:dyDescent="0.2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 t="shared" si="356"/>
        <v>1</v>
      </c>
      <c r="W5699">
        <f t="shared" si="357"/>
        <v>0</v>
      </c>
      <c r="X5699" t="str">
        <f t="shared" si="358"/>
        <v>49+ Months</v>
      </c>
      <c r="Y5699" s="1" t="str">
        <f t="shared" si="359"/>
        <v>High</v>
      </c>
    </row>
    <row r="5700" spans="1:25" x14ac:dyDescent="0.2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 t="shared" si="356"/>
        <v>1</v>
      </c>
      <c r="W5700">
        <f t="shared" si="357"/>
        <v>0</v>
      </c>
      <c r="X5700" t="str">
        <f t="shared" si="358"/>
        <v>13-24 Months</v>
      </c>
      <c r="Y5700" s="1" t="str">
        <f t="shared" si="359"/>
        <v>High</v>
      </c>
    </row>
    <row r="5701" spans="1:25" x14ac:dyDescent="0.2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 t="shared" si="356"/>
        <v>0</v>
      </c>
      <c r="W5701">
        <f t="shared" si="357"/>
        <v>1</v>
      </c>
      <c r="X5701" t="str">
        <f t="shared" si="358"/>
        <v>13-24 Months</v>
      </c>
      <c r="Y5701" s="1" t="str">
        <f t="shared" si="359"/>
        <v>High</v>
      </c>
    </row>
    <row r="5702" spans="1:25" x14ac:dyDescent="0.2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 t="shared" si="356"/>
        <v>0</v>
      </c>
      <c r="W5702">
        <f t="shared" si="357"/>
        <v>1</v>
      </c>
      <c r="X5702" t="str">
        <f t="shared" si="358"/>
        <v>25-48 Months</v>
      </c>
      <c r="Y5702" s="1" t="str">
        <f t="shared" si="359"/>
        <v>Medium</v>
      </c>
    </row>
    <row r="5703" spans="1:25" x14ac:dyDescent="0.2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 t="shared" si="356"/>
        <v>0</v>
      </c>
      <c r="W5703">
        <f t="shared" si="357"/>
        <v>1</v>
      </c>
      <c r="X5703" t="str">
        <f t="shared" si="358"/>
        <v>13-24 Months</v>
      </c>
      <c r="Y5703" s="1" t="str">
        <f t="shared" si="359"/>
        <v>Medium</v>
      </c>
    </row>
    <row r="5704" spans="1:25" x14ac:dyDescent="0.2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 t="shared" si="356"/>
        <v>1</v>
      </c>
      <c r="W5704">
        <f t="shared" si="357"/>
        <v>0</v>
      </c>
      <c r="X5704" t="str">
        <f t="shared" si="358"/>
        <v>49+ Months</v>
      </c>
      <c r="Y5704" s="1" t="str">
        <f t="shared" si="359"/>
        <v>High</v>
      </c>
    </row>
    <row r="5705" spans="1:25" x14ac:dyDescent="0.2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 t="shared" si="356"/>
        <v>0</v>
      </c>
      <c r="W5705">
        <f t="shared" si="357"/>
        <v>1</v>
      </c>
      <c r="X5705" t="str">
        <f t="shared" si="358"/>
        <v>49+ Months</v>
      </c>
      <c r="Y5705" s="1" t="str">
        <f t="shared" si="359"/>
        <v>Low</v>
      </c>
    </row>
    <row r="5706" spans="1:25" x14ac:dyDescent="0.2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 t="shared" si="356"/>
        <v>0</v>
      </c>
      <c r="W5706">
        <f t="shared" si="357"/>
        <v>1</v>
      </c>
      <c r="X5706" t="str">
        <f t="shared" si="358"/>
        <v>13-24 Months</v>
      </c>
      <c r="Y5706" s="1" t="str">
        <f t="shared" si="359"/>
        <v>High</v>
      </c>
    </row>
    <row r="5707" spans="1:25" x14ac:dyDescent="0.2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 t="shared" si="356"/>
        <v>0</v>
      </c>
      <c r="W5707">
        <f t="shared" si="357"/>
        <v>1</v>
      </c>
      <c r="X5707" t="str">
        <f t="shared" si="358"/>
        <v>0-12 Months</v>
      </c>
      <c r="Y5707" s="1" t="str">
        <f t="shared" si="359"/>
        <v>Low</v>
      </c>
    </row>
    <row r="5708" spans="1:25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 t="shared" si="356"/>
        <v>1</v>
      </c>
      <c r="W5708">
        <f t="shared" si="357"/>
        <v>0</v>
      </c>
      <c r="X5708" t="str">
        <f t="shared" si="358"/>
        <v>0-12 Months</v>
      </c>
      <c r="Y5708" s="1" t="str">
        <f t="shared" si="359"/>
        <v>Medium</v>
      </c>
    </row>
    <row r="5709" spans="1:25" x14ac:dyDescent="0.2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 t="shared" si="356"/>
        <v>0</v>
      </c>
      <c r="W5709">
        <f t="shared" si="357"/>
        <v>1</v>
      </c>
      <c r="X5709" t="str">
        <f t="shared" si="358"/>
        <v>0-12 Months</v>
      </c>
      <c r="Y5709" s="1" t="str">
        <f t="shared" si="359"/>
        <v>Low</v>
      </c>
    </row>
    <row r="5710" spans="1:25" x14ac:dyDescent="0.2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 t="shared" si="356"/>
        <v>0</v>
      </c>
      <c r="W5710">
        <f t="shared" si="357"/>
        <v>1</v>
      </c>
      <c r="X5710" t="str">
        <f t="shared" si="358"/>
        <v>0-12 Months</v>
      </c>
      <c r="Y5710" s="1" t="str">
        <f t="shared" si="359"/>
        <v>Medium</v>
      </c>
    </row>
    <row r="5711" spans="1:25" x14ac:dyDescent="0.2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 t="shared" si="356"/>
        <v>0</v>
      </c>
      <c r="W5711">
        <f t="shared" si="357"/>
        <v>1</v>
      </c>
      <c r="X5711" t="str">
        <f t="shared" si="358"/>
        <v>0-12 Months</v>
      </c>
      <c r="Y5711" s="1" t="str">
        <f t="shared" si="359"/>
        <v>Low</v>
      </c>
    </row>
    <row r="5712" spans="1:25" x14ac:dyDescent="0.2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 t="shared" si="356"/>
        <v>0</v>
      </c>
      <c r="W5712">
        <f t="shared" si="357"/>
        <v>1</v>
      </c>
      <c r="X5712" t="str">
        <f t="shared" si="358"/>
        <v>49+ Months</v>
      </c>
      <c r="Y5712" s="1" t="str">
        <f t="shared" si="359"/>
        <v>High</v>
      </c>
    </row>
    <row r="5713" spans="1:25" x14ac:dyDescent="0.2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 t="shared" si="356"/>
        <v>1</v>
      </c>
      <c r="W5713">
        <f t="shared" si="357"/>
        <v>0</v>
      </c>
      <c r="X5713" t="str">
        <f t="shared" si="358"/>
        <v>13-24 Months</v>
      </c>
      <c r="Y5713" s="1" t="str">
        <f t="shared" si="359"/>
        <v>High</v>
      </c>
    </row>
    <row r="5714" spans="1:25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 t="shared" si="356"/>
        <v>0</v>
      </c>
      <c r="W5714">
        <f t="shared" si="357"/>
        <v>1</v>
      </c>
      <c r="X5714" t="str">
        <f t="shared" si="358"/>
        <v>13-24 Months</v>
      </c>
      <c r="Y5714" s="1" t="str">
        <f t="shared" si="359"/>
        <v>Low</v>
      </c>
    </row>
    <row r="5715" spans="1:25" x14ac:dyDescent="0.2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 t="shared" si="356"/>
        <v>0</v>
      </c>
      <c r="W5715">
        <f t="shared" si="357"/>
        <v>1</v>
      </c>
      <c r="X5715" t="str">
        <f t="shared" si="358"/>
        <v>49+ Months</v>
      </c>
      <c r="Y5715" s="1" t="str">
        <f t="shared" si="359"/>
        <v>High</v>
      </c>
    </row>
    <row r="5716" spans="1:25" x14ac:dyDescent="0.2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 t="shared" si="356"/>
        <v>1</v>
      </c>
      <c r="W5716">
        <f t="shared" si="357"/>
        <v>0</v>
      </c>
      <c r="X5716" t="str">
        <f t="shared" si="358"/>
        <v>0-12 Months</v>
      </c>
      <c r="Y5716" s="1" t="str">
        <f t="shared" si="359"/>
        <v>High</v>
      </c>
    </row>
    <row r="5717" spans="1:25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 t="shared" si="356"/>
        <v>1</v>
      </c>
      <c r="W5717">
        <f t="shared" si="357"/>
        <v>0</v>
      </c>
      <c r="X5717" t="str">
        <f t="shared" si="358"/>
        <v>25-48 Months</v>
      </c>
      <c r="Y5717" s="1" t="str">
        <f t="shared" si="359"/>
        <v>High</v>
      </c>
    </row>
    <row r="5718" spans="1:25" x14ac:dyDescent="0.2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 t="shared" si="356"/>
        <v>0</v>
      </c>
      <c r="W5718">
        <f t="shared" si="357"/>
        <v>1</v>
      </c>
      <c r="X5718" t="str">
        <f t="shared" si="358"/>
        <v>0-12 Months</v>
      </c>
      <c r="Y5718" s="1" t="str">
        <f t="shared" si="359"/>
        <v>Medium</v>
      </c>
    </row>
    <row r="5719" spans="1:25" x14ac:dyDescent="0.2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 t="shared" si="356"/>
        <v>0</v>
      </c>
      <c r="W5719">
        <f t="shared" si="357"/>
        <v>1</v>
      </c>
      <c r="X5719" t="str">
        <f t="shared" si="358"/>
        <v>49+ Months</v>
      </c>
      <c r="Y5719" s="1" t="str">
        <f t="shared" si="359"/>
        <v>Medium</v>
      </c>
    </row>
    <row r="5720" spans="1:25" x14ac:dyDescent="0.2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 t="shared" si="356"/>
        <v>1</v>
      </c>
      <c r="W5720">
        <f t="shared" si="357"/>
        <v>0</v>
      </c>
      <c r="X5720" t="str">
        <f t="shared" si="358"/>
        <v>0-12 Months</v>
      </c>
      <c r="Y5720" s="1" t="str">
        <f t="shared" si="359"/>
        <v>High</v>
      </c>
    </row>
    <row r="5721" spans="1:25" x14ac:dyDescent="0.2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 t="shared" si="356"/>
        <v>0</v>
      </c>
      <c r="W5721">
        <f t="shared" si="357"/>
        <v>1</v>
      </c>
      <c r="X5721" t="str">
        <f t="shared" si="358"/>
        <v>13-24 Months</v>
      </c>
      <c r="Y5721" s="1" t="str">
        <f t="shared" si="359"/>
        <v>Low</v>
      </c>
    </row>
    <row r="5722" spans="1:25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 t="shared" si="356"/>
        <v>0</v>
      </c>
      <c r="W5722">
        <f t="shared" si="357"/>
        <v>1</v>
      </c>
      <c r="X5722" t="str">
        <f t="shared" si="358"/>
        <v>25-48 Months</v>
      </c>
      <c r="Y5722" s="1" t="str">
        <f t="shared" si="359"/>
        <v>High</v>
      </c>
    </row>
    <row r="5723" spans="1:25" x14ac:dyDescent="0.2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 t="shared" si="356"/>
        <v>0</v>
      </c>
      <c r="W5723">
        <f t="shared" si="357"/>
        <v>1</v>
      </c>
      <c r="X5723" t="str">
        <f t="shared" si="358"/>
        <v>25-48 Months</v>
      </c>
      <c r="Y5723" s="1" t="str">
        <f t="shared" si="359"/>
        <v>Medium</v>
      </c>
    </row>
    <row r="5724" spans="1:25" x14ac:dyDescent="0.2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 t="shared" si="356"/>
        <v>1</v>
      </c>
      <c r="W5724">
        <f t="shared" si="357"/>
        <v>0</v>
      </c>
      <c r="X5724" t="str">
        <f t="shared" si="358"/>
        <v>25-48 Months</v>
      </c>
      <c r="Y5724" s="1" t="str">
        <f t="shared" si="359"/>
        <v>High</v>
      </c>
    </row>
    <row r="5725" spans="1:25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 t="shared" si="356"/>
        <v>0</v>
      </c>
      <c r="W5725">
        <f t="shared" si="357"/>
        <v>1</v>
      </c>
      <c r="X5725" t="str">
        <f t="shared" si="358"/>
        <v>49+ Months</v>
      </c>
      <c r="Y5725" s="1" t="str">
        <f t="shared" si="359"/>
        <v>High</v>
      </c>
    </row>
    <row r="5726" spans="1:25" x14ac:dyDescent="0.2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 t="shared" si="356"/>
        <v>1</v>
      </c>
      <c r="W5726">
        <f t="shared" si="357"/>
        <v>0</v>
      </c>
      <c r="X5726" t="str">
        <f t="shared" si="358"/>
        <v>0-12 Months</v>
      </c>
      <c r="Y5726" s="1" t="str">
        <f t="shared" si="359"/>
        <v>Medium</v>
      </c>
    </row>
    <row r="5727" spans="1:25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 t="shared" si="356"/>
        <v>0</v>
      </c>
      <c r="W5727">
        <f t="shared" si="357"/>
        <v>1</v>
      </c>
      <c r="X5727" t="str">
        <f t="shared" si="358"/>
        <v>13-24 Months</v>
      </c>
      <c r="Y5727" s="1" t="str">
        <f t="shared" si="359"/>
        <v>Low</v>
      </c>
    </row>
    <row r="5728" spans="1:25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 t="shared" si="356"/>
        <v>0</v>
      </c>
      <c r="W5728">
        <f t="shared" si="357"/>
        <v>1</v>
      </c>
      <c r="X5728" t="str">
        <f t="shared" si="358"/>
        <v>25-48 Months</v>
      </c>
      <c r="Y5728" s="1" t="str">
        <f t="shared" si="359"/>
        <v>Low</v>
      </c>
    </row>
    <row r="5729" spans="1:25" x14ac:dyDescent="0.2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 t="shared" si="356"/>
        <v>0</v>
      </c>
      <c r="W5729">
        <f t="shared" si="357"/>
        <v>1</v>
      </c>
      <c r="X5729" t="str">
        <f t="shared" si="358"/>
        <v>49+ Months</v>
      </c>
      <c r="Y5729" s="1" t="str">
        <f t="shared" si="359"/>
        <v>High</v>
      </c>
    </row>
    <row r="5730" spans="1:25" x14ac:dyDescent="0.2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 t="shared" si="356"/>
        <v>1</v>
      </c>
      <c r="W5730">
        <f t="shared" si="357"/>
        <v>0</v>
      </c>
      <c r="X5730" t="str">
        <f t="shared" si="358"/>
        <v>13-24 Months</v>
      </c>
      <c r="Y5730" s="1" t="str">
        <f t="shared" si="359"/>
        <v>High</v>
      </c>
    </row>
    <row r="5731" spans="1:25" x14ac:dyDescent="0.2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 t="shared" si="356"/>
        <v>0</v>
      </c>
      <c r="W5731">
        <f t="shared" si="357"/>
        <v>1</v>
      </c>
      <c r="X5731" t="str">
        <f t="shared" si="358"/>
        <v>25-48 Months</v>
      </c>
      <c r="Y5731" s="1" t="str">
        <f t="shared" si="359"/>
        <v>Medium</v>
      </c>
    </row>
    <row r="5732" spans="1:25" x14ac:dyDescent="0.2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 t="shared" si="356"/>
        <v>0</v>
      </c>
      <c r="W5732">
        <f t="shared" si="357"/>
        <v>1</v>
      </c>
      <c r="X5732" t="str">
        <f t="shared" si="358"/>
        <v>49+ Months</v>
      </c>
      <c r="Y5732" s="1" t="str">
        <f t="shared" si="359"/>
        <v>Low</v>
      </c>
    </row>
    <row r="5733" spans="1:25" x14ac:dyDescent="0.2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 t="shared" si="356"/>
        <v>0</v>
      </c>
      <c r="W5733">
        <f t="shared" si="357"/>
        <v>1</v>
      </c>
      <c r="X5733" t="str">
        <f t="shared" si="358"/>
        <v>0-12 Months</v>
      </c>
      <c r="Y5733" s="1" t="str">
        <f t="shared" si="359"/>
        <v>Low</v>
      </c>
    </row>
    <row r="5734" spans="1:25" x14ac:dyDescent="0.2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 t="shared" si="356"/>
        <v>0</v>
      </c>
      <c r="W5734">
        <f t="shared" si="357"/>
        <v>1</v>
      </c>
      <c r="X5734" t="str">
        <f t="shared" si="358"/>
        <v>13-24 Months</v>
      </c>
      <c r="Y5734" s="1" t="str">
        <f t="shared" si="359"/>
        <v>High</v>
      </c>
    </row>
    <row r="5735" spans="1:25" x14ac:dyDescent="0.2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 t="shared" si="356"/>
        <v>0</v>
      </c>
      <c r="W5735">
        <f t="shared" si="357"/>
        <v>1</v>
      </c>
      <c r="X5735" t="str">
        <f t="shared" si="358"/>
        <v>49+ Months</v>
      </c>
      <c r="Y5735" s="1" t="str">
        <f t="shared" si="359"/>
        <v>Low</v>
      </c>
    </row>
    <row r="5736" spans="1:25" x14ac:dyDescent="0.2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 t="shared" si="356"/>
        <v>0</v>
      </c>
      <c r="W5736">
        <f t="shared" si="357"/>
        <v>1</v>
      </c>
      <c r="X5736" t="str">
        <f t="shared" si="358"/>
        <v>49+ Months</v>
      </c>
      <c r="Y5736" s="1" t="str">
        <f t="shared" si="359"/>
        <v>High</v>
      </c>
    </row>
    <row r="5737" spans="1:25" x14ac:dyDescent="0.2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 t="shared" si="356"/>
        <v>0</v>
      </c>
      <c r="W5737">
        <f t="shared" si="357"/>
        <v>1</v>
      </c>
      <c r="X5737" t="str">
        <f t="shared" si="358"/>
        <v>25-48 Months</v>
      </c>
      <c r="Y5737" s="1" t="str">
        <f t="shared" si="359"/>
        <v>Low</v>
      </c>
    </row>
    <row r="5738" spans="1:25" x14ac:dyDescent="0.2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 t="shared" si="356"/>
        <v>0</v>
      </c>
      <c r="W5738">
        <f t="shared" si="357"/>
        <v>1</v>
      </c>
      <c r="X5738" t="str">
        <f t="shared" si="358"/>
        <v>0-12 Months</v>
      </c>
      <c r="Y5738" s="1" t="str">
        <f t="shared" si="359"/>
        <v>Low</v>
      </c>
    </row>
    <row r="5739" spans="1:25" x14ac:dyDescent="0.2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 t="shared" si="356"/>
        <v>0</v>
      </c>
      <c r="W5739">
        <f t="shared" si="357"/>
        <v>1</v>
      </c>
      <c r="X5739" t="str">
        <f t="shared" si="358"/>
        <v>13-24 Months</v>
      </c>
      <c r="Y5739" s="1" t="str">
        <f t="shared" si="359"/>
        <v>High</v>
      </c>
    </row>
    <row r="5740" spans="1:25" x14ac:dyDescent="0.2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 t="shared" si="356"/>
        <v>1</v>
      </c>
      <c r="W5740">
        <f t="shared" si="357"/>
        <v>0</v>
      </c>
      <c r="X5740" t="str">
        <f t="shared" si="358"/>
        <v>0-12 Months</v>
      </c>
      <c r="Y5740" s="1" t="str">
        <f t="shared" si="359"/>
        <v>Low</v>
      </c>
    </row>
    <row r="5741" spans="1:25" x14ac:dyDescent="0.2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 t="shared" si="356"/>
        <v>0</v>
      </c>
      <c r="W5741">
        <f t="shared" si="357"/>
        <v>1</v>
      </c>
      <c r="X5741" t="str">
        <f t="shared" si="358"/>
        <v>49+ Months</v>
      </c>
      <c r="Y5741" s="1" t="str">
        <f t="shared" si="359"/>
        <v>High</v>
      </c>
    </row>
    <row r="5742" spans="1:25" x14ac:dyDescent="0.2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 t="shared" si="356"/>
        <v>0</v>
      </c>
      <c r="W5742">
        <f t="shared" si="357"/>
        <v>1</v>
      </c>
      <c r="X5742" t="str">
        <f t="shared" si="358"/>
        <v>49+ Months</v>
      </c>
      <c r="Y5742" s="1" t="str">
        <f t="shared" si="359"/>
        <v>Low</v>
      </c>
    </row>
    <row r="5743" spans="1:25" x14ac:dyDescent="0.2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 t="shared" si="356"/>
        <v>1</v>
      </c>
      <c r="W5743">
        <f t="shared" si="357"/>
        <v>0</v>
      </c>
      <c r="X5743" t="str">
        <f t="shared" si="358"/>
        <v>13-24 Months</v>
      </c>
      <c r="Y5743" s="1" t="str">
        <f t="shared" si="359"/>
        <v>High</v>
      </c>
    </row>
    <row r="5744" spans="1:25" x14ac:dyDescent="0.2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 t="shared" si="356"/>
        <v>0</v>
      </c>
      <c r="W5744">
        <f t="shared" si="357"/>
        <v>1</v>
      </c>
      <c r="X5744" t="str">
        <f t="shared" si="358"/>
        <v>49+ Months</v>
      </c>
      <c r="Y5744" s="1" t="str">
        <f t="shared" si="359"/>
        <v>High</v>
      </c>
    </row>
    <row r="5745" spans="1:25" x14ac:dyDescent="0.2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 t="shared" si="356"/>
        <v>0</v>
      </c>
      <c r="W5745">
        <f t="shared" si="357"/>
        <v>1</v>
      </c>
      <c r="X5745" t="str">
        <f t="shared" si="358"/>
        <v>25-48 Months</v>
      </c>
      <c r="Y5745" s="1" t="str">
        <f t="shared" si="359"/>
        <v>Low</v>
      </c>
    </row>
    <row r="5746" spans="1:25" x14ac:dyDescent="0.2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 t="shared" si="356"/>
        <v>0</v>
      </c>
      <c r="W5746">
        <f t="shared" si="357"/>
        <v>1</v>
      </c>
      <c r="X5746" t="str">
        <f t="shared" si="358"/>
        <v>25-48 Months</v>
      </c>
      <c r="Y5746" s="1" t="str">
        <f t="shared" si="359"/>
        <v>Medium</v>
      </c>
    </row>
    <row r="5747" spans="1:25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 t="shared" si="356"/>
        <v>0</v>
      </c>
      <c r="W5747">
        <f t="shared" si="357"/>
        <v>1</v>
      </c>
      <c r="X5747" t="str">
        <f t="shared" si="358"/>
        <v>49+ Months</v>
      </c>
      <c r="Y5747" s="1" t="str">
        <f t="shared" si="359"/>
        <v>Low</v>
      </c>
    </row>
    <row r="5748" spans="1:25" x14ac:dyDescent="0.2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 t="shared" si="356"/>
        <v>1</v>
      </c>
      <c r="W5748">
        <f t="shared" si="357"/>
        <v>0</v>
      </c>
      <c r="X5748" t="str">
        <f t="shared" si="358"/>
        <v>0-12 Months</v>
      </c>
      <c r="Y5748" s="1" t="str">
        <f t="shared" si="359"/>
        <v>High</v>
      </c>
    </row>
    <row r="5749" spans="1:25" x14ac:dyDescent="0.2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 t="shared" si="356"/>
        <v>0</v>
      </c>
      <c r="W5749">
        <f t="shared" si="357"/>
        <v>1</v>
      </c>
      <c r="X5749" t="str">
        <f t="shared" si="358"/>
        <v>25-48 Months</v>
      </c>
      <c r="Y5749" s="1" t="str">
        <f t="shared" si="359"/>
        <v>Medium</v>
      </c>
    </row>
    <row r="5750" spans="1:25" x14ac:dyDescent="0.2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 t="shared" si="356"/>
        <v>0</v>
      </c>
      <c r="W5750">
        <f t="shared" si="357"/>
        <v>1</v>
      </c>
      <c r="X5750" t="str">
        <f t="shared" si="358"/>
        <v>13-24 Months</v>
      </c>
      <c r="Y5750" s="1" t="str">
        <f t="shared" si="359"/>
        <v>High</v>
      </c>
    </row>
    <row r="5751" spans="1:25" x14ac:dyDescent="0.2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 t="shared" si="356"/>
        <v>0</v>
      </c>
      <c r="W5751">
        <f t="shared" si="357"/>
        <v>1</v>
      </c>
      <c r="X5751" t="str">
        <f t="shared" si="358"/>
        <v>49+ Months</v>
      </c>
      <c r="Y5751" s="1" t="str">
        <f t="shared" si="359"/>
        <v>High</v>
      </c>
    </row>
    <row r="5752" spans="1:25" x14ac:dyDescent="0.2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 t="shared" si="356"/>
        <v>1</v>
      </c>
      <c r="W5752">
        <f t="shared" si="357"/>
        <v>0</v>
      </c>
      <c r="X5752" t="str">
        <f t="shared" si="358"/>
        <v>13-24 Months</v>
      </c>
      <c r="Y5752" s="1" t="str">
        <f t="shared" si="359"/>
        <v>Medium</v>
      </c>
    </row>
    <row r="5753" spans="1:25" x14ac:dyDescent="0.2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 t="shared" si="356"/>
        <v>0</v>
      </c>
      <c r="W5753">
        <f t="shared" si="357"/>
        <v>1</v>
      </c>
      <c r="X5753" t="str">
        <f t="shared" si="358"/>
        <v>25-48 Months</v>
      </c>
      <c r="Y5753" s="1" t="str">
        <f t="shared" si="359"/>
        <v>Low</v>
      </c>
    </row>
    <row r="5754" spans="1:25" x14ac:dyDescent="0.2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 t="shared" si="356"/>
        <v>0</v>
      </c>
      <c r="W5754">
        <f t="shared" si="357"/>
        <v>1</v>
      </c>
      <c r="X5754" t="str">
        <f t="shared" si="358"/>
        <v>49+ Months</v>
      </c>
      <c r="Y5754" s="1" t="str">
        <f t="shared" si="359"/>
        <v>Low</v>
      </c>
    </row>
    <row r="5755" spans="1:25" x14ac:dyDescent="0.2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 t="shared" si="356"/>
        <v>0</v>
      </c>
      <c r="W5755">
        <f t="shared" si="357"/>
        <v>1</v>
      </c>
      <c r="X5755" t="str">
        <f t="shared" si="358"/>
        <v>0-12 Months</v>
      </c>
      <c r="Y5755" s="1" t="str">
        <f t="shared" si="359"/>
        <v>Low</v>
      </c>
    </row>
    <row r="5756" spans="1:25" x14ac:dyDescent="0.2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 t="shared" si="356"/>
        <v>0</v>
      </c>
      <c r="W5756">
        <f t="shared" si="357"/>
        <v>1</v>
      </c>
      <c r="X5756" t="str">
        <f t="shared" si="358"/>
        <v>13-24 Months</v>
      </c>
      <c r="Y5756" s="1" t="str">
        <f t="shared" si="359"/>
        <v>Low</v>
      </c>
    </row>
    <row r="5757" spans="1:25" x14ac:dyDescent="0.2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 t="shared" si="356"/>
        <v>0</v>
      </c>
      <c r="W5757">
        <f t="shared" si="357"/>
        <v>1</v>
      </c>
      <c r="X5757" t="str">
        <f t="shared" si="358"/>
        <v>13-24 Months</v>
      </c>
      <c r="Y5757" s="1" t="str">
        <f t="shared" si="359"/>
        <v>High</v>
      </c>
    </row>
    <row r="5758" spans="1:25" x14ac:dyDescent="0.2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 t="shared" si="356"/>
        <v>0</v>
      </c>
      <c r="W5758">
        <f t="shared" si="357"/>
        <v>1</v>
      </c>
      <c r="X5758" t="str">
        <f t="shared" si="358"/>
        <v>49+ Months</v>
      </c>
      <c r="Y5758" s="1" t="str">
        <f t="shared" si="359"/>
        <v>Low</v>
      </c>
    </row>
    <row r="5759" spans="1:25" x14ac:dyDescent="0.2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 t="shared" si="356"/>
        <v>0</v>
      </c>
      <c r="W5759">
        <f t="shared" si="357"/>
        <v>1</v>
      </c>
      <c r="X5759" t="str">
        <f t="shared" si="358"/>
        <v>25-48 Months</v>
      </c>
      <c r="Y5759" s="1" t="str">
        <f t="shared" si="359"/>
        <v>Low</v>
      </c>
    </row>
    <row r="5760" spans="1:25" x14ac:dyDescent="0.2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 t="shared" si="356"/>
        <v>0</v>
      </c>
      <c r="W5760">
        <f t="shared" si="357"/>
        <v>1</v>
      </c>
      <c r="X5760" t="str">
        <f t="shared" si="358"/>
        <v>13-24 Months</v>
      </c>
      <c r="Y5760" s="1" t="str">
        <f t="shared" si="359"/>
        <v>Low</v>
      </c>
    </row>
    <row r="5761" spans="1:25" x14ac:dyDescent="0.2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 t="shared" si="356"/>
        <v>1</v>
      </c>
      <c r="W5761">
        <f t="shared" si="357"/>
        <v>0</v>
      </c>
      <c r="X5761" t="str">
        <f t="shared" si="358"/>
        <v>0-12 Months</v>
      </c>
      <c r="Y5761" s="1" t="str">
        <f t="shared" si="359"/>
        <v>Medium</v>
      </c>
    </row>
    <row r="5762" spans="1:25" x14ac:dyDescent="0.2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 t="shared" ref="V5762:V5825" si="360">IF(U5762="Yes",1,0)</f>
        <v>0</v>
      </c>
      <c r="W5762">
        <f t="shared" ref="W5762:W5825" si="361">IF(U5762="No",1,0)</f>
        <v>1</v>
      </c>
      <c r="X5762" t="str">
        <f t="shared" ref="X5762:X5825" si="362">IF(F5762&lt;=12,"0-12 Months",IF(F5762&lt;=24,"13-24 Months",IF(F5762&lt;=48,"25-48 Months","49+ Months")))</f>
        <v>13-24 Months</v>
      </c>
      <c r="Y5762" s="1" t="str">
        <f t="shared" ref="Y5762:Y5825" si="363">IF(S5762&lt;50,"Low",IF(S5762&lt;80,"Medium","High"))</f>
        <v>High</v>
      </c>
    </row>
    <row r="5763" spans="1:25" x14ac:dyDescent="0.2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 t="shared" si="360"/>
        <v>0</v>
      </c>
      <c r="W5763">
        <f t="shared" si="361"/>
        <v>1</v>
      </c>
      <c r="X5763" t="str">
        <f t="shared" si="362"/>
        <v>25-48 Months</v>
      </c>
      <c r="Y5763" s="1" t="str">
        <f t="shared" si="363"/>
        <v>Low</v>
      </c>
    </row>
    <row r="5764" spans="1:25" x14ac:dyDescent="0.2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 t="shared" si="360"/>
        <v>0</v>
      </c>
      <c r="W5764">
        <f t="shared" si="361"/>
        <v>1</v>
      </c>
      <c r="X5764" t="str">
        <f t="shared" si="362"/>
        <v>25-48 Months</v>
      </c>
      <c r="Y5764" s="1" t="str">
        <f t="shared" si="363"/>
        <v>High</v>
      </c>
    </row>
    <row r="5765" spans="1:25" x14ac:dyDescent="0.2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 t="shared" si="360"/>
        <v>0</v>
      </c>
      <c r="W5765">
        <f t="shared" si="361"/>
        <v>1</v>
      </c>
      <c r="X5765" t="str">
        <f t="shared" si="362"/>
        <v>0-12 Months</v>
      </c>
      <c r="Y5765" s="1" t="str">
        <f t="shared" si="363"/>
        <v>Medium</v>
      </c>
    </row>
    <row r="5766" spans="1:25" x14ac:dyDescent="0.2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 t="shared" si="360"/>
        <v>0</v>
      </c>
      <c r="W5766">
        <f t="shared" si="361"/>
        <v>1</v>
      </c>
      <c r="X5766" t="str">
        <f t="shared" si="362"/>
        <v>49+ Months</v>
      </c>
      <c r="Y5766" s="1" t="str">
        <f t="shared" si="363"/>
        <v>High</v>
      </c>
    </row>
    <row r="5767" spans="1:25" x14ac:dyDescent="0.2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 t="shared" si="360"/>
        <v>1</v>
      </c>
      <c r="W5767">
        <f t="shared" si="361"/>
        <v>0</v>
      </c>
      <c r="X5767" t="str">
        <f t="shared" si="362"/>
        <v>49+ Months</v>
      </c>
      <c r="Y5767" s="1" t="str">
        <f t="shared" si="363"/>
        <v>High</v>
      </c>
    </row>
    <row r="5768" spans="1:25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 t="shared" si="360"/>
        <v>0</v>
      </c>
      <c r="W5768">
        <f t="shared" si="361"/>
        <v>1</v>
      </c>
      <c r="X5768" t="str">
        <f t="shared" si="362"/>
        <v>13-24 Months</v>
      </c>
      <c r="Y5768" s="1" t="str">
        <f t="shared" si="363"/>
        <v>Medium</v>
      </c>
    </row>
    <row r="5769" spans="1:25" x14ac:dyDescent="0.2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 t="shared" si="360"/>
        <v>0</v>
      </c>
      <c r="W5769">
        <f t="shared" si="361"/>
        <v>1</v>
      </c>
      <c r="X5769" t="str">
        <f t="shared" si="362"/>
        <v>49+ Months</v>
      </c>
      <c r="Y5769" s="1" t="str">
        <f t="shared" si="363"/>
        <v>Medium</v>
      </c>
    </row>
    <row r="5770" spans="1:25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 t="shared" si="360"/>
        <v>0</v>
      </c>
      <c r="W5770">
        <f t="shared" si="361"/>
        <v>1</v>
      </c>
      <c r="X5770" t="str">
        <f t="shared" si="362"/>
        <v>25-48 Months</v>
      </c>
      <c r="Y5770" s="1" t="str">
        <f t="shared" si="363"/>
        <v>High</v>
      </c>
    </row>
    <row r="5771" spans="1:25" x14ac:dyDescent="0.2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 t="shared" si="360"/>
        <v>0</v>
      </c>
      <c r="W5771">
        <f t="shared" si="361"/>
        <v>1</v>
      </c>
      <c r="X5771" t="str">
        <f t="shared" si="362"/>
        <v>49+ Months</v>
      </c>
      <c r="Y5771" s="1" t="str">
        <f t="shared" si="363"/>
        <v>High</v>
      </c>
    </row>
    <row r="5772" spans="1:25" x14ac:dyDescent="0.2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 t="shared" si="360"/>
        <v>0</v>
      </c>
      <c r="W5772">
        <f t="shared" si="361"/>
        <v>1</v>
      </c>
      <c r="X5772" t="str">
        <f t="shared" si="362"/>
        <v>25-48 Months</v>
      </c>
      <c r="Y5772" s="1" t="str">
        <f t="shared" si="363"/>
        <v>Medium</v>
      </c>
    </row>
    <row r="5773" spans="1:25" x14ac:dyDescent="0.2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 t="shared" si="360"/>
        <v>0</v>
      </c>
      <c r="W5773">
        <f t="shared" si="361"/>
        <v>1</v>
      </c>
      <c r="X5773" t="str">
        <f t="shared" si="362"/>
        <v>0-12 Months</v>
      </c>
      <c r="Y5773" s="1" t="str">
        <f t="shared" si="363"/>
        <v>Low</v>
      </c>
    </row>
    <row r="5774" spans="1:25" x14ac:dyDescent="0.2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 t="shared" si="360"/>
        <v>0</v>
      </c>
      <c r="W5774">
        <f t="shared" si="361"/>
        <v>1</v>
      </c>
      <c r="X5774" t="str">
        <f t="shared" si="362"/>
        <v>49+ Months</v>
      </c>
      <c r="Y5774" s="1" t="str">
        <f t="shared" si="363"/>
        <v>High</v>
      </c>
    </row>
    <row r="5775" spans="1:25" x14ac:dyDescent="0.2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 t="shared" si="360"/>
        <v>0</v>
      </c>
      <c r="W5775">
        <f t="shared" si="361"/>
        <v>1</v>
      </c>
      <c r="X5775" t="str">
        <f t="shared" si="362"/>
        <v>25-48 Months</v>
      </c>
      <c r="Y5775" s="1" t="str">
        <f t="shared" si="363"/>
        <v>Medium</v>
      </c>
    </row>
    <row r="5776" spans="1:25" x14ac:dyDescent="0.2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 t="shared" si="360"/>
        <v>0</v>
      </c>
      <c r="W5776">
        <f t="shared" si="361"/>
        <v>1</v>
      </c>
      <c r="X5776" t="str">
        <f t="shared" si="362"/>
        <v>0-12 Months</v>
      </c>
      <c r="Y5776" s="1" t="str">
        <f t="shared" si="363"/>
        <v>Medium</v>
      </c>
    </row>
    <row r="5777" spans="1:25" x14ac:dyDescent="0.2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 t="shared" si="360"/>
        <v>0</v>
      </c>
      <c r="W5777">
        <f t="shared" si="361"/>
        <v>1</v>
      </c>
      <c r="X5777" t="str">
        <f t="shared" si="362"/>
        <v>49+ Months</v>
      </c>
      <c r="Y5777" s="1" t="str">
        <f t="shared" si="363"/>
        <v>High</v>
      </c>
    </row>
    <row r="5778" spans="1:25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 t="shared" si="360"/>
        <v>0</v>
      </c>
      <c r="W5778">
        <f t="shared" si="361"/>
        <v>1</v>
      </c>
      <c r="X5778" t="str">
        <f t="shared" si="362"/>
        <v>49+ Months</v>
      </c>
      <c r="Y5778" s="1" t="str">
        <f t="shared" si="363"/>
        <v>High</v>
      </c>
    </row>
    <row r="5779" spans="1:25" x14ac:dyDescent="0.2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 t="shared" si="360"/>
        <v>0</v>
      </c>
      <c r="W5779">
        <f t="shared" si="361"/>
        <v>1</v>
      </c>
      <c r="X5779" t="str">
        <f t="shared" si="362"/>
        <v>49+ Months</v>
      </c>
      <c r="Y5779" s="1" t="str">
        <f t="shared" si="363"/>
        <v>Medium</v>
      </c>
    </row>
    <row r="5780" spans="1:25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 t="shared" si="360"/>
        <v>0</v>
      </c>
      <c r="W5780">
        <f t="shared" si="361"/>
        <v>1</v>
      </c>
      <c r="X5780" t="str">
        <f t="shared" si="362"/>
        <v>0-12 Months</v>
      </c>
      <c r="Y5780" s="1" t="str">
        <f t="shared" si="363"/>
        <v>Low</v>
      </c>
    </row>
    <row r="5781" spans="1:25" x14ac:dyDescent="0.2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 t="shared" si="360"/>
        <v>1</v>
      </c>
      <c r="W5781">
        <f t="shared" si="361"/>
        <v>0</v>
      </c>
      <c r="X5781" t="str">
        <f t="shared" si="362"/>
        <v>25-48 Months</v>
      </c>
      <c r="Y5781" s="1" t="str">
        <f t="shared" si="363"/>
        <v>High</v>
      </c>
    </row>
    <row r="5782" spans="1:25" x14ac:dyDescent="0.2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 t="shared" si="360"/>
        <v>0</v>
      </c>
      <c r="W5782">
        <f t="shared" si="361"/>
        <v>1</v>
      </c>
      <c r="X5782" t="str">
        <f t="shared" si="362"/>
        <v>49+ Months</v>
      </c>
      <c r="Y5782" s="1" t="str">
        <f t="shared" si="363"/>
        <v>Low</v>
      </c>
    </row>
    <row r="5783" spans="1:25" x14ac:dyDescent="0.2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 t="shared" si="360"/>
        <v>0</v>
      </c>
      <c r="W5783">
        <f t="shared" si="361"/>
        <v>1</v>
      </c>
      <c r="X5783" t="str">
        <f t="shared" si="362"/>
        <v>25-48 Months</v>
      </c>
      <c r="Y5783" s="1" t="str">
        <f t="shared" si="363"/>
        <v>High</v>
      </c>
    </row>
    <row r="5784" spans="1:25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 t="shared" si="360"/>
        <v>1</v>
      </c>
      <c r="W5784">
        <f t="shared" si="361"/>
        <v>0</v>
      </c>
      <c r="X5784" t="str">
        <f t="shared" si="362"/>
        <v>0-12 Months</v>
      </c>
      <c r="Y5784" s="1" t="str">
        <f t="shared" si="363"/>
        <v>Medium</v>
      </c>
    </row>
    <row r="5785" spans="1:25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 t="shared" si="360"/>
        <v>1</v>
      </c>
      <c r="W5785">
        <f t="shared" si="361"/>
        <v>0</v>
      </c>
      <c r="X5785" t="str">
        <f t="shared" si="362"/>
        <v>0-12 Months</v>
      </c>
      <c r="Y5785" s="1" t="str">
        <f t="shared" si="363"/>
        <v>High</v>
      </c>
    </row>
    <row r="5786" spans="1:25" x14ac:dyDescent="0.2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 t="shared" si="360"/>
        <v>0</v>
      </c>
      <c r="W5786">
        <f t="shared" si="361"/>
        <v>1</v>
      </c>
      <c r="X5786" t="str">
        <f t="shared" si="362"/>
        <v>13-24 Months</v>
      </c>
      <c r="Y5786" s="1" t="str">
        <f t="shared" si="363"/>
        <v>Medium</v>
      </c>
    </row>
    <row r="5787" spans="1:25" x14ac:dyDescent="0.2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 t="shared" si="360"/>
        <v>0</v>
      </c>
      <c r="W5787">
        <f t="shared" si="361"/>
        <v>1</v>
      </c>
      <c r="X5787" t="str">
        <f t="shared" si="362"/>
        <v>25-48 Months</v>
      </c>
      <c r="Y5787" s="1" t="str">
        <f t="shared" si="363"/>
        <v>Low</v>
      </c>
    </row>
    <row r="5788" spans="1:25" x14ac:dyDescent="0.2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 t="shared" si="360"/>
        <v>0</v>
      </c>
      <c r="W5788">
        <f t="shared" si="361"/>
        <v>1</v>
      </c>
      <c r="X5788" t="str">
        <f t="shared" si="362"/>
        <v>49+ Months</v>
      </c>
      <c r="Y5788" s="1" t="str">
        <f t="shared" si="363"/>
        <v>High</v>
      </c>
    </row>
    <row r="5789" spans="1:25" x14ac:dyDescent="0.2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 t="shared" si="360"/>
        <v>1</v>
      </c>
      <c r="W5789">
        <f t="shared" si="361"/>
        <v>0</v>
      </c>
      <c r="X5789" t="str">
        <f t="shared" si="362"/>
        <v>25-48 Months</v>
      </c>
      <c r="Y5789" s="1" t="str">
        <f t="shared" si="363"/>
        <v>High</v>
      </c>
    </row>
    <row r="5790" spans="1:25" x14ac:dyDescent="0.2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 t="shared" si="360"/>
        <v>0</v>
      </c>
      <c r="W5790">
        <f t="shared" si="361"/>
        <v>1</v>
      </c>
      <c r="X5790" t="str">
        <f t="shared" si="362"/>
        <v>0-12 Months</v>
      </c>
      <c r="Y5790" s="1" t="str">
        <f t="shared" si="363"/>
        <v>Low</v>
      </c>
    </row>
    <row r="5791" spans="1:25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 t="shared" si="360"/>
        <v>0</v>
      </c>
      <c r="W5791">
        <f t="shared" si="361"/>
        <v>1</v>
      </c>
      <c r="X5791" t="str">
        <f t="shared" si="362"/>
        <v>25-48 Months</v>
      </c>
      <c r="Y5791" s="1" t="str">
        <f t="shared" si="363"/>
        <v>Low</v>
      </c>
    </row>
    <row r="5792" spans="1:25" x14ac:dyDescent="0.2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 t="shared" si="360"/>
        <v>0</v>
      </c>
      <c r="W5792">
        <f t="shared" si="361"/>
        <v>1</v>
      </c>
      <c r="X5792" t="str">
        <f t="shared" si="362"/>
        <v>25-48 Months</v>
      </c>
      <c r="Y5792" s="1" t="str">
        <f t="shared" si="363"/>
        <v>Medium</v>
      </c>
    </row>
    <row r="5793" spans="1:25" x14ac:dyDescent="0.2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 t="shared" si="360"/>
        <v>0</v>
      </c>
      <c r="W5793">
        <f t="shared" si="361"/>
        <v>1</v>
      </c>
      <c r="X5793" t="str">
        <f t="shared" si="362"/>
        <v>49+ Months</v>
      </c>
      <c r="Y5793" s="1" t="str">
        <f t="shared" si="363"/>
        <v>High</v>
      </c>
    </row>
    <row r="5794" spans="1:25" x14ac:dyDescent="0.2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 t="shared" si="360"/>
        <v>1</v>
      </c>
      <c r="W5794">
        <f t="shared" si="361"/>
        <v>0</v>
      </c>
      <c r="X5794" t="str">
        <f t="shared" si="362"/>
        <v>13-24 Months</v>
      </c>
      <c r="Y5794" s="1" t="str">
        <f t="shared" si="363"/>
        <v>High</v>
      </c>
    </row>
    <row r="5795" spans="1:25" x14ac:dyDescent="0.2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 t="shared" si="360"/>
        <v>0</v>
      </c>
      <c r="W5795">
        <f t="shared" si="361"/>
        <v>1</v>
      </c>
      <c r="X5795" t="str">
        <f t="shared" si="362"/>
        <v>13-24 Months</v>
      </c>
      <c r="Y5795" s="1" t="str">
        <f t="shared" si="363"/>
        <v>Medium</v>
      </c>
    </row>
    <row r="5796" spans="1:25" x14ac:dyDescent="0.2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 t="shared" si="360"/>
        <v>0</v>
      </c>
      <c r="W5796">
        <f t="shared" si="361"/>
        <v>1</v>
      </c>
      <c r="X5796" t="str">
        <f t="shared" si="362"/>
        <v>49+ Months</v>
      </c>
      <c r="Y5796" s="1" t="str">
        <f t="shared" si="363"/>
        <v>High</v>
      </c>
    </row>
    <row r="5797" spans="1:25" x14ac:dyDescent="0.2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 t="shared" si="360"/>
        <v>0</v>
      </c>
      <c r="W5797">
        <f t="shared" si="361"/>
        <v>1</v>
      </c>
      <c r="X5797" t="str">
        <f t="shared" si="362"/>
        <v>25-48 Months</v>
      </c>
      <c r="Y5797" s="1" t="str">
        <f t="shared" si="363"/>
        <v>High</v>
      </c>
    </row>
    <row r="5798" spans="1:25" x14ac:dyDescent="0.2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 t="shared" si="360"/>
        <v>0</v>
      </c>
      <c r="W5798">
        <f t="shared" si="361"/>
        <v>1</v>
      </c>
      <c r="X5798" t="str">
        <f t="shared" si="362"/>
        <v>25-48 Months</v>
      </c>
      <c r="Y5798" s="1" t="str">
        <f t="shared" si="363"/>
        <v>Medium</v>
      </c>
    </row>
    <row r="5799" spans="1:25" x14ac:dyDescent="0.2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 t="shared" si="360"/>
        <v>0</v>
      </c>
      <c r="W5799">
        <f t="shared" si="361"/>
        <v>1</v>
      </c>
      <c r="X5799" t="str">
        <f t="shared" si="362"/>
        <v>13-24 Months</v>
      </c>
      <c r="Y5799" s="1" t="str">
        <f t="shared" si="363"/>
        <v>High</v>
      </c>
    </row>
    <row r="5800" spans="1:25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 t="shared" si="360"/>
        <v>1</v>
      </c>
      <c r="W5800">
        <f t="shared" si="361"/>
        <v>0</v>
      </c>
      <c r="X5800" t="str">
        <f t="shared" si="362"/>
        <v>0-12 Months</v>
      </c>
      <c r="Y5800" s="1" t="str">
        <f t="shared" si="363"/>
        <v>High</v>
      </c>
    </row>
    <row r="5801" spans="1:25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 t="shared" si="360"/>
        <v>1</v>
      </c>
      <c r="W5801">
        <f t="shared" si="361"/>
        <v>0</v>
      </c>
      <c r="X5801" t="str">
        <f t="shared" si="362"/>
        <v>13-24 Months</v>
      </c>
      <c r="Y5801" s="1" t="str">
        <f t="shared" si="363"/>
        <v>Low</v>
      </c>
    </row>
    <row r="5802" spans="1:25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 t="shared" si="360"/>
        <v>0</v>
      </c>
      <c r="W5802">
        <f t="shared" si="361"/>
        <v>1</v>
      </c>
      <c r="X5802" t="str">
        <f t="shared" si="362"/>
        <v>13-24 Months</v>
      </c>
      <c r="Y5802" s="1" t="str">
        <f t="shared" si="363"/>
        <v>High</v>
      </c>
    </row>
    <row r="5803" spans="1:25" x14ac:dyDescent="0.2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 t="shared" si="360"/>
        <v>0</v>
      </c>
      <c r="W5803">
        <f t="shared" si="361"/>
        <v>1</v>
      </c>
      <c r="X5803" t="str">
        <f t="shared" si="362"/>
        <v>25-48 Months</v>
      </c>
      <c r="Y5803" s="1" t="str">
        <f t="shared" si="363"/>
        <v>Medium</v>
      </c>
    </row>
    <row r="5804" spans="1:25" x14ac:dyDescent="0.2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 t="shared" si="360"/>
        <v>0</v>
      </c>
      <c r="W5804">
        <f t="shared" si="361"/>
        <v>1</v>
      </c>
      <c r="X5804" t="str">
        <f t="shared" si="362"/>
        <v>25-48 Months</v>
      </c>
      <c r="Y5804" s="1" t="str">
        <f t="shared" si="363"/>
        <v>Low</v>
      </c>
    </row>
    <row r="5805" spans="1:25" x14ac:dyDescent="0.2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 t="shared" si="360"/>
        <v>1</v>
      </c>
      <c r="W5805">
        <f t="shared" si="361"/>
        <v>0</v>
      </c>
      <c r="X5805" t="str">
        <f t="shared" si="362"/>
        <v>0-12 Months</v>
      </c>
      <c r="Y5805" s="1" t="str">
        <f t="shared" si="363"/>
        <v>High</v>
      </c>
    </row>
    <row r="5806" spans="1:25" x14ac:dyDescent="0.2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 t="shared" si="360"/>
        <v>0</v>
      </c>
      <c r="W5806">
        <f t="shared" si="361"/>
        <v>1</v>
      </c>
      <c r="X5806" t="str">
        <f t="shared" si="362"/>
        <v>49+ Months</v>
      </c>
      <c r="Y5806" s="1" t="str">
        <f t="shared" si="363"/>
        <v>Low</v>
      </c>
    </row>
    <row r="5807" spans="1:25" x14ac:dyDescent="0.2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 t="shared" si="360"/>
        <v>0</v>
      </c>
      <c r="W5807">
        <f t="shared" si="361"/>
        <v>1</v>
      </c>
      <c r="X5807" t="str">
        <f t="shared" si="362"/>
        <v>13-24 Months</v>
      </c>
      <c r="Y5807" s="1" t="str">
        <f t="shared" si="363"/>
        <v>Medium</v>
      </c>
    </row>
    <row r="5808" spans="1:25" x14ac:dyDescent="0.2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 t="shared" si="360"/>
        <v>1</v>
      </c>
      <c r="W5808">
        <f t="shared" si="361"/>
        <v>0</v>
      </c>
      <c r="X5808" t="str">
        <f t="shared" si="362"/>
        <v>0-12 Months</v>
      </c>
      <c r="Y5808" s="1" t="str">
        <f t="shared" si="363"/>
        <v>Low</v>
      </c>
    </row>
    <row r="5809" spans="1:25" x14ac:dyDescent="0.2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 t="shared" si="360"/>
        <v>0</v>
      </c>
      <c r="W5809">
        <f t="shared" si="361"/>
        <v>1</v>
      </c>
      <c r="X5809" t="str">
        <f t="shared" si="362"/>
        <v>49+ Months</v>
      </c>
      <c r="Y5809" s="1" t="str">
        <f t="shared" si="363"/>
        <v>Low</v>
      </c>
    </row>
    <row r="5810" spans="1:25" x14ac:dyDescent="0.2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 t="shared" si="360"/>
        <v>0</v>
      </c>
      <c r="W5810">
        <f t="shared" si="361"/>
        <v>1</v>
      </c>
      <c r="X5810" t="str">
        <f t="shared" si="362"/>
        <v>49+ Months</v>
      </c>
      <c r="Y5810" s="1" t="str">
        <f t="shared" si="363"/>
        <v>High</v>
      </c>
    </row>
    <row r="5811" spans="1:25" x14ac:dyDescent="0.2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 t="shared" si="360"/>
        <v>0</v>
      </c>
      <c r="W5811">
        <f t="shared" si="361"/>
        <v>1</v>
      </c>
      <c r="X5811" t="str">
        <f t="shared" si="362"/>
        <v>0-12 Months</v>
      </c>
      <c r="Y5811" s="1" t="str">
        <f t="shared" si="363"/>
        <v>High</v>
      </c>
    </row>
    <row r="5812" spans="1:25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 t="shared" si="360"/>
        <v>1</v>
      </c>
      <c r="W5812">
        <f t="shared" si="361"/>
        <v>0</v>
      </c>
      <c r="X5812" t="str">
        <f t="shared" si="362"/>
        <v>13-24 Months</v>
      </c>
      <c r="Y5812" s="1" t="str">
        <f t="shared" si="363"/>
        <v>High</v>
      </c>
    </row>
    <row r="5813" spans="1:25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 t="shared" si="360"/>
        <v>0</v>
      </c>
      <c r="W5813">
        <f t="shared" si="361"/>
        <v>1</v>
      </c>
      <c r="X5813" t="str">
        <f t="shared" si="362"/>
        <v>49+ Months</v>
      </c>
      <c r="Y5813" s="1" t="str">
        <f t="shared" si="363"/>
        <v>High</v>
      </c>
    </row>
    <row r="5814" spans="1:25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 t="shared" si="360"/>
        <v>1</v>
      </c>
      <c r="W5814">
        <f t="shared" si="361"/>
        <v>0</v>
      </c>
      <c r="X5814" t="str">
        <f t="shared" si="362"/>
        <v>0-12 Months</v>
      </c>
      <c r="Y5814" s="1" t="str">
        <f t="shared" si="363"/>
        <v>Medium</v>
      </c>
    </row>
    <row r="5815" spans="1:25" x14ac:dyDescent="0.2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 t="shared" si="360"/>
        <v>0</v>
      </c>
      <c r="W5815">
        <f t="shared" si="361"/>
        <v>1</v>
      </c>
      <c r="X5815" t="str">
        <f t="shared" si="362"/>
        <v>25-48 Months</v>
      </c>
      <c r="Y5815" s="1" t="str">
        <f t="shared" si="363"/>
        <v>High</v>
      </c>
    </row>
    <row r="5816" spans="1:25" x14ac:dyDescent="0.2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 t="shared" si="360"/>
        <v>0</v>
      </c>
      <c r="W5816">
        <f t="shared" si="361"/>
        <v>1</v>
      </c>
      <c r="X5816" t="str">
        <f t="shared" si="362"/>
        <v>13-24 Months</v>
      </c>
      <c r="Y5816" s="1" t="str">
        <f t="shared" si="363"/>
        <v>Low</v>
      </c>
    </row>
    <row r="5817" spans="1:25" x14ac:dyDescent="0.2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 t="shared" si="360"/>
        <v>1</v>
      </c>
      <c r="W5817">
        <f t="shared" si="361"/>
        <v>0</v>
      </c>
      <c r="X5817" t="str">
        <f t="shared" si="362"/>
        <v>0-12 Months</v>
      </c>
      <c r="Y5817" s="1" t="str">
        <f t="shared" si="363"/>
        <v>High</v>
      </c>
    </row>
    <row r="5818" spans="1:25" x14ac:dyDescent="0.2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 t="shared" si="360"/>
        <v>0</v>
      </c>
      <c r="W5818">
        <f t="shared" si="361"/>
        <v>1</v>
      </c>
      <c r="X5818" t="str">
        <f t="shared" si="362"/>
        <v>0-12 Months</v>
      </c>
      <c r="Y5818" s="1" t="str">
        <f t="shared" si="363"/>
        <v>Low</v>
      </c>
    </row>
    <row r="5819" spans="1:25" x14ac:dyDescent="0.2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 t="shared" si="360"/>
        <v>1</v>
      </c>
      <c r="W5819">
        <f t="shared" si="361"/>
        <v>0</v>
      </c>
      <c r="X5819" t="str">
        <f t="shared" si="362"/>
        <v>0-12 Months</v>
      </c>
      <c r="Y5819" s="1" t="str">
        <f t="shared" si="363"/>
        <v>Low</v>
      </c>
    </row>
    <row r="5820" spans="1:25" x14ac:dyDescent="0.2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 t="shared" si="360"/>
        <v>0</v>
      </c>
      <c r="W5820">
        <f t="shared" si="361"/>
        <v>1</v>
      </c>
      <c r="X5820" t="str">
        <f t="shared" si="362"/>
        <v>49+ Months</v>
      </c>
      <c r="Y5820" s="1" t="str">
        <f t="shared" si="363"/>
        <v>High</v>
      </c>
    </row>
    <row r="5821" spans="1:25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 t="shared" si="360"/>
        <v>0</v>
      </c>
      <c r="W5821">
        <f t="shared" si="361"/>
        <v>1</v>
      </c>
      <c r="X5821" t="str">
        <f t="shared" si="362"/>
        <v>49+ Months</v>
      </c>
      <c r="Y5821" s="1" t="str">
        <f t="shared" si="363"/>
        <v>High</v>
      </c>
    </row>
    <row r="5822" spans="1:25" x14ac:dyDescent="0.2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 t="shared" si="360"/>
        <v>0</v>
      </c>
      <c r="W5822">
        <f t="shared" si="361"/>
        <v>1</v>
      </c>
      <c r="X5822" t="str">
        <f t="shared" si="362"/>
        <v>49+ Months</v>
      </c>
      <c r="Y5822" s="1" t="str">
        <f t="shared" si="363"/>
        <v>Medium</v>
      </c>
    </row>
    <row r="5823" spans="1:25" x14ac:dyDescent="0.2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 t="shared" si="360"/>
        <v>0</v>
      </c>
      <c r="W5823">
        <f t="shared" si="361"/>
        <v>1</v>
      </c>
      <c r="X5823" t="str">
        <f t="shared" si="362"/>
        <v>49+ Months</v>
      </c>
      <c r="Y5823" s="1" t="str">
        <f t="shared" si="363"/>
        <v>Low</v>
      </c>
    </row>
    <row r="5824" spans="1:25" x14ac:dyDescent="0.2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 t="shared" si="360"/>
        <v>0</v>
      </c>
      <c r="W5824">
        <f t="shared" si="361"/>
        <v>1</v>
      </c>
      <c r="X5824" t="str">
        <f t="shared" si="362"/>
        <v>25-48 Months</v>
      </c>
      <c r="Y5824" s="1" t="str">
        <f t="shared" si="363"/>
        <v>Medium</v>
      </c>
    </row>
    <row r="5825" spans="1:25" x14ac:dyDescent="0.2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 t="shared" si="360"/>
        <v>0</v>
      </c>
      <c r="W5825">
        <f t="shared" si="361"/>
        <v>1</v>
      </c>
      <c r="X5825" t="str">
        <f t="shared" si="362"/>
        <v>13-24 Months</v>
      </c>
      <c r="Y5825" s="1" t="str">
        <f t="shared" si="363"/>
        <v>Low</v>
      </c>
    </row>
    <row r="5826" spans="1:25" x14ac:dyDescent="0.2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 t="shared" ref="V5826:V5889" si="364">IF(U5826="Yes",1,0)</f>
        <v>0</v>
      </c>
      <c r="W5826">
        <f t="shared" ref="W5826:W5889" si="365">IF(U5826="No",1,0)</f>
        <v>1</v>
      </c>
      <c r="X5826" t="str">
        <f t="shared" ref="X5826:X5889" si="366">IF(F5826&lt;=12,"0-12 Months",IF(F5826&lt;=24,"13-24 Months",IF(F5826&lt;=48,"25-48 Months","49+ Months")))</f>
        <v>49+ Months</v>
      </c>
      <c r="Y5826" s="1" t="str">
        <f t="shared" ref="Y5826:Y5889" si="367">IF(S5826&lt;50,"Low",IF(S5826&lt;80,"Medium","High"))</f>
        <v>Medium</v>
      </c>
    </row>
    <row r="5827" spans="1:25" x14ac:dyDescent="0.2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 t="shared" si="364"/>
        <v>1</v>
      </c>
      <c r="W5827">
        <f t="shared" si="365"/>
        <v>0</v>
      </c>
      <c r="X5827" t="str">
        <f t="shared" si="366"/>
        <v>0-12 Months</v>
      </c>
      <c r="Y5827" s="1" t="str">
        <f t="shared" si="367"/>
        <v>Medium</v>
      </c>
    </row>
    <row r="5828" spans="1:25" x14ac:dyDescent="0.2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 t="shared" si="364"/>
        <v>1</v>
      </c>
      <c r="W5828">
        <f t="shared" si="365"/>
        <v>0</v>
      </c>
      <c r="X5828" t="str">
        <f t="shared" si="366"/>
        <v>0-12 Months</v>
      </c>
      <c r="Y5828" s="1" t="str">
        <f t="shared" si="367"/>
        <v>Medium</v>
      </c>
    </row>
    <row r="5829" spans="1:25" x14ac:dyDescent="0.2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 t="shared" si="364"/>
        <v>0</v>
      </c>
      <c r="W5829">
        <f t="shared" si="365"/>
        <v>1</v>
      </c>
      <c r="X5829" t="str">
        <f t="shared" si="366"/>
        <v>25-48 Months</v>
      </c>
      <c r="Y5829" s="1" t="str">
        <f t="shared" si="367"/>
        <v>High</v>
      </c>
    </row>
    <row r="5830" spans="1:25" x14ac:dyDescent="0.2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 t="shared" si="364"/>
        <v>0</v>
      </c>
      <c r="W5830">
        <f t="shared" si="365"/>
        <v>1</v>
      </c>
      <c r="X5830" t="str">
        <f t="shared" si="366"/>
        <v>49+ Months</v>
      </c>
      <c r="Y5830" s="1" t="str">
        <f t="shared" si="367"/>
        <v>Low</v>
      </c>
    </row>
    <row r="5831" spans="1:25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 t="shared" si="364"/>
        <v>0</v>
      </c>
      <c r="W5831">
        <f t="shared" si="365"/>
        <v>1</v>
      </c>
      <c r="X5831" t="str">
        <f t="shared" si="366"/>
        <v>25-48 Months</v>
      </c>
      <c r="Y5831" s="1" t="str">
        <f t="shared" si="367"/>
        <v>Medium</v>
      </c>
    </row>
    <row r="5832" spans="1:25" x14ac:dyDescent="0.2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 t="shared" si="364"/>
        <v>0</v>
      </c>
      <c r="W5832">
        <f t="shared" si="365"/>
        <v>1</v>
      </c>
      <c r="X5832" t="str">
        <f t="shared" si="366"/>
        <v>25-48 Months</v>
      </c>
      <c r="Y5832" s="1" t="str">
        <f t="shared" si="367"/>
        <v>Low</v>
      </c>
    </row>
    <row r="5833" spans="1:25" x14ac:dyDescent="0.2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 t="shared" si="364"/>
        <v>1</v>
      </c>
      <c r="W5833">
        <f t="shared" si="365"/>
        <v>0</v>
      </c>
      <c r="X5833" t="str">
        <f t="shared" si="366"/>
        <v>0-12 Months</v>
      </c>
      <c r="Y5833" s="1" t="str">
        <f t="shared" si="367"/>
        <v>High</v>
      </c>
    </row>
    <row r="5834" spans="1:25" x14ac:dyDescent="0.2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 t="shared" si="364"/>
        <v>1</v>
      </c>
      <c r="W5834">
        <f t="shared" si="365"/>
        <v>0</v>
      </c>
      <c r="X5834" t="str">
        <f t="shared" si="366"/>
        <v>13-24 Months</v>
      </c>
      <c r="Y5834" s="1" t="str">
        <f t="shared" si="367"/>
        <v>Medium</v>
      </c>
    </row>
    <row r="5835" spans="1:25" x14ac:dyDescent="0.2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 t="shared" si="364"/>
        <v>0</v>
      </c>
      <c r="W5835">
        <f t="shared" si="365"/>
        <v>1</v>
      </c>
      <c r="X5835" t="str">
        <f t="shared" si="366"/>
        <v>13-24 Months</v>
      </c>
      <c r="Y5835" s="1" t="str">
        <f t="shared" si="367"/>
        <v>Low</v>
      </c>
    </row>
    <row r="5836" spans="1:25" x14ac:dyDescent="0.2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 t="shared" si="364"/>
        <v>0</v>
      </c>
      <c r="W5836">
        <f t="shared" si="365"/>
        <v>1</v>
      </c>
      <c r="X5836" t="str">
        <f t="shared" si="366"/>
        <v>49+ Months</v>
      </c>
      <c r="Y5836" s="1" t="str">
        <f t="shared" si="367"/>
        <v>High</v>
      </c>
    </row>
    <row r="5837" spans="1:25" x14ac:dyDescent="0.2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 t="shared" si="364"/>
        <v>0</v>
      </c>
      <c r="W5837">
        <f t="shared" si="365"/>
        <v>1</v>
      </c>
      <c r="X5837" t="str">
        <f t="shared" si="366"/>
        <v>25-48 Months</v>
      </c>
      <c r="Y5837" s="1" t="str">
        <f t="shared" si="367"/>
        <v>Low</v>
      </c>
    </row>
    <row r="5838" spans="1:25" x14ac:dyDescent="0.2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 t="shared" si="364"/>
        <v>0</v>
      </c>
      <c r="W5838">
        <f t="shared" si="365"/>
        <v>1</v>
      </c>
      <c r="X5838" t="str">
        <f t="shared" si="366"/>
        <v>0-12 Months</v>
      </c>
      <c r="Y5838" s="1" t="str">
        <f t="shared" si="367"/>
        <v>Low</v>
      </c>
    </row>
    <row r="5839" spans="1:25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 t="shared" si="364"/>
        <v>0</v>
      </c>
      <c r="W5839">
        <f t="shared" si="365"/>
        <v>1</v>
      </c>
      <c r="X5839" t="str">
        <f t="shared" si="366"/>
        <v>0-12 Months</v>
      </c>
      <c r="Y5839" s="1" t="str">
        <f t="shared" si="367"/>
        <v>Medium</v>
      </c>
    </row>
    <row r="5840" spans="1:25" x14ac:dyDescent="0.2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 t="shared" si="364"/>
        <v>0</v>
      </c>
      <c r="W5840">
        <f t="shared" si="365"/>
        <v>1</v>
      </c>
      <c r="X5840" t="str">
        <f t="shared" si="366"/>
        <v>49+ Months</v>
      </c>
      <c r="Y5840" s="1" t="str">
        <f t="shared" si="367"/>
        <v>Medium</v>
      </c>
    </row>
    <row r="5841" spans="1:25" x14ac:dyDescent="0.2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 t="shared" si="364"/>
        <v>0</v>
      </c>
      <c r="W5841">
        <f t="shared" si="365"/>
        <v>1</v>
      </c>
      <c r="X5841" t="str">
        <f t="shared" si="366"/>
        <v>0-12 Months</v>
      </c>
      <c r="Y5841" s="1" t="str">
        <f t="shared" si="367"/>
        <v>Medium</v>
      </c>
    </row>
    <row r="5842" spans="1:25" x14ac:dyDescent="0.2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 t="shared" si="364"/>
        <v>0</v>
      </c>
      <c r="W5842">
        <f t="shared" si="365"/>
        <v>1</v>
      </c>
      <c r="X5842" t="str">
        <f t="shared" si="366"/>
        <v>49+ Months</v>
      </c>
      <c r="Y5842" s="1" t="str">
        <f t="shared" si="367"/>
        <v>Low</v>
      </c>
    </row>
    <row r="5843" spans="1:25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 t="shared" si="364"/>
        <v>1</v>
      </c>
      <c r="W5843">
        <f t="shared" si="365"/>
        <v>0</v>
      </c>
      <c r="X5843" t="str">
        <f t="shared" si="366"/>
        <v>49+ Months</v>
      </c>
      <c r="Y5843" s="1" t="str">
        <f t="shared" si="367"/>
        <v>Low</v>
      </c>
    </row>
    <row r="5844" spans="1:25" x14ac:dyDescent="0.2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 t="shared" si="364"/>
        <v>0</v>
      </c>
      <c r="W5844">
        <f t="shared" si="365"/>
        <v>1</v>
      </c>
      <c r="X5844" t="str">
        <f t="shared" si="366"/>
        <v>13-24 Months</v>
      </c>
      <c r="Y5844" s="1" t="str">
        <f t="shared" si="367"/>
        <v>Medium</v>
      </c>
    </row>
    <row r="5845" spans="1:25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 t="shared" si="364"/>
        <v>0</v>
      </c>
      <c r="W5845">
        <f t="shared" si="365"/>
        <v>1</v>
      </c>
      <c r="X5845" t="str">
        <f t="shared" si="366"/>
        <v>25-48 Months</v>
      </c>
      <c r="Y5845" s="1" t="str">
        <f t="shared" si="367"/>
        <v>High</v>
      </c>
    </row>
    <row r="5846" spans="1:25" x14ac:dyDescent="0.2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 t="shared" si="364"/>
        <v>0</v>
      </c>
      <c r="W5846">
        <f t="shared" si="365"/>
        <v>1</v>
      </c>
      <c r="X5846" t="str">
        <f t="shared" si="366"/>
        <v>0-12 Months</v>
      </c>
      <c r="Y5846" s="1" t="str">
        <f t="shared" si="367"/>
        <v>Medium</v>
      </c>
    </row>
    <row r="5847" spans="1:25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 t="shared" si="364"/>
        <v>1</v>
      </c>
      <c r="W5847">
        <f t="shared" si="365"/>
        <v>0</v>
      </c>
      <c r="X5847" t="str">
        <f t="shared" si="366"/>
        <v>0-12 Months</v>
      </c>
      <c r="Y5847" s="1" t="str">
        <f t="shared" si="367"/>
        <v>Medium</v>
      </c>
    </row>
    <row r="5848" spans="1:25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 t="shared" si="364"/>
        <v>0</v>
      </c>
      <c r="W5848">
        <f t="shared" si="365"/>
        <v>1</v>
      </c>
      <c r="X5848" t="str">
        <f t="shared" si="366"/>
        <v>0-12 Months</v>
      </c>
      <c r="Y5848" s="1" t="str">
        <f t="shared" si="367"/>
        <v>Medium</v>
      </c>
    </row>
    <row r="5849" spans="1:25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 t="shared" si="364"/>
        <v>0</v>
      </c>
      <c r="W5849">
        <f t="shared" si="365"/>
        <v>1</v>
      </c>
      <c r="X5849" t="str">
        <f t="shared" si="366"/>
        <v>49+ Months</v>
      </c>
      <c r="Y5849" s="1" t="str">
        <f t="shared" si="367"/>
        <v>High</v>
      </c>
    </row>
    <row r="5850" spans="1:25" x14ac:dyDescent="0.2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 t="shared" si="364"/>
        <v>0</v>
      </c>
      <c r="W5850">
        <f t="shared" si="365"/>
        <v>1</v>
      </c>
      <c r="X5850" t="str">
        <f t="shared" si="366"/>
        <v>49+ Months</v>
      </c>
      <c r="Y5850" s="1" t="str">
        <f t="shared" si="367"/>
        <v>High</v>
      </c>
    </row>
    <row r="5851" spans="1:25" x14ac:dyDescent="0.2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 t="shared" si="364"/>
        <v>0</v>
      </c>
      <c r="W5851">
        <f t="shared" si="365"/>
        <v>1</v>
      </c>
      <c r="X5851" t="str">
        <f t="shared" si="366"/>
        <v>49+ Months</v>
      </c>
      <c r="Y5851" s="1" t="str">
        <f t="shared" si="367"/>
        <v>Low</v>
      </c>
    </row>
    <row r="5852" spans="1:25" x14ac:dyDescent="0.2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 t="shared" si="364"/>
        <v>1</v>
      </c>
      <c r="W5852">
        <f t="shared" si="365"/>
        <v>0</v>
      </c>
      <c r="X5852" t="str">
        <f t="shared" si="366"/>
        <v>13-24 Months</v>
      </c>
      <c r="Y5852" s="1" t="str">
        <f t="shared" si="367"/>
        <v>Medium</v>
      </c>
    </row>
    <row r="5853" spans="1:25" x14ac:dyDescent="0.2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 t="shared" si="364"/>
        <v>0</v>
      </c>
      <c r="W5853">
        <f t="shared" si="365"/>
        <v>1</v>
      </c>
      <c r="X5853" t="str">
        <f t="shared" si="366"/>
        <v>25-48 Months</v>
      </c>
      <c r="Y5853" s="1" t="str">
        <f t="shared" si="367"/>
        <v>High</v>
      </c>
    </row>
    <row r="5854" spans="1:25" x14ac:dyDescent="0.2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 t="shared" si="364"/>
        <v>1</v>
      </c>
      <c r="W5854">
        <f t="shared" si="365"/>
        <v>0</v>
      </c>
      <c r="X5854" t="str">
        <f t="shared" si="366"/>
        <v>13-24 Months</v>
      </c>
      <c r="Y5854" s="1" t="str">
        <f t="shared" si="367"/>
        <v>Medium</v>
      </c>
    </row>
    <row r="5855" spans="1:25" x14ac:dyDescent="0.2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 t="shared" si="364"/>
        <v>0</v>
      </c>
      <c r="W5855">
        <f t="shared" si="365"/>
        <v>1</v>
      </c>
      <c r="X5855" t="str">
        <f t="shared" si="366"/>
        <v>49+ Months</v>
      </c>
      <c r="Y5855" s="1" t="str">
        <f t="shared" si="367"/>
        <v>High</v>
      </c>
    </row>
    <row r="5856" spans="1:25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 t="shared" si="364"/>
        <v>0</v>
      </c>
      <c r="W5856">
        <f t="shared" si="365"/>
        <v>1</v>
      </c>
      <c r="X5856" t="str">
        <f t="shared" si="366"/>
        <v>13-24 Months</v>
      </c>
      <c r="Y5856" s="1" t="str">
        <f t="shared" si="367"/>
        <v>Low</v>
      </c>
    </row>
    <row r="5857" spans="1:25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 t="shared" si="364"/>
        <v>0</v>
      </c>
      <c r="W5857">
        <f t="shared" si="365"/>
        <v>1</v>
      </c>
      <c r="X5857" t="str">
        <f t="shared" si="366"/>
        <v>49+ Months</v>
      </c>
      <c r="Y5857" s="1" t="str">
        <f t="shared" si="367"/>
        <v>Medium</v>
      </c>
    </row>
    <row r="5858" spans="1:25" x14ac:dyDescent="0.2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 t="shared" si="364"/>
        <v>0</v>
      </c>
      <c r="W5858">
        <f t="shared" si="365"/>
        <v>1</v>
      </c>
      <c r="X5858" t="str">
        <f t="shared" si="366"/>
        <v>0-12 Months</v>
      </c>
      <c r="Y5858" s="1" t="str">
        <f t="shared" si="367"/>
        <v>Low</v>
      </c>
    </row>
    <row r="5859" spans="1:25" x14ac:dyDescent="0.2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 t="shared" si="364"/>
        <v>1</v>
      </c>
      <c r="W5859">
        <f t="shared" si="365"/>
        <v>0</v>
      </c>
      <c r="X5859" t="str">
        <f t="shared" si="366"/>
        <v>13-24 Months</v>
      </c>
      <c r="Y5859" s="1" t="str">
        <f t="shared" si="367"/>
        <v>High</v>
      </c>
    </row>
    <row r="5860" spans="1:25" x14ac:dyDescent="0.2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 t="shared" si="364"/>
        <v>0</v>
      </c>
      <c r="W5860">
        <f t="shared" si="365"/>
        <v>1</v>
      </c>
      <c r="X5860" t="str">
        <f t="shared" si="366"/>
        <v>49+ Months</v>
      </c>
      <c r="Y5860" s="1" t="str">
        <f t="shared" si="367"/>
        <v>Low</v>
      </c>
    </row>
    <row r="5861" spans="1:25" x14ac:dyDescent="0.2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 t="shared" si="364"/>
        <v>0</v>
      </c>
      <c r="W5861">
        <f t="shared" si="365"/>
        <v>1</v>
      </c>
      <c r="X5861" t="str">
        <f t="shared" si="366"/>
        <v>49+ Months</v>
      </c>
      <c r="Y5861" s="1" t="str">
        <f t="shared" si="367"/>
        <v>High</v>
      </c>
    </row>
    <row r="5862" spans="1:25" x14ac:dyDescent="0.2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 t="shared" si="364"/>
        <v>1</v>
      </c>
      <c r="W5862">
        <f t="shared" si="365"/>
        <v>0</v>
      </c>
      <c r="X5862" t="str">
        <f t="shared" si="366"/>
        <v>0-12 Months</v>
      </c>
      <c r="Y5862" s="1" t="str">
        <f t="shared" si="367"/>
        <v>Medium</v>
      </c>
    </row>
    <row r="5863" spans="1:25" x14ac:dyDescent="0.2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 t="shared" si="364"/>
        <v>0</v>
      </c>
      <c r="W5863">
        <f t="shared" si="365"/>
        <v>1</v>
      </c>
      <c r="X5863" t="str">
        <f t="shared" si="366"/>
        <v>25-48 Months</v>
      </c>
      <c r="Y5863" s="1" t="str">
        <f t="shared" si="367"/>
        <v>Low</v>
      </c>
    </row>
    <row r="5864" spans="1:25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 t="shared" si="364"/>
        <v>0</v>
      </c>
      <c r="W5864">
        <f t="shared" si="365"/>
        <v>1</v>
      </c>
      <c r="X5864" t="str">
        <f t="shared" si="366"/>
        <v>13-24 Months</v>
      </c>
      <c r="Y5864" s="1" t="str">
        <f t="shared" si="367"/>
        <v>Medium</v>
      </c>
    </row>
    <row r="5865" spans="1:25" x14ac:dyDescent="0.2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 t="shared" si="364"/>
        <v>1</v>
      </c>
      <c r="W5865">
        <f t="shared" si="365"/>
        <v>0</v>
      </c>
      <c r="X5865" t="str">
        <f t="shared" si="366"/>
        <v>13-24 Months</v>
      </c>
      <c r="Y5865" s="1" t="str">
        <f t="shared" si="367"/>
        <v>High</v>
      </c>
    </row>
    <row r="5866" spans="1:25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 t="shared" si="364"/>
        <v>0</v>
      </c>
      <c r="W5866">
        <f t="shared" si="365"/>
        <v>1</v>
      </c>
      <c r="X5866" t="str">
        <f t="shared" si="366"/>
        <v>25-48 Months</v>
      </c>
      <c r="Y5866" s="1" t="str">
        <f t="shared" si="367"/>
        <v>Low</v>
      </c>
    </row>
    <row r="5867" spans="1:25" x14ac:dyDescent="0.2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 t="shared" si="364"/>
        <v>0</v>
      </c>
      <c r="W5867">
        <f t="shared" si="365"/>
        <v>1</v>
      </c>
      <c r="X5867" t="str">
        <f t="shared" si="366"/>
        <v>0-12 Months</v>
      </c>
      <c r="Y5867" s="1" t="str">
        <f t="shared" si="367"/>
        <v>Low</v>
      </c>
    </row>
    <row r="5868" spans="1:25" x14ac:dyDescent="0.2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 t="shared" si="364"/>
        <v>0</v>
      </c>
      <c r="W5868">
        <f t="shared" si="365"/>
        <v>1</v>
      </c>
      <c r="X5868" t="str">
        <f t="shared" si="366"/>
        <v>0-12 Months</v>
      </c>
      <c r="Y5868" s="1" t="str">
        <f t="shared" si="367"/>
        <v>Low</v>
      </c>
    </row>
    <row r="5869" spans="1:25" x14ac:dyDescent="0.2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 t="shared" si="364"/>
        <v>0</v>
      </c>
      <c r="W5869">
        <f t="shared" si="365"/>
        <v>1</v>
      </c>
      <c r="X5869" t="str">
        <f t="shared" si="366"/>
        <v>25-48 Months</v>
      </c>
      <c r="Y5869" s="1" t="str">
        <f t="shared" si="367"/>
        <v>Low</v>
      </c>
    </row>
    <row r="5870" spans="1:25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 t="shared" si="364"/>
        <v>0</v>
      </c>
      <c r="W5870">
        <f t="shared" si="365"/>
        <v>1</v>
      </c>
      <c r="X5870" t="str">
        <f t="shared" si="366"/>
        <v>0-12 Months</v>
      </c>
      <c r="Y5870" s="1" t="str">
        <f t="shared" si="367"/>
        <v>Low</v>
      </c>
    </row>
    <row r="5871" spans="1:25" x14ac:dyDescent="0.2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 t="shared" si="364"/>
        <v>0</v>
      </c>
      <c r="W5871">
        <f t="shared" si="365"/>
        <v>1</v>
      </c>
      <c r="X5871" t="str">
        <f t="shared" si="366"/>
        <v>25-48 Months</v>
      </c>
      <c r="Y5871" s="1" t="str">
        <f t="shared" si="367"/>
        <v>High</v>
      </c>
    </row>
    <row r="5872" spans="1:25" x14ac:dyDescent="0.2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 t="shared" si="364"/>
        <v>1</v>
      </c>
      <c r="W5872">
        <f t="shared" si="365"/>
        <v>0</v>
      </c>
      <c r="X5872" t="str">
        <f t="shared" si="366"/>
        <v>0-12 Months</v>
      </c>
      <c r="Y5872" s="1" t="str">
        <f t="shared" si="367"/>
        <v>Low</v>
      </c>
    </row>
    <row r="5873" spans="1:25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 t="shared" si="364"/>
        <v>1</v>
      </c>
      <c r="W5873">
        <f t="shared" si="365"/>
        <v>0</v>
      </c>
      <c r="X5873" t="str">
        <f t="shared" si="366"/>
        <v>13-24 Months</v>
      </c>
      <c r="Y5873" s="1" t="str">
        <f t="shared" si="367"/>
        <v>Medium</v>
      </c>
    </row>
    <row r="5874" spans="1:25" x14ac:dyDescent="0.2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 t="shared" si="364"/>
        <v>1</v>
      </c>
      <c r="W5874">
        <f t="shared" si="365"/>
        <v>0</v>
      </c>
      <c r="X5874" t="str">
        <f t="shared" si="366"/>
        <v>0-12 Months</v>
      </c>
      <c r="Y5874" s="1" t="str">
        <f t="shared" si="367"/>
        <v>Medium</v>
      </c>
    </row>
    <row r="5875" spans="1:25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 t="shared" si="364"/>
        <v>0</v>
      </c>
      <c r="W5875">
        <f t="shared" si="365"/>
        <v>1</v>
      </c>
      <c r="X5875" t="str">
        <f t="shared" si="366"/>
        <v>13-24 Months</v>
      </c>
      <c r="Y5875" s="1" t="str">
        <f t="shared" si="367"/>
        <v>Medium</v>
      </c>
    </row>
    <row r="5876" spans="1:25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 t="shared" si="364"/>
        <v>1</v>
      </c>
      <c r="W5876">
        <f t="shared" si="365"/>
        <v>0</v>
      </c>
      <c r="X5876" t="str">
        <f t="shared" si="366"/>
        <v>0-12 Months</v>
      </c>
      <c r="Y5876" s="1" t="str">
        <f t="shared" si="367"/>
        <v>High</v>
      </c>
    </row>
    <row r="5877" spans="1:25" x14ac:dyDescent="0.2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 t="shared" si="364"/>
        <v>0</v>
      </c>
      <c r="W5877">
        <f t="shared" si="365"/>
        <v>1</v>
      </c>
      <c r="X5877" t="str">
        <f t="shared" si="366"/>
        <v>49+ Months</v>
      </c>
      <c r="Y5877" s="1" t="str">
        <f t="shared" si="367"/>
        <v>Medium</v>
      </c>
    </row>
    <row r="5878" spans="1:25" x14ac:dyDescent="0.2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 t="shared" si="364"/>
        <v>1</v>
      </c>
      <c r="W5878">
        <f t="shared" si="365"/>
        <v>0</v>
      </c>
      <c r="X5878" t="str">
        <f t="shared" si="366"/>
        <v>0-12 Months</v>
      </c>
      <c r="Y5878" s="1" t="str">
        <f t="shared" si="367"/>
        <v>High</v>
      </c>
    </row>
    <row r="5879" spans="1:25" x14ac:dyDescent="0.2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 t="shared" si="364"/>
        <v>1</v>
      </c>
      <c r="W5879">
        <f t="shared" si="365"/>
        <v>0</v>
      </c>
      <c r="X5879" t="str">
        <f t="shared" si="366"/>
        <v>49+ Months</v>
      </c>
      <c r="Y5879" s="1" t="str">
        <f t="shared" si="367"/>
        <v>High</v>
      </c>
    </row>
    <row r="5880" spans="1:25" x14ac:dyDescent="0.2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 t="shared" si="364"/>
        <v>0</v>
      </c>
      <c r="W5880">
        <f t="shared" si="365"/>
        <v>1</v>
      </c>
      <c r="X5880" t="str">
        <f t="shared" si="366"/>
        <v>0-12 Months</v>
      </c>
      <c r="Y5880" s="1" t="str">
        <f t="shared" si="367"/>
        <v>Low</v>
      </c>
    </row>
    <row r="5881" spans="1:25" x14ac:dyDescent="0.2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 t="shared" si="364"/>
        <v>0</v>
      </c>
      <c r="W5881">
        <f t="shared" si="365"/>
        <v>1</v>
      </c>
      <c r="X5881" t="str">
        <f t="shared" si="366"/>
        <v>25-48 Months</v>
      </c>
      <c r="Y5881" s="1" t="str">
        <f t="shared" si="367"/>
        <v>Medium</v>
      </c>
    </row>
    <row r="5882" spans="1:25" x14ac:dyDescent="0.2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 t="shared" si="364"/>
        <v>1</v>
      </c>
      <c r="W5882">
        <f t="shared" si="365"/>
        <v>0</v>
      </c>
      <c r="X5882" t="str">
        <f t="shared" si="366"/>
        <v>0-12 Months</v>
      </c>
      <c r="Y5882" s="1" t="str">
        <f t="shared" si="367"/>
        <v>Low</v>
      </c>
    </row>
    <row r="5883" spans="1:25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 t="shared" si="364"/>
        <v>0</v>
      </c>
      <c r="W5883">
        <f t="shared" si="365"/>
        <v>1</v>
      </c>
      <c r="X5883" t="str">
        <f t="shared" si="366"/>
        <v>25-48 Months</v>
      </c>
      <c r="Y5883" s="1" t="str">
        <f t="shared" si="367"/>
        <v>Medium</v>
      </c>
    </row>
    <row r="5884" spans="1:25" x14ac:dyDescent="0.2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 t="shared" si="364"/>
        <v>0</v>
      </c>
      <c r="W5884">
        <f t="shared" si="365"/>
        <v>1</v>
      </c>
      <c r="X5884" t="str">
        <f t="shared" si="366"/>
        <v>13-24 Months</v>
      </c>
      <c r="Y5884" s="1" t="str">
        <f t="shared" si="367"/>
        <v>Low</v>
      </c>
    </row>
    <row r="5885" spans="1:25" x14ac:dyDescent="0.2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 t="shared" si="364"/>
        <v>0</v>
      </c>
      <c r="W5885">
        <f t="shared" si="365"/>
        <v>1</v>
      </c>
      <c r="X5885" t="str">
        <f t="shared" si="366"/>
        <v>13-24 Months</v>
      </c>
      <c r="Y5885" s="1" t="str">
        <f t="shared" si="367"/>
        <v>Low</v>
      </c>
    </row>
    <row r="5886" spans="1:25" x14ac:dyDescent="0.2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 t="shared" si="364"/>
        <v>1</v>
      </c>
      <c r="W5886">
        <f t="shared" si="365"/>
        <v>0</v>
      </c>
      <c r="X5886" t="str">
        <f t="shared" si="366"/>
        <v>25-48 Months</v>
      </c>
      <c r="Y5886" s="1" t="str">
        <f t="shared" si="367"/>
        <v>Medium</v>
      </c>
    </row>
    <row r="5887" spans="1:25" x14ac:dyDescent="0.2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 t="shared" si="364"/>
        <v>0</v>
      </c>
      <c r="W5887">
        <f t="shared" si="365"/>
        <v>1</v>
      </c>
      <c r="X5887" t="str">
        <f t="shared" si="366"/>
        <v>13-24 Months</v>
      </c>
      <c r="Y5887" s="1" t="str">
        <f t="shared" si="367"/>
        <v>Low</v>
      </c>
    </row>
    <row r="5888" spans="1:25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 t="shared" si="364"/>
        <v>0</v>
      </c>
      <c r="W5888">
        <f t="shared" si="365"/>
        <v>1</v>
      </c>
      <c r="X5888" t="str">
        <f t="shared" si="366"/>
        <v>25-48 Months</v>
      </c>
      <c r="Y5888" s="1" t="str">
        <f t="shared" si="367"/>
        <v>Low</v>
      </c>
    </row>
    <row r="5889" spans="1:25" x14ac:dyDescent="0.2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 t="shared" si="364"/>
        <v>0</v>
      </c>
      <c r="W5889">
        <f t="shared" si="365"/>
        <v>1</v>
      </c>
      <c r="X5889" t="str">
        <f t="shared" si="366"/>
        <v>13-24 Months</v>
      </c>
      <c r="Y5889" s="1" t="str">
        <f t="shared" si="367"/>
        <v>Medium</v>
      </c>
    </row>
    <row r="5890" spans="1:25" x14ac:dyDescent="0.2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 t="shared" ref="V5890:V5953" si="368">IF(U5890="Yes",1,0)</f>
        <v>1</v>
      </c>
      <c r="W5890">
        <f t="shared" ref="W5890:W5953" si="369">IF(U5890="No",1,0)</f>
        <v>0</v>
      </c>
      <c r="X5890" t="str">
        <f t="shared" ref="X5890:X5953" si="370">IF(F5890&lt;=12,"0-12 Months",IF(F5890&lt;=24,"13-24 Months",IF(F5890&lt;=48,"25-48 Months","49+ Months")))</f>
        <v>49+ Months</v>
      </c>
      <c r="Y5890" s="1" t="str">
        <f t="shared" ref="Y5890:Y5953" si="371">IF(S5890&lt;50,"Low",IF(S5890&lt;80,"Medium","High"))</f>
        <v>High</v>
      </c>
    </row>
    <row r="5891" spans="1:25" x14ac:dyDescent="0.2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 t="shared" si="368"/>
        <v>0</v>
      </c>
      <c r="W5891">
        <f t="shared" si="369"/>
        <v>1</v>
      </c>
      <c r="X5891" t="str">
        <f t="shared" si="370"/>
        <v>49+ Months</v>
      </c>
      <c r="Y5891" s="1" t="str">
        <f t="shared" si="371"/>
        <v>Medium</v>
      </c>
    </row>
    <row r="5892" spans="1:25" x14ac:dyDescent="0.2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 t="shared" si="368"/>
        <v>0</v>
      </c>
      <c r="W5892">
        <f t="shared" si="369"/>
        <v>1</v>
      </c>
      <c r="X5892" t="str">
        <f t="shared" si="370"/>
        <v>49+ Months</v>
      </c>
      <c r="Y5892" s="1" t="str">
        <f t="shared" si="371"/>
        <v>High</v>
      </c>
    </row>
    <row r="5893" spans="1:25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 t="shared" si="368"/>
        <v>1</v>
      </c>
      <c r="W5893">
        <f t="shared" si="369"/>
        <v>0</v>
      </c>
      <c r="X5893" t="str">
        <f t="shared" si="370"/>
        <v>0-12 Months</v>
      </c>
      <c r="Y5893" s="1" t="str">
        <f t="shared" si="371"/>
        <v>Low</v>
      </c>
    </row>
    <row r="5894" spans="1:25" x14ac:dyDescent="0.2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 t="shared" si="368"/>
        <v>0</v>
      </c>
      <c r="W5894">
        <f t="shared" si="369"/>
        <v>1</v>
      </c>
      <c r="X5894" t="str">
        <f t="shared" si="370"/>
        <v>0-12 Months</v>
      </c>
      <c r="Y5894" s="1" t="str">
        <f t="shared" si="371"/>
        <v>Medium</v>
      </c>
    </row>
    <row r="5895" spans="1:25" x14ac:dyDescent="0.2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 t="shared" si="368"/>
        <v>0</v>
      </c>
      <c r="W5895">
        <f t="shared" si="369"/>
        <v>1</v>
      </c>
      <c r="X5895" t="str">
        <f t="shared" si="370"/>
        <v>0-12 Months</v>
      </c>
      <c r="Y5895" s="1" t="str">
        <f t="shared" si="371"/>
        <v>Low</v>
      </c>
    </row>
    <row r="5896" spans="1:25" x14ac:dyDescent="0.2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 t="shared" si="368"/>
        <v>1</v>
      </c>
      <c r="W5896">
        <f t="shared" si="369"/>
        <v>0</v>
      </c>
      <c r="X5896" t="str">
        <f t="shared" si="370"/>
        <v>25-48 Months</v>
      </c>
      <c r="Y5896" s="1" t="str">
        <f t="shared" si="371"/>
        <v>High</v>
      </c>
    </row>
    <row r="5897" spans="1:25" x14ac:dyDescent="0.2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 t="shared" si="368"/>
        <v>0</v>
      </c>
      <c r="W5897">
        <f t="shared" si="369"/>
        <v>1</v>
      </c>
      <c r="X5897" t="str">
        <f t="shared" si="370"/>
        <v>25-48 Months</v>
      </c>
      <c r="Y5897" s="1" t="str">
        <f t="shared" si="371"/>
        <v>Medium</v>
      </c>
    </row>
    <row r="5898" spans="1:25" x14ac:dyDescent="0.2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 t="shared" si="368"/>
        <v>0</v>
      </c>
      <c r="W5898">
        <f t="shared" si="369"/>
        <v>1</v>
      </c>
      <c r="X5898" t="str">
        <f t="shared" si="370"/>
        <v>49+ Months</v>
      </c>
      <c r="Y5898" s="1" t="str">
        <f t="shared" si="371"/>
        <v>Low</v>
      </c>
    </row>
    <row r="5899" spans="1:25" x14ac:dyDescent="0.2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 t="shared" si="368"/>
        <v>0</v>
      </c>
      <c r="W5899">
        <f t="shared" si="369"/>
        <v>1</v>
      </c>
      <c r="X5899" t="str">
        <f t="shared" si="370"/>
        <v>49+ Months</v>
      </c>
      <c r="Y5899" s="1" t="str">
        <f t="shared" si="371"/>
        <v>Low</v>
      </c>
    </row>
    <row r="5900" spans="1:25" x14ac:dyDescent="0.2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 t="shared" si="368"/>
        <v>0</v>
      </c>
      <c r="W5900">
        <f t="shared" si="369"/>
        <v>1</v>
      </c>
      <c r="X5900" t="str">
        <f t="shared" si="370"/>
        <v>25-48 Months</v>
      </c>
      <c r="Y5900" s="1" t="str">
        <f t="shared" si="371"/>
        <v>Low</v>
      </c>
    </row>
    <row r="5901" spans="1:25" x14ac:dyDescent="0.2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 t="shared" si="368"/>
        <v>0</v>
      </c>
      <c r="W5901">
        <f t="shared" si="369"/>
        <v>1</v>
      </c>
      <c r="X5901" t="str">
        <f t="shared" si="370"/>
        <v>49+ Months</v>
      </c>
      <c r="Y5901" s="1" t="str">
        <f t="shared" si="371"/>
        <v>Medium</v>
      </c>
    </row>
    <row r="5902" spans="1:25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 t="shared" si="368"/>
        <v>1</v>
      </c>
      <c r="W5902">
        <f t="shared" si="369"/>
        <v>0</v>
      </c>
      <c r="X5902" t="str">
        <f t="shared" si="370"/>
        <v>25-48 Months</v>
      </c>
      <c r="Y5902" s="1" t="str">
        <f t="shared" si="371"/>
        <v>Low</v>
      </c>
    </row>
    <row r="5903" spans="1:25" x14ac:dyDescent="0.2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 t="shared" si="368"/>
        <v>1</v>
      </c>
      <c r="W5903">
        <f t="shared" si="369"/>
        <v>0</v>
      </c>
      <c r="X5903" t="str">
        <f t="shared" si="370"/>
        <v>49+ Months</v>
      </c>
      <c r="Y5903" s="1" t="str">
        <f t="shared" si="371"/>
        <v>High</v>
      </c>
    </row>
    <row r="5904" spans="1:25" x14ac:dyDescent="0.2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 t="shared" si="368"/>
        <v>0</v>
      </c>
      <c r="W5904">
        <f t="shared" si="369"/>
        <v>1</v>
      </c>
      <c r="X5904" t="str">
        <f t="shared" si="370"/>
        <v>0-12 Months</v>
      </c>
      <c r="Y5904" s="1" t="str">
        <f t="shared" si="371"/>
        <v>Medium</v>
      </c>
    </row>
    <row r="5905" spans="1:25" x14ac:dyDescent="0.2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 t="shared" si="368"/>
        <v>0</v>
      </c>
      <c r="W5905">
        <f t="shared" si="369"/>
        <v>1</v>
      </c>
      <c r="X5905" t="str">
        <f t="shared" si="370"/>
        <v>49+ Months</v>
      </c>
      <c r="Y5905" s="1" t="str">
        <f t="shared" si="371"/>
        <v>High</v>
      </c>
    </row>
    <row r="5906" spans="1:25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 t="shared" si="368"/>
        <v>0</v>
      </c>
      <c r="W5906">
        <f t="shared" si="369"/>
        <v>1</v>
      </c>
      <c r="X5906" t="str">
        <f t="shared" si="370"/>
        <v>49+ Months</v>
      </c>
      <c r="Y5906" s="1" t="str">
        <f t="shared" si="371"/>
        <v>High</v>
      </c>
    </row>
    <row r="5907" spans="1:25" x14ac:dyDescent="0.2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 t="shared" si="368"/>
        <v>0</v>
      </c>
      <c r="W5907">
        <f t="shared" si="369"/>
        <v>1</v>
      </c>
      <c r="X5907" t="str">
        <f t="shared" si="370"/>
        <v>0-12 Months</v>
      </c>
      <c r="Y5907" s="1" t="str">
        <f t="shared" si="371"/>
        <v>High</v>
      </c>
    </row>
    <row r="5908" spans="1:25" x14ac:dyDescent="0.2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 t="shared" si="368"/>
        <v>1</v>
      </c>
      <c r="W5908">
        <f t="shared" si="369"/>
        <v>0</v>
      </c>
      <c r="X5908" t="str">
        <f t="shared" si="370"/>
        <v>13-24 Months</v>
      </c>
      <c r="Y5908" s="1" t="str">
        <f t="shared" si="371"/>
        <v>Medium</v>
      </c>
    </row>
    <row r="5909" spans="1:25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 t="shared" si="368"/>
        <v>0</v>
      </c>
      <c r="W5909">
        <f t="shared" si="369"/>
        <v>1</v>
      </c>
      <c r="X5909" t="str">
        <f t="shared" si="370"/>
        <v>0-12 Months</v>
      </c>
      <c r="Y5909" s="1" t="str">
        <f t="shared" si="371"/>
        <v>Low</v>
      </c>
    </row>
    <row r="5910" spans="1:25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 t="shared" si="368"/>
        <v>1</v>
      </c>
      <c r="W5910">
        <f t="shared" si="369"/>
        <v>0</v>
      </c>
      <c r="X5910" t="str">
        <f t="shared" si="370"/>
        <v>0-12 Months</v>
      </c>
      <c r="Y5910" s="1" t="str">
        <f t="shared" si="371"/>
        <v>Low</v>
      </c>
    </row>
    <row r="5911" spans="1:25" x14ac:dyDescent="0.2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 t="shared" si="368"/>
        <v>0</v>
      </c>
      <c r="W5911">
        <f t="shared" si="369"/>
        <v>1</v>
      </c>
      <c r="X5911" t="str">
        <f t="shared" si="370"/>
        <v>49+ Months</v>
      </c>
      <c r="Y5911" s="1" t="str">
        <f t="shared" si="371"/>
        <v>High</v>
      </c>
    </row>
    <row r="5912" spans="1:25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 t="shared" si="368"/>
        <v>0</v>
      </c>
      <c r="W5912">
        <f t="shared" si="369"/>
        <v>1</v>
      </c>
      <c r="X5912" t="str">
        <f t="shared" si="370"/>
        <v>0-12 Months</v>
      </c>
      <c r="Y5912" s="1" t="str">
        <f t="shared" si="371"/>
        <v>Medium</v>
      </c>
    </row>
    <row r="5913" spans="1:25" x14ac:dyDescent="0.2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 t="shared" si="368"/>
        <v>0</v>
      </c>
      <c r="W5913">
        <f t="shared" si="369"/>
        <v>1</v>
      </c>
      <c r="X5913" t="str">
        <f t="shared" si="370"/>
        <v>0-12 Months</v>
      </c>
      <c r="Y5913" s="1" t="str">
        <f t="shared" si="371"/>
        <v>Low</v>
      </c>
    </row>
    <row r="5914" spans="1:25" x14ac:dyDescent="0.2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 t="shared" si="368"/>
        <v>1</v>
      </c>
      <c r="W5914">
        <f t="shared" si="369"/>
        <v>0</v>
      </c>
      <c r="X5914" t="str">
        <f t="shared" si="370"/>
        <v>25-48 Months</v>
      </c>
      <c r="Y5914" s="1" t="str">
        <f t="shared" si="371"/>
        <v>High</v>
      </c>
    </row>
    <row r="5915" spans="1:25" x14ac:dyDescent="0.2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 t="shared" si="368"/>
        <v>0</v>
      </c>
      <c r="W5915">
        <f t="shared" si="369"/>
        <v>1</v>
      </c>
      <c r="X5915" t="str">
        <f t="shared" si="370"/>
        <v>25-48 Months</v>
      </c>
      <c r="Y5915" s="1" t="str">
        <f t="shared" si="371"/>
        <v>High</v>
      </c>
    </row>
    <row r="5916" spans="1:25" x14ac:dyDescent="0.2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 t="shared" si="368"/>
        <v>0</v>
      </c>
      <c r="W5916">
        <f t="shared" si="369"/>
        <v>1</v>
      </c>
      <c r="X5916" t="str">
        <f t="shared" si="370"/>
        <v>25-48 Months</v>
      </c>
      <c r="Y5916" s="1" t="str">
        <f t="shared" si="371"/>
        <v>Medium</v>
      </c>
    </row>
    <row r="5917" spans="1:25" x14ac:dyDescent="0.2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 t="shared" si="368"/>
        <v>0</v>
      </c>
      <c r="W5917">
        <f t="shared" si="369"/>
        <v>1</v>
      </c>
      <c r="X5917" t="str">
        <f t="shared" si="370"/>
        <v>49+ Months</v>
      </c>
      <c r="Y5917" s="1" t="str">
        <f t="shared" si="371"/>
        <v>Low</v>
      </c>
    </row>
    <row r="5918" spans="1:25" x14ac:dyDescent="0.2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 t="shared" si="368"/>
        <v>0</v>
      </c>
      <c r="W5918">
        <f t="shared" si="369"/>
        <v>1</v>
      </c>
      <c r="X5918" t="str">
        <f t="shared" si="370"/>
        <v>49+ Months</v>
      </c>
      <c r="Y5918" s="1" t="str">
        <f t="shared" si="371"/>
        <v>High</v>
      </c>
    </row>
    <row r="5919" spans="1:25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 t="shared" si="368"/>
        <v>0</v>
      </c>
      <c r="W5919">
        <f t="shared" si="369"/>
        <v>1</v>
      </c>
      <c r="X5919" t="str">
        <f t="shared" si="370"/>
        <v>0-12 Months</v>
      </c>
      <c r="Y5919" s="1" t="str">
        <f t="shared" si="371"/>
        <v>Low</v>
      </c>
    </row>
    <row r="5920" spans="1:25" x14ac:dyDescent="0.2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 t="shared" si="368"/>
        <v>0</v>
      </c>
      <c r="W5920">
        <f t="shared" si="369"/>
        <v>1</v>
      </c>
      <c r="X5920" t="str">
        <f t="shared" si="370"/>
        <v>49+ Months</v>
      </c>
      <c r="Y5920" s="1" t="str">
        <f t="shared" si="371"/>
        <v>Low</v>
      </c>
    </row>
    <row r="5921" spans="1:25" x14ac:dyDescent="0.2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 t="shared" si="368"/>
        <v>0</v>
      </c>
      <c r="W5921">
        <f t="shared" si="369"/>
        <v>1</v>
      </c>
      <c r="X5921" t="str">
        <f t="shared" si="370"/>
        <v>49+ Months</v>
      </c>
      <c r="Y5921" s="1" t="str">
        <f t="shared" si="371"/>
        <v>Medium</v>
      </c>
    </row>
    <row r="5922" spans="1:25" x14ac:dyDescent="0.2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 t="shared" si="368"/>
        <v>0</v>
      </c>
      <c r="W5922">
        <f t="shared" si="369"/>
        <v>1</v>
      </c>
      <c r="X5922" t="str">
        <f t="shared" si="370"/>
        <v>25-48 Months</v>
      </c>
      <c r="Y5922" s="1" t="str">
        <f t="shared" si="371"/>
        <v>Medium</v>
      </c>
    </row>
    <row r="5923" spans="1:25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 t="shared" si="368"/>
        <v>0</v>
      </c>
      <c r="W5923">
        <f t="shared" si="369"/>
        <v>1</v>
      </c>
      <c r="X5923" t="str">
        <f t="shared" si="370"/>
        <v>25-48 Months</v>
      </c>
      <c r="Y5923" s="1" t="str">
        <f t="shared" si="371"/>
        <v>Medium</v>
      </c>
    </row>
    <row r="5924" spans="1:25" x14ac:dyDescent="0.2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 t="shared" si="368"/>
        <v>0</v>
      </c>
      <c r="W5924">
        <f t="shared" si="369"/>
        <v>1</v>
      </c>
      <c r="X5924" t="str">
        <f t="shared" si="370"/>
        <v>49+ Months</v>
      </c>
      <c r="Y5924" s="1" t="str">
        <f t="shared" si="371"/>
        <v>High</v>
      </c>
    </row>
    <row r="5925" spans="1:25" x14ac:dyDescent="0.2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 t="shared" si="368"/>
        <v>0</v>
      </c>
      <c r="W5925">
        <f t="shared" si="369"/>
        <v>1</v>
      </c>
      <c r="X5925" t="str">
        <f t="shared" si="370"/>
        <v>0-12 Months</v>
      </c>
      <c r="Y5925" s="1" t="str">
        <f t="shared" si="371"/>
        <v>High</v>
      </c>
    </row>
    <row r="5926" spans="1:25" x14ac:dyDescent="0.2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 t="shared" si="368"/>
        <v>0</v>
      </c>
      <c r="W5926">
        <f t="shared" si="369"/>
        <v>1</v>
      </c>
      <c r="X5926" t="str">
        <f t="shared" si="370"/>
        <v>49+ Months</v>
      </c>
      <c r="Y5926" s="1" t="str">
        <f t="shared" si="371"/>
        <v>Low</v>
      </c>
    </row>
    <row r="5927" spans="1:25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 t="shared" si="368"/>
        <v>0</v>
      </c>
      <c r="W5927">
        <f t="shared" si="369"/>
        <v>1</v>
      </c>
      <c r="X5927" t="str">
        <f t="shared" si="370"/>
        <v>13-24 Months</v>
      </c>
      <c r="Y5927" s="1" t="str">
        <f t="shared" si="371"/>
        <v>Medium</v>
      </c>
    </row>
    <row r="5928" spans="1:25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 t="shared" si="368"/>
        <v>0</v>
      </c>
      <c r="W5928">
        <f t="shared" si="369"/>
        <v>1</v>
      </c>
      <c r="X5928" t="str">
        <f t="shared" si="370"/>
        <v>0-12 Months</v>
      </c>
      <c r="Y5928" s="1" t="str">
        <f t="shared" si="371"/>
        <v>Medium</v>
      </c>
    </row>
    <row r="5929" spans="1:25" x14ac:dyDescent="0.2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 t="shared" si="368"/>
        <v>0</v>
      </c>
      <c r="W5929">
        <f t="shared" si="369"/>
        <v>1</v>
      </c>
      <c r="X5929" t="str">
        <f t="shared" si="370"/>
        <v>49+ Months</v>
      </c>
      <c r="Y5929" s="1" t="str">
        <f t="shared" si="371"/>
        <v>Low</v>
      </c>
    </row>
    <row r="5930" spans="1:25" x14ac:dyDescent="0.2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 t="shared" si="368"/>
        <v>0</v>
      </c>
      <c r="W5930">
        <f t="shared" si="369"/>
        <v>1</v>
      </c>
      <c r="X5930" t="str">
        <f t="shared" si="370"/>
        <v>49+ Months</v>
      </c>
      <c r="Y5930" s="1" t="str">
        <f t="shared" si="371"/>
        <v>Low</v>
      </c>
    </row>
    <row r="5931" spans="1:25" x14ac:dyDescent="0.2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 t="shared" si="368"/>
        <v>0</v>
      </c>
      <c r="W5931">
        <f t="shared" si="369"/>
        <v>1</v>
      </c>
      <c r="X5931" t="str">
        <f t="shared" si="370"/>
        <v>49+ Months</v>
      </c>
      <c r="Y5931" s="1" t="str">
        <f t="shared" si="371"/>
        <v>High</v>
      </c>
    </row>
    <row r="5932" spans="1:25" x14ac:dyDescent="0.2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 t="shared" si="368"/>
        <v>0</v>
      </c>
      <c r="W5932">
        <f t="shared" si="369"/>
        <v>1</v>
      </c>
      <c r="X5932" t="str">
        <f t="shared" si="370"/>
        <v>49+ Months</v>
      </c>
      <c r="Y5932" s="1" t="str">
        <f t="shared" si="371"/>
        <v>High</v>
      </c>
    </row>
    <row r="5933" spans="1:25" x14ac:dyDescent="0.2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 t="shared" si="368"/>
        <v>1</v>
      </c>
      <c r="W5933">
        <f t="shared" si="369"/>
        <v>0</v>
      </c>
      <c r="X5933" t="str">
        <f t="shared" si="370"/>
        <v>13-24 Months</v>
      </c>
      <c r="Y5933" s="1" t="str">
        <f t="shared" si="371"/>
        <v>High</v>
      </c>
    </row>
    <row r="5934" spans="1:25" x14ac:dyDescent="0.2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 t="shared" si="368"/>
        <v>1</v>
      </c>
      <c r="W5934">
        <f t="shared" si="369"/>
        <v>0</v>
      </c>
      <c r="X5934" t="str">
        <f t="shared" si="370"/>
        <v>0-12 Months</v>
      </c>
      <c r="Y5934" s="1" t="str">
        <f t="shared" si="371"/>
        <v>High</v>
      </c>
    </row>
    <row r="5935" spans="1:25" x14ac:dyDescent="0.2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 t="shared" si="368"/>
        <v>1</v>
      </c>
      <c r="W5935">
        <f t="shared" si="369"/>
        <v>0</v>
      </c>
      <c r="X5935" t="str">
        <f t="shared" si="370"/>
        <v>0-12 Months</v>
      </c>
      <c r="Y5935" s="1" t="str">
        <f t="shared" si="371"/>
        <v>High</v>
      </c>
    </row>
    <row r="5936" spans="1:25" x14ac:dyDescent="0.2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 t="shared" si="368"/>
        <v>1</v>
      </c>
      <c r="W5936">
        <f t="shared" si="369"/>
        <v>0</v>
      </c>
      <c r="X5936" t="str">
        <f t="shared" si="370"/>
        <v>25-48 Months</v>
      </c>
      <c r="Y5936" s="1" t="str">
        <f t="shared" si="371"/>
        <v>High</v>
      </c>
    </row>
    <row r="5937" spans="1:25" x14ac:dyDescent="0.2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 t="shared" si="368"/>
        <v>0</v>
      </c>
      <c r="W5937">
        <f t="shared" si="369"/>
        <v>1</v>
      </c>
      <c r="X5937" t="str">
        <f t="shared" si="370"/>
        <v>13-24 Months</v>
      </c>
      <c r="Y5937" s="1" t="str">
        <f t="shared" si="371"/>
        <v>Medium</v>
      </c>
    </row>
    <row r="5938" spans="1:25" x14ac:dyDescent="0.2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 t="shared" si="368"/>
        <v>0</v>
      </c>
      <c r="W5938">
        <f t="shared" si="369"/>
        <v>1</v>
      </c>
      <c r="X5938" t="str">
        <f t="shared" si="370"/>
        <v>25-48 Months</v>
      </c>
      <c r="Y5938" s="1" t="str">
        <f t="shared" si="371"/>
        <v>Low</v>
      </c>
    </row>
    <row r="5939" spans="1:25" x14ac:dyDescent="0.2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 t="shared" si="368"/>
        <v>1</v>
      </c>
      <c r="W5939">
        <f t="shared" si="369"/>
        <v>0</v>
      </c>
      <c r="X5939" t="str">
        <f t="shared" si="370"/>
        <v>0-12 Months</v>
      </c>
      <c r="Y5939" s="1" t="str">
        <f t="shared" si="371"/>
        <v>High</v>
      </c>
    </row>
    <row r="5940" spans="1:25" x14ac:dyDescent="0.2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 t="shared" si="368"/>
        <v>0</v>
      </c>
      <c r="W5940">
        <f t="shared" si="369"/>
        <v>1</v>
      </c>
      <c r="X5940" t="str">
        <f t="shared" si="370"/>
        <v>25-48 Months</v>
      </c>
      <c r="Y5940" s="1" t="str">
        <f t="shared" si="371"/>
        <v>High</v>
      </c>
    </row>
    <row r="5941" spans="1:25" x14ac:dyDescent="0.2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 t="shared" si="368"/>
        <v>0</v>
      </c>
      <c r="W5941">
        <f t="shared" si="369"/>
        <v>1</v>
      </c>
      <c r="X5941" t="str">
        <f t="shared" si="370"/>
        <v>13-24 Months</v>
      </c>
      <c r="Y5941" s="1" t="str">
        <f t="shared" si="371"/>
        <v>Low</v>
      </c>
    </row>
    <row r="5942" spans="1:25" x14ac:dyDescent="0.2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 t="shared" si="368"/>
        <v>0</v>
      </c>
      <c r="W5942">
        <f t="shared" si="369"/>
        <v>1</v>
      </c>
      <c r="X5942" t="str">
        <f t="shared" si="370"/>
        <v>49+ Months</v>
      </c>
      <c r="Y5942" s="1" t="str">
        <f t="shared" si="371"/>
        <v>High</v>
      </c>
    </row>
    <row r="5943" spans="1:25" x14ac:dyDescent="0.2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 t="shared" si="368"/>
        <v>0</v>
      </c>
      <c r="W5943">
        <f t="shared" si="369"/>
        <v>1</v>
      </c>
      <c r="X5943" t="str">
        <f t="shared" si="370"/>
        <v>25-48 Months</v>
      </c>
      <c r="Y5943" s="1" t="str">
        <f t="shared" si="371"/>
        <v>Low</v>
      </c>
    </row>
    <row r="5944" spans="1:25" x14ac:dyDescent="0.2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 t="shared" si="368"/>
        <v>1</v>
      </c>
      <c r="W5944">
        <f t="shared" si="369"/>
        <v>0</v>
      </c>
      <c r="X5944" t="str">
        <f t="shared" si="370"/>
        <v>0-12 Months</v>
      </c>
      <c r="Y5944" s="1" t="str">
        <f t="shared" si="371"/>
        <v>Low</v>
      </c>
    </row>
    <row r="5945" spans="1:25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 t="shared" si="368"/>
        <v>1</v>
      </c>
      <c r="W5945">
        <f t="shared" si="369"/>
        <v>0</v>
      </c>
      <c r="X5945" t="str">
        <f t="shared" si="370"/>
        <v>0-12 Months</v>
      </c>
      <c r="Y5945" s="1" t="str">
        <f t="shared" si="371"/>
        <v>High</v>
      </c>
    </row>
    <row r="5946" spans="1:25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 t="shared" si="368"/>
        <v>1</v>
      </c>
      <c r="W5946">
        <f t="shared" si="369"/>
        <v>0</v>
      </c>
      <c r="X5946" t="str">
        <f t="shared" si="370"/>
        <v>0-12 Months</v>
      </c>
      <c r="Y5946" s="1" t="str">
        <f t="shared" si="371"/>
        <v>Medium</v>
      </c>
    </row>
    <row r="5947" spans="1:25" x14ac:dyDescent="0.2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 t="shared" si="368"/>
        <v>0</v>
      </c>
      <c r="W5947">
        <f t="shared" si="369"/>
        <v>1</v>
      </c>
      <c r="X5947" t="str">
        <f t="shared" si="370"/>
        <v>49+ Months</v>
      </c>
      <c r="Y5947" s="1" t="str">
        <f t="shared" si="371"/>
        <v>High</v>
      </c>
    </row>
    <row r="5948" spans="1:25" x14ac:dyDescent="0.2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 t="shared" si="368"/>
        <v>1</v>
      </c>
      <c r="W5948">
        <f t="shared" si="369"/>
        <v>0</v>
      </c>
      <c r="X5948" t="str">
        <f t="shared" si="370"/>
        <v>25-48 Months</v>
      </c>
      <c r="Y5948" s="1" t="str">
        <f t="shared" si="371"/>
        <v>Medium</v>
      </c>
    </row>
    <row r="5949" spans="1:25" x14ac:dyDescent="0.2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 t="shared" si="368"/>
        <v>1</v>
      </c>
      <c r="W5949">
        <f t="shared" si="369"/>
        <v>0</v>
      </c>
      <c r="X5949" t="str">
        <f t="shared" si="370"/>
        <v>25-48 Months</v>
      </c>
      <c r="Y5949" s="1" t="str">
        <f t="shared" si="371"/>
        <v>Low</v>
      </c>
    </row>
    <row r="5950" spans="1:25" x14ac:dyDescent="0.2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 t="shared" si="368"/>
        <v>0</v>
      </c>
      <c r="W5950">
        <f t="shared" si="369"/>
        <v>1</v>
      </c>
      <c r="X5950" t="str">
        <f t="shared" si="370"/>
        <v>49+ Months</v>
      </c>
      <c r="Y5950" s="1" t="str">
        <f t="shared" si="371"/>
        <v>High</v>
      </c>
    </row>
    <row r="5951" spans="1:25" x14ac:dyDescent="0.2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 t="shared" si="368"/>
        <v>0</v>
      </c>
      <c r="W5951">
        <f t="shared" si="369"/>
        <v>1</v>
      </c>
      <c r="X5951" t="str">
        <f t="shared" si="370"/>
        <v>49+ Months</v>
      </c>
      <c r="Y5951" s="1" t="str">
        <f t="shared" si="371"/>
        <v>Low</v>
      </c>
    </row>
    <row r="5952" spans="1:25" x14ac:dyDescent="0.2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 t="shared" si="368"/>
        <v>0</v>
      </c>
      <c r="W5952">
        <f t="shared" si="369"/>
        <v>1</v>
      </c>
      <c r="X5952" t="str">
        <f t="shared" si="370"/>
        <v>0-12 Months</v>
      </c>
      <c r="Y5952" s="1" t="str">
        <f t="shared" si="371"/>
        <v>Low</v>
      </c>
    </row>
    <row r="5953" spans="1:25" x14ac:dyDescent="0.2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 t="shared" si="368"/>
        <v>0</v>
      </c>
      <c r="W5953">
        <f t="shared" si="369"/>
        <v>1</v>
      </c>
      <c r="X5953" t="str">
        <f t="shared" si="370"/>
        <v>25-48 Months</v>
      </c>
      <c r="Y5953" s="1" t="str">
        <f t="shared" si="371"/>
        <v>High</v>
      </c>
    </row>
    <row r="5954" spans="1:25" x14ac:dyDescent="0.2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 t="shared" ref="V5954:V6017" si="372">IF(U5954="Yes",1,0)</f>
        <v>0</v>
      </c>
      <c r="W5954">
        <f t="shared" ref="W5954:W6017" si="373">IF(U5954="No",1,0)</f>
        <v>1</v>
      </c>
      <c r="X5954" t="str">
        <f t="shared" ref="X5954:X6017" si="374">IF(F5954&lt;=12,"0-12 Months",IF(F5954&lt;=24,"13-24 Months",IF(F5954&lt;=48,"25-48 Months","49+ Months")))</f>
        <v>0-12 Months</v>
      </c>
      <c r="Y5954" s="1" t="str">
        <f t="shared" ref="Y5954:Y6017" si="375">IF(S5954&lt;50,"Low",IF(S5954&lt;80,"Medium","High"))</f>
        <v>Low</v>
      </c>
    </row>
    <row r="5955" spans="1:25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 t="shared" si="372"/>
        <v>0</v>
      </c>
      <c r="W5955">
        <f t="shared" si="373"/>
        <v>1</v>
      </c>
      <c r="X5955" t="str">
        <f t="shared" si="374"/>
        <v>0-12 Months</v>
      </c>
      <c r="Y5955" s="1" t="str">
        <f t="shared" si="375"/>
        <v>Medium</v>
      </c>
    </row>
    <row r="5956" spans="1:25" x14ac:dyDescent="0.2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 t="shared" si="372"/>
        <v>0</v>
      </c>
      <c r="W5956">
        <f t="shared" si="373"/>
        <v>1</v>
      </c>
      <c r="X5956" t="str">
        <f t="shared" si="374"/>
        <v>13-24 Months</v>
      </c>
      <c r="Y5956" s="1" t="str">
        <f t="shared" si="375"/>
        <v>Medium</v>
      </c>
    </row>
    <row r="5957" spans="1:25" x14ac:dyDescent="0.2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 t="shared" si="372"/>
        <v>0</v>
      </c>
      <c r="W5957">
        <f t="shared" si="373"/>
        <v>1</v>
      </c>
      <c r="X5957" t="str">
        <f t="shared" si="374"/>
        <v>49+ Months</v>
      </c>
      <c r="Y5957" s="1" t="str">
        <f t="shared" si="375"/>
        <v>Medium</v>
      </c>
    </row>
    <row r="5958" spans="1:25" x14ac:dyDescent="0.2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 t="shared" si="372"/>
        <v>1</v>
      </c>
      <c r="W5958">
        <f t="shared" si="373"/>
        <v>0</v>
      </c>
      <c r="X5958" t="str">
        <f t="shared" si="374"/>
        <v>25-48 Months</v>
      </c>
      <c r="Y5958" s="1" t="str">
        <f t="shared" si="375"/>
        <v>High</v>
      </c>
    </row>
    <row r="5959" spans="1:25" x14ac:dyDescent="0.2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 t="shared" si="372"/>
        <v>1</v>
      </c>
      <c r="W5959">
        <f t="shared" si="373"/>
        <v>0</v>
      </c>
      <c r="X5959" t="str">
        <f t="shared" si="374"/>
        <v>13-24 Months</v>
      </c>
      <c r="Y5959" s="1" t="str">
        <f t="shared" si="375"/>
        <v>Medium</v>
      </c>
    </row>
    <row r="5960" spans="1:25" x14ac:dyDescent="0.2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 t="shared" si="372"/>
        <v>0</v>
      </c>
      <c r="W5960">
        <f t="shared" si="373"/>
        <v>1</v>
      </c>
      <c r="X5960" t="str">
        <f t="shared" si="374"/>
        <v>0-12 Months</v>
      </c>
      <c r="Y5960" s="1" t="str">
        <f t="shared" si="375"/>
        <v>Medium</v>
      </c>
    </row>
    <row r="5961" spans="1:25" x14ac:dyDescent="0.2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 t="shared" si="372"/>
        <v>0</v>
      </c>
      <c r="W5961">
        <f t="shared" si="373"/>
        <v>1</v>
      </c>
      <c r="X5961" t="str">
        <f t="shared" si="374"/>
        <v>25-48 Months</v>
      </c>
      <c r="Y5961" s="1" t="str">
        <f t="shared" si="375"/>
        <v>Low</v>
      </c>
    </row>
    <row r="5962" spans="1:25" x14ac:dyDescent="0.2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 t="shared" si="372"/>
        <v>0</v>
      </c>
      <c r="W5962">
        <f t="shared" si="373"/>
        <v>1</v>
      </c>
      <c r="X5962" t="str">
        <f t="shared" si="374"/>
        <v>49+ Months</v>
      </c>
      <c r="Y5962" s="1" t="str">
        <f t="shared" si="375"/>
        <v>High</v>
      </c>
    </row>
    <row r="5963" spans="1:25" x14ac:dyDescent="0.2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 t="shared" si="372"/>
        <v>0</v>
      </c>
      <c r="W5963">
        <f t="shared" si="373"/>
        <v>1</v>
      </c>
      <c r="X5963" t="str">
        <f t="shared" si="374"/>
        <v>0-12 Months</v>
      </c>
      <c r="Y5963" s="1" t="str">
        <f t="shared" si="375"/>
        <v>Low</v>
      </c>
    </row>
    <row r="5964" spans="1:25" x14ac:dyDescent="0.2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 t="shared" si="372"/>
        <v>0</v>
      </c>
      <c r="W5964">
        <f t="shared" si="373"/>
        <v>1</v>
      </c>
      <c r="X5964" t="str">
        <f t="shared" si="374"/>
        <v>13-24 Months</v>
      </c>
      <c r="Y5964" s="1" t="str">
        <f t="shared" si="375"/>
        <v>High</v>
      </c>
    </row>
    <row r="5965" spans="1:25" x14ac:dyDescent="0.2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 t="shared" si="372"/>
        <v>0</v>
      </c>
      <c r="W5965">
        <f t="shared" si="373"/>
        <v>1</v>
      </c>
      <c r="X5965" t="str">
        <f t="shared" si="374"/>
        <v>13-24 Months</v>
      </c>
      <c r="Y5965" s="1" t="str">
        <f t="shared" si="375"/>
        <v>Medium</v>
      </c>
    </row>
    <row r="5966" spans="1:25" x14ac:dyDescent="0.2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 t="shared" si="372"/>
        <v>0</v>
      </c>
      <c r="W5966">
        <f t="shared" si="373"/>
        <v>1</v>
      </c>
      <c r="X5966" t="str">
        <f t="shared" si="374"/>
        <v>49+ Months</v>
      </c>
      <c r="Y5966" s="1" t="str">
        <f t="shared" si="375"/>
        <v>Medium</v>
      </c>
    </row>
    <row r="5967" spans="1:25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 t="shared" si="372"/>
        <v>0</v>
      </c>
      <c r="W5967">
        <f t="shared" si="373"/>
        <v>1</v>
      </c>
      <c r="X5967" t="str">
        <f t="shared" si="374"/>
        <v>25-48 Months</v>
      </c>
      <c r="Y5967" s="1" t="str">
        <f t="shared" si="375"/>
        <v>Medium</v>
      </c>
    </row>
    <row r="5968" spans="1:25" x14ac:dyDescent="0.2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 t="shared" si="372"/>
        <v>1</v>
      </c>
      <c r="W5968">
        <f t="shared" si="373"/>
        <v>0</v>
      </c>
      <c r="X5968" t="str">
        <f t="shared" si="374"/>
        <v>25-48 Months</v>
      </c>
      <c r="Y5968" s="1" t="str">
        <f t="shared" si="375"/>
        <v>High</v>
      </c>
    </row>
    <row r="5969" spans="1:25" x14ac:dyDescent="0.2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 t="shared" si="372"/>
        <v>1</v>
      </c>
      <c r="W5969">
        <f t="shared" si="373"/>
        <v>0</v>
      </c>
      <c r="X5969" t="str">
        <f t="shared" si="374"/>
        <v>0-12 Months</v>
      </c>
      <c r="Y5969" s="1" t="str">
        <f t="shared" si="375"/>
        <v>Low</v>
      </c>
    </row>
    <row r="5970" spans="1:25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 t="shared" si="372"/>
        <v>1</v>
      </c>
      <c r="W5970">
        <f t="shared" si="373"/>
        <v>0</v>
      </c>
      <c r="X5970" t="str">
        <f t="shared" si="374"/>
        <v>0-12 Months</v>
      </c>
      <c r="Y5970" s="1" t="str">
        <f t="shared" si="375"/>
        <v>Medium</v>
      </c>
    </row>
    <row r="5971" spans="1:25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 t="shared" si="372"/>
        <v>0</v>
      </c>
      <c r="W5971">
        <f t="shared" si="373"/>
        <v>1</v>
      </c>
      <c r="X5971" t="str">
        <f t="shared" si="374"/>
        <v>25-48 Months</v>
      </c>
      <c r="Y5971" s="1" t="str">
        <f t="shared" si="375"/>
        <v>High</v>
      </c>
    </row>
    <row r="5972" spans="1:25" x14ac:dyDescent="0.2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 t="shared" si="372"/>
        <v>0</v>
      </c>
      <c r="W5972">
        <f t="shared" si="373"/>
        <v>1</v>
      </c>
      <c r="X5972" t="str">
        <f t="shared" si="374"/>
        <v>0-12 Months</v>
      </c>
      <c r="Y5972" s="1" t="str">
        <f t="shared" si="375"/>
        <v>High</v>
      </c>
    </row>
    <row r="5973" spans="1:25" x14ac:dyDescent="0.2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 t="shared" si="372"/>
        <v>0</v>
      </c>
      <c r="W5973">
        <f t="shared" si="373"/>
        <v>1</v>
      </c>
      <c r="X5973" t="str">
        <f t="shared" si="374"/>
        <v>49+ Months</v>
      </c>
      <c r="Y5973" s="1" t="str">
        <f t="shared" si="375"/>
        <v>Low</v>
      </c>
    </row>
    <row r="5974" spans="1:25" x14ac:dyDescent="0.2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 t="shared" si="372"/>
        <v>1</v>
      </c>
      <c r="W5974">
        <f t="shared" si="373"/>
        <v>0</v>
      </c>
      <c r="X5974" t="str">
        <f t="shared" si="374"/>
        <v>13-24 Months</v>
      </c>
      <c r="Y5974" s="1" t="str">
        <f t="shared" si="375"/>
        <v>Medium</v>
      </c>
    </row>
    <row r="5975" spans="1:25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 t="shared" si="372"/>
        <v>0</v>
      </c>
      <c r="W5975">
        <f t="shared" si="373"/>
        <v>1</v>
      </c>
      <c r="X5975" t="str">
        <f t="shared" si="374"/>
        <v>49+ Months</v>
      </c>
      <c r="Y5975" s="1" t="str">
        <f t="shared" si="375"/>
        <v>High</v>
      </c>
    </row>
    <row r="5976" spans="1:25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 t="shared" si="372"/>
        <v>0</v>
      </c>
      <c r="W5976">
        <f t="shared" si="373"/>
        <v>1</v>
      </c>
      <c r="X5976" t="str">
        <f t="shared" si="374"/>
        <v>0-12 Months</v>
      </c>
      <c r="Y5976" s="1" t="str">
        <f t="shared" si="375"/>
        <v>Low</v>
      </c>
    </row>
    <row r="5977" spans="1:25" x14ac:dyDescent="0.2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 t="shared" si="372"/>
        <v>1</v>
      </c>
      <c r="W5977">
        <f t="shared" si="373"/>
        <v>0</v>
      </c>
      <c r="X5977" t="str">
        <f t="shared" si="374"/>
        <v>0-12 Months</v>
      </c>
      <c r="Y5977" s="1" t="str">
        <f t="shared" si="375"/>
        <v>High</v>
      </c>
    </row>
    <row r="5978" spans="1:25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 t="shared" si="372"/>
        <v>0</v>
      </c>
      <c r="W5978">
        <f t="shared" si="373"/>
        <v>1</v>
      </c>
      <c r="X5978" t="str">
        <f t="shared" si="374"/>
        <v>25-48 Months</v>
      </c>
      <c r="Y5978" s="1" t="str">
        <f t="shared" si="375"/>
        <v>Low</v>
      </c>
    </row>
    <row r="5979" spans="1:25" x14ac:dyDescent="0.2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 t="shared" si="372"/>
        <v>0</v>
      </c>
      <c r="W5979">
        <f t="shared" si="373"/>
        <v>1</v>
      </c>
      <c r="X5979" t="str">
        <f t="shared" si="374"/>
        <v>49+ Months</v>
      </c>
      <c r="Y5979" s="1" t="str">
        <f t="shared" si="375"/>
        <v>Low</v>
      </c>
    </row>
    <row r="5980" spans="1:25" x14ac:dyDescent="0.2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 t="shared" si="372"/>
        <v>0</v>
      </c>
      <c r="W5980">
        <f t="shared" si="373"/>
        <v>1</v>
      </c>
      <c r="X5980" t="str">
        <f t="shared" si="374"/>
        <v>25-48 Months</v>
      </c>
      <c r="Y5980" s="1" t="str">
        <f t="shared" si="375"/>
        <v>High</v>
      </c>
    </row>
    <row r="5981" spans="1:25" x14ac:dyDescent="0.2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 t="shared" si="372"/>
        <v>0</v>
      </c>
      <c r="W5981">
        <f t="shared" si="373"/>
        <v>1</v>
      </c>
      <c r="X5981" t="str">
        <f t="shared" si="374"/>
        <v>49+ Months</v>
      </c>
      <c r="Y5981" s="1" t="str">
        <f t="shared" si="375"/>
        <v>Low</v>
      </c>
    </row>
    <row r="5982" spans="1:25" x14ac:dyDescent="0.2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 t="shared" si="372"/>
        <v>0</v>
      </c>
      <c r="W5982">
        <f t="shared" si="373"/>
        <v>1</v>
      </c>
      <c r="X5982" t="str">
        <f t="shared" si="374"/>
        <v>13-24 Months</v>
      </c>
      <c r="Y5982" s="1" t="str">
        <f t="shared" si="375"/>
        <v>Medium</v>
      </c>
    </row>
    <row r="5983" spans="1:25" x14ac:dyDescent="0.2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 t="shared" si="372"/>
        <v>0</v>
      </c>
      <c r="W5983">
        <f t="shared" si="373"/>
        <v>1</v>
      </c>
      <c r="X5983" t="str">
        <f t="shared" si="374"/>
        <v>25-48 Months</v>
      </c>
      <c r="Y5983" s="1" t="str">
        <f t="shared" si="375"/>
        <v>Low</v>
      </c>
    </row>
    <row r="5984" spans="1:25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 t="shared" si="372"/>
        <v>0</v>
      </c>
      <c r="W5984">
        <f t="shared" si="373"/>
        <v>1</v>
      </c>
      <c r="X5984" t="str">
        <f t="shared" si="374"/>
        <v>13-24 Months</v>
      </c>
      <c r="Y5984" s="1" t="str">
        <f t="shared" si="375"/>
        <v>Low</v>
      </c>
    </row>
    <row r="5985" spans="1:25" x14ac:dyDescent="0.2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 t="shared" si="372"/>
        <v>0</v>
      </c>
      <c r="W5985">
        <f t="shared" si="373"/>
        <v>1</v>
      </c>
      <c r="X5985" t="str">
        <f t="shared" si="374"/>
        <v>13-24 Months</v>
      </c>
      <c r="Y5985" s="1" t="str">
        <f t="shared" si="375"/>
        <v>Medium</v>
      </c>
    </row>
    <row r="5986" spans="1:25" x14ac:dyDescent="0.2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 t="shared" si="372"/>
        <v>1</v>
      </c>
      <c r="W5986">
        <f t="shared" si="373"/>
        <v>0</v>
      </c>
      <c r="X5986" t="str">
        <f t="shared" si="374"/>
        <v>13-24 Months</v>
      </c>
      <c r="Y5986" s="1" t="str">
        <f t="shared" si="375"/>
        <v>High</v>
      </c>
    </row>
    <row r="5987" spans="1:25" x14ac:dyDescent="0.2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 t="shared" si="372"/>
        <v>0</v>
      </c>
      <c r="W5987">
        <f t="shared" si="373"/>
        <v>1</v>
      </c>
      <c r="X5987" t="str">
        <f t="shared" si="374"/>
        <v>49+ Months</v>
      </c>
      <c r="Y5987" s="1" t="str">
        <f t="shared" si="375"/>
        <v>Medium</v>
      </c>
    </row>
    <row r="5988" spans="1:25" x14ac:dyDescent="0.2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 t="shared" si="372"/>
        <v>0</v>
      </c>
      <c r="W5988">
        <f t="shared" si="373"/>
        <v>1</v>
      </c>
      <c r="X5988" t="str">
        <f t="shared" si="374"/>
        <v>0-12 Months</v>
      </c>
      <c r="Y5988" s="1" t="str">
        <f t="shared" si="375"/>
        <v>Medium</v>
      </c>
    </row>
    <row r="5989" spans="1:25" x14ac:dyDescent="0.2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 t="shared" si="372"/>
        <v>0</v>
      </c>
      <c r="W5989">
        <f t="shared" si="373"/>
        <v>1</v>
      </c>
      <c r="X5989" t="str">
        <f t="shared" si="374"/>
        <v>0-12 Months</v>
      </c>
      <c r="Y5989" s="1" t="str">
        <f t="shared" si="375"/>
        <v>Low</v>
      </c>
    </row>
    <row r="5990" spans="1:25" x14ac:dyDescent="0.2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 t="shared" si="372"/>
        <v>0</v>
      </c>
      <c r="W5990">
        <f t="shared" si="373"/>
        <v>1</v>
      </c>
      <c r="X5990" t="str">
        <f t="shared" si="374"/>
        <v>0-12 Months</v>
      </c>
      <c r="Y5990" s="1" t="str">
        <f t="shared" si="375"/>
        <v>Low</v>
      </c>
    </row>
    <row r="5991" spans="1:25" x14ac:dyDescent="0.2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 t="shared" si="372"/>
        <v>1</v>
      </c>
      <c r="W5991">
        <f t="shared" si="373"/>
        <v>0</v>
      </c>
      <c r="X5991" t="str">
        <f t="shared" si="374"/>
        <v>0-12 Months</v>
      </c>
      <c r="Y5991" s="1" t="str">
        <f t="shared" si="375"/>
        <v>High</v>
      </c>
    </row>
    <row r="5992" spans="1:25" x14ac:dyDescent="0.2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 t="shared" si="372"/>
        <v>0</v>
      </c>
      <c r="W5992">
        <f t="shared" si="373"/>
        <v>1</v>
      </c>
      <c r="X5992" t="str">
        <f t="shared" si="374"/>
        <v>25-48 Months</v>
      </c>
      <c r="Y5992" s="1" t="str">
        <f t="shared" si="375"/>
        <v>High</v>
      </c>
    </row>
    <row r="5993" spans="1:25" x14ac:dyDescent="0.2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 t="shared" si="372"/>
        <v>1</v>
      </c>
      <c r="W5993">
        <f t="shared" si="373"/>
        <v>0</v>
      </c>
      <c r="X5993" t="str">
        <f t="shared" si="374"/>
        <v>13-24 Months</v>
      </c>
      <c r="Y5993" s="1" t="str">
        <f t="shared" si="375"/>
        <v>High</v>
      </c>
    </row>
    <row r="5994" spans="1:25" x14ac:dyDescent="0.2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 t="shared" si="372"/>
        <v>1</v>
      </c>
      <c r="W5994">
        <f t="shared" si="373"/>
        <v>0</v>
      </c>
      <c r="X5994" t="str">
        <f t="shared" si="374"/>
        <v>49+ Months</v>
      </c>
      <c r="Y5994" s="1" t="str">
        <f t="shared" si="375"/>
        <v>Medium</v>
      </c>
    </row>
    <row r="5995" spans="1:25" x14ac:dyDescent="0.2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 t="shared" si="372"/>
        <v>0</v>
      </c>
      <c r="W5995">
        <f t="shared" si="373"/>
        <v>1</v>
      </c>
      <c r="X5995" t="str">
        <f t="shared" si="374"/>
        <v>0-12 Months</v>
      </c>
      <c r="Y5995" s="1" t="str">
        <f t="shared" si="375"/>
        <v>Medium</v>
      </c>
    </row>
    <row r="5996" spans="1:25" x14ac:dyDescent="0.2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 t="shared" si="372"/>
        <v>1</v>
      </c>
      <c r="W5996">
        <f t="shared" si="373"/>
        <v>0</v>
      </c>
      <c r="X5996" t="str">
        <f t="shared" si="374"/>
        <v>25-48 Months</v>
      </c>
      <c r="Y5996" s="1" t="str">
        <f t="shared" si="375"/>
        <v>High</v>
      </c>
    </row>
    <row r="5997" spans="1:25" x14ac:dyDescent="0.2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 t="shared" si="372"/>
        <v>0</v>
      </c>
      <c r="W5997">
        <f t="shared" si="373"/>
        <v>1</v>
      </c>
      <c r="X5997" t="str">
        <f t="shared" si="374"/>
        <v>49+ Months</v>
      </c>
      <c r="Y5997" s="1" t="str">
        <f t="shared" si="375"/>
        <v>High</v>
      </c>
    </row>
    <row r="5998" spans="1:25" x14ac:dyDescent="0.2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 t="shared" si="372"/>
        <v>0</v>
      </c>
      <c r="W5998">
        <f t="shared" si="373"/>
        <v>1</v>
      </c>
      <c r="X5998" t="str">
        <f t="shared" si="374"/>
        <v>49+ Months</v>
      </c>
      <c r="Y5998" s="1" t="str">
        <f t="shared" si="375"/>
        <v>Low</v>
      </c>
    </row>
    <row r="5999" spans="1:25" x14ac:dyDescent="0.2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 t="shared" si="372"/>
        <v>0</v>
      </c>
      <c r="W5999">
        <f t="shared" si="373"/>
        <v>1</v>
      </c>
      <c r="X5999" t="str">
        <f t="shared" si="374"/>
        <v>0-12 Months</v>
      </c>
      <c r="Y5999" s="1" t="str">
        <f t="shared" si="375"/>
        <v>High</v>
      </c>
    </row>
    <row r="6000" spans="1:25" x14ac:dyDescent="0.2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 t="shared" si="372"/>
        <v>0</v>
      </c>
      <c r="W6000">
        <f t="shared" si="373"/>
        <v>1</v>
      </c>
      <c r="X6000" t="str">
        <f t="shared" si="374"/>
        <v>25-48 Months</v>
      </c>
      <c r="Y6000" s="1" t="str">
        <f t="shared" si="375"/>
        <v>Low</v>
      </c>
    </row>
    <row r="6001" spans="1:25" x14ac:dyDescent="0.2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 t="shared" si="372"/>
        <v>0</v>
      </c>
      <c r="W6001">
        <f t="shared" si="373"/>
        <v>1</v>
      </c>
      <c r="X6001" t="str">
        <f t="shared" si="374"/>
        <v>25-48 Months</v>
      </c>
      <c r="Y6001" s="1" t="str">
        <f t="shared" si="375"/>
        <v>High</v>
      </c>
    </row>
    <row r="6002" spans="1:25" x14ac:dyDescent="0.2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 t="shared" si="372"/>
        <v>0</v>
      </c>
      <c r="W6002">
        <f t="shared" si="373"/>
        <v>1</v>
      </c>
      <c r="X6002" t="str">
        <f t="shared" si="374"/>
        <v>49+ Months</v>
      </c>
      <c r="Y6002" s="1" t="str">
        <f t="shared" si="375"/>
        <v>Low</v>
      </c>
    </row>
    <row r="6003" spans="1:25" x14ac:dyDescent="0.2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 t="shared" si="372"/>
        <v>0</v>
      </c>
      <c r="W6003">
        <f t="shared" si="373"/>
        <v>1</v>
      </c>
      <c r="X6003" t="str">
        <f t="shared" si="374"/>
        <v>0-12 Months</v>
      </c>
      <c r="Y6003" s="1" t="str">
        <f t="shared" si="375"/>
        <v>Low</v>
      </c>
    </row>
    <row r="6004" spans="1:25" x14ac:dyDescent="0.2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 t="shared" si="372"/>
        <v>1</v>
      </c>
      <c r="W6004">
        <f t="shared" si="373"/>
        <v>0</v>
      </c>
      <c r="X6004" t="str">
        <f t="shared" si="374"/>
        <v>0-12 Months</v>
      </c>
      <c r="Y6004" s="1" t="str">
        <f t="shared" si="375"/>
        <v>High</v>
      </c>
    </row>
    <row r="6005" spans="1:25" x14ac:dyDescent="0.2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 t="shared" si="372"/>
        <v>0</v>
      </c>
      <c r="W6005">
        <f t="shared" si="373"/>
        <v>1</v>
      </c>
      <c r="X6005" t="str">
        <f t="shared" si="374"/>
        <v>49+ Months</v>
      </c>
      <c r="Y6005" s="1" t="str">
        <f t="shared" si="375"/>
        <v>High</v>
      </c>
    </row>
    <row r="6006" spans="1:25" x14ac:dyDescent="0.2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 t="shared" si="372"/>
        <v>0</v>
      </c>
      <c r="W6006">
        <f t="shared" si="373"/>
        <v>1</v>
      </c>
      <c r="X6006" t="str">
        <f t="shared" si="374"/>
        <v>49+ Months</v>
      </c>
      <c r="Y6006" s="1" t="str">
        <f t="shared" si="375"/>
        <v>High</v>
      </c>
    </row>
    <row r="6007" spans="1:25" x14ac:dyDescent="0.2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 t="shared" si="372"/>
        <v>0</v>
      </c>
      <c r="W6007">
        <f t="shared" si="373"/>
        <v>1</v>
      </c>
      <c r="X6007" t="str">
        <f t="shared" si="374"/>
        <v>49+ Months</v>
      </c>
      <c r="Y6007" s="1" t="str">
        <f t="shared" si="375"/>
        <v>Medium</v>
      </c>
    </row>
    <row r="6008" spans="1:25" x14ac:dyDescent="0.2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 t="shared" si="372"/>
        <v>0</v>
      </c>
      <c r="W6008">
        <f t="shared" si="373"/>
        <v>1</v>
      </c>
      <c r="X6008" t="str">
        <f t="shared" si="374"/>
        <v>13-24 Months</v>
      </c>
      <c r="Y6008" s="1" t="str">
        <f t="shared" si="375"/>
        <v>Low</v>
      </c>
    </row>
    <row r="6009" spans="1:25" x14ac:dyDescent="0.2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 t="shared" si="372"/>
        <v>0</v>
      </c>
      <c r="W6009">
        <f t="shared" si="373"/>
        <v>1</v>
      </c>
      <c r="X6009" t="str">
        <f t="shared" si="374"/>
        <v>25-48 Months</v>
      </c>
      <c r="Y6009" s="1" t="str">
        <f t="shared" si="375"/>
        <v>Medium</v>
      </c>
    </row>
    <row r="6010" spans="1:25" x14ac:dyDescent="0.2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 t="shared" si="372"/>
        <v>0</v>
      </c>
      <c r="W6010">
        <f t="shared" si="373"/>
        <v>1</v>
      </c>
      <c r="X6010" t="str">
        <f t="shared" si="374"/>
        <v>13-24 Months</v>
      </c>
      <c r="Y6010" s="1" t="str">
        <f t="shared" si="375"/>
        <v>Low</v>
      </c>
    </row>
    <row r="6011" spans="1:25" x14ac:dyDescent="0.2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 t="shared" si="372"/>
        <v>1</v>
      </c>
      <c r="W6011">
        <f t="shared" si="373"/>
        <v>0</v>
      </c>
      <c r="X6011" t="str">
        <f t="shared" si="374"/>
        <v>49+ Months</v>
      </c>
      <c r="Y6011" s="1" t="str">
        <f t="shared" si="375"/>
        <v>High</v>
      </c>
    </row>
    <row r="6012" spans="1:25" x14ac:dyDescent="0.2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 t="shared" si="372"/>
        <v>0</v>
      </c>
      <c r="W6012">
        <f t="shared" si="373"/>
        <v>1</v>
      </c>
      <c r="X6012" t="str">
        <f t="shared" si="374"/>
        <v>13-24 Months</v>
      </c>
      <c r="Y6012" s="1" t="str">
        <f t="shared" si="375"/>
        <v>Low</v>
      </c>
    </row>
    <row r="6013" spans="1:25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 t="shared" si="372"/>
        <v>0</v>
      </c>
      <c r="W6013">
        <f t="shared" si="373"/>
        <v>1</v>
      </c>
      <c r="X6013" t="str">
        <f t="shared" si="374"/>
        <v>25-48 Months</v>
      </c>
      <c r="Y6013" s="1" t="str">
        <f t="shared" si="375"/>
        <v>Low</v>
      </c>
    </row>
    <row r="6014" spans="1:25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 t="shared" si="372"/>
        <v>1</v>
      </c>
      <c r="W6014">
        <f t="shared" si="373"/>
        <v>0</v>
      </c>
      <c r="X6014" t="str">
        <f t="shared" si="374"/>
        <v>0-12 Months</v>
      </c>
      <c r="Y6014" s="1" t="str">
        <f t="shared" si="375"/>
        <v>High</v>
      </c>
    </row>
    <row r="6015" spans="1:25" x14ac:dyDescent="0.2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 t="shared" si="372"/>
        <v>0</v>
      </c>
      <c r="W6015">
        <f t="shared" si="373"/>
        <v>1</v>
      </c>
      <c r="X6015" t="str">
        <f t="shared" si="374"/>
        <v>49+ Months</v>
      </c>
      <c r="Y6015" s="1" t="str">
        <f t="shared" si="375"/>
        <v>High</v>
      </c>
    </row>
    <row r="6016" spans="1:25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 t="shared" si="372"/>
        <v>0</v>
      </c>
      <c r="W6016">
        <f t="shared" si="373"/>
        <v>1</v>
      </c>
      <c r="X6016" t="str">
        <f t="shared" si="374"/>
        <v>49+ Months</v>
      </c>
      <c r="Y6016" s="1" t="str">
        <f t="shared" si="375"/>
        <v>High</v>
      </c>
    </row>
    <row r="6017" spans="1:25" x14ac:dyDescent="0.2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 t="shared" si="372"/>
        <v>0</v>
      </c>
      <c r="W6017">
        <f t="shared" si="373"/>
        <v>1</v>
      </c>
      <c r="X6017" t="str">
        <f t="shared" si="374"/>
        <v>0-12 Months</v>
      </c>
      <c r="Y6017" s="1" t="str">
        <f t="shared" si="375"/>
        <v>Medium</v>
      </c>
    </row>
    <row r="6018" spans="1:25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 t="shared" ref="V6018:V6081" si="376">IF(U6018="Yes",1,0)</f>
        <v>1</v>
      </c>
      <c r="W6018">
        <f t="shared" ref="W6018:W6081" si="377">IF(U6018="No",1,0)</f>
        <v>0</v>
      </c>
      <c r="X6018" t="str">
        <f t="shared" ref="X6018:X6081" si="378">IF(F6018&lt;=12,"0-12 Months",IF(F6018&lt;=24,"13-24 Months",IF(F6018&lt;=48,"25-48 Months","49+ Months")))</f>
        <v>49+ Months</v>
      </c>
      <c r="Y6018" s="1" t="str">
        <f t="shared" ref="Y6018:Y6081" si="379">IF(S6018&lt;50,"Low",IF(S6018&lt;80,"Medium","High"))</f>
        <v>High</v>
      </c>
    </row>
    <row r="6019" spans="1:25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 t="shared" si="376"/>
        <v>0</v>
      </c>
      <c r="W6019">
        <f t="shared" si="377"/>
        <v>1</v>
      </c>
      <c r="X6019" t="str">
        <f t="shared" si="378"/>
        <v>0-12 Months</v>
      </c>
      <c r="Y6019" s="1" t="str">
        <f t="shared" si="379"/>
        <v>Medium</v>
      </c>
    </row>
    <row r="6020" spans="1:25" x14ac:dyDescent="0.2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 t="shared" si="376"/>
        <v>0</v>
      </c>
      <c r="W6020">
        <f t="shared" si="377"/>
        <v>1</v>
      </c>
      <c r="X6020" t="str">
        <f t="shared" si="378"/>
        <v>25-48 Months</v>
      </c>
      <c r="Y6020" s="1" t="str">
        <f t="shared" si="379"/>
        <v>Low</v>
      </c>
    </row>
    <row r="6021" spans="1:25" x14ac:dyDescent="0.2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 t="shared" si="376"/>
        <v>0</v>
      </c>
      <c r="W6021">
        <f t="shared" si="377"/>
        <v>1</v>
      </c>
      <c r="X6021" t="str">
        <f t="shared" si="378"/>
        <v>25-48 Months</v>
      </c>
      <c r="Y6021" s="1" t="str">
        <f t="shared" si="379"/>
        <v>High</v>
      </c>
    </row>
    <row r="6022" spans="1:25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 t="shared" si="376"/>
        <v>0</v>
      </c>
      <c r="W6022">
        <f t="shared" si="377"/>
        <v>1</v>
      </c>
      <c r="X6022" t="str">
        <f t="shared" si="378"/>
        <v>25-48 Months</v>
      </c>
      <c r="Y6022" s="1" t="str">
        <f t="shared" si="379"/>
        <v>Medium</v>
      </c>
    </row>
    <row r="6023" spans="1:25" x14ac:dyDescent="0.2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 t="shared" si="376"/>
        <v>0</v>
      </c>
      <c r="W6023">
        <f t="shared" si="377"/>
        <v>1</v>
      </c>
      <c r="X6023" t="str">
        <f t="shared" si="378"/>
        <v>13-24 Months</v>
      </c>
      <c r="Y6023" s="1" t="str">
        <f t="shared" si="379"/>
        <v>Low</v>
      </c>
    </row>
    <row r="6024" spans="1:25" x14ac:dyDescent="0.2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 t="shared" si="376"/>
        <v>0</v>
      </c>
      <c r="W6024">
        <f t="shared" si="377"/>
        <v>1</v>
      </c>
      <c r="X6024" t="str">
        <f t="shared" si="378"/>
        <v>13-24 Months</v>
      </c>
      <c r="Y6024" s="1" t="str">
        <f t="shared" si="379"/>
        <v>Low</v>
      </c>
    </row>
    <row r="6025" spans="1:25" x14ac:dyDescent="0.2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 t="shared" si="376"/>
        <v>0</v>
      </c>
      <c r="W6025">
        <f t="shared" si="377"/>
        <v>1</v>
      </c>
      <c r="X6025" t="str">
        <f t="shared" si="378"/>
        <v>49+ Months</v>
      </c>
      <c r="Y6025" s="1" t="str">
        <f t="shared" si="379"/>
        <v>Low</v>
      </c>
    </row>
    <row r="6026" spans="1:25" x14ac:dyDescent="0.2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 t="shared" si="376"/>
        <v>1</v>
      </c>
      <c r="W6026">
        <f t="shared" si="377"/>
        <v>0</v>
      </c>
      <c r="X6026" t="str">
        <f t="shared" si="378"/>
        <v>0-12 Months</v>
      </c>
      <c r="Y6026" s="1" t="str">
        <f t="shared" si="379"/>
        <v>High</v>
      </c>
    </row>
    <row r="6027" spans="1:25" x14ac:dyDescent="0.2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 t="shared" si="376"/>
        <v>0</v>
      </c>
      <c r="W6027">
        <f t="shared" si="377"/>
        <v>1</v>
      </c>
      <c r="X6027" t="str">
        <f t="shared" si="378"/>
        <v>25-48 Months</v>
      </c>
      <c r="Y6027" s="1" t="str">
        <f t="shared" si="379"/>
        <v>Low</v>
      </c>
    </row>
    <row r="6028" spans="1:25" x14ac:dyDescent="0.2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 t="shared" si="376"/>
        <v>0</v>
      </c>
      <c r="W6028">
        <f t="shared" si="377"/>
        <v>1</v>
      </c>
      <c r="X6028" t="str">
        <f t="shared" si="378"/>
        <v>13-24 Months</v>
      </c>
      <c r="Y6028" s="1" t="str">
        <f t="shared" si="379"/>
        <v>Low</v>
      </c>
    </row>
    <row r="6029" spans="1:25" x14ac:dyDescent="0.2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 t="shared" si="376"/>
        <v>0</v>
      </c>
      <c r="W6029">
        <f t="shared" si="377"/>
        <v>1</v>
      </c>
      <c r="X6029" t="str">
        <f t="shared" si="378"/>
        <v>25-48 Months</v>
      </c>
      <c r="Y6029" s="1" t="str">
        <f t="shared" si="379"/>
        <v>Low</v>
      </c>
    </row>
    <row r="6030" spans="1:25" x14ac:dyDescent="0.2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 t="shared" si="376"/>
        <v>1</v>
      </c>
      <c r="W6030">
        <f t="shared" si="377"/>
        <v>0</v>
      </c>
      <c r="X6030" t="str">
        <f t="shared" si="378"/>
        <v>0-12 Months</v>
      </c>
      <c r="Y6030" s="1" t="str">
        <f t="shared" si="379"/>
        <v>High</v>
      </c>
    </row>
    <row r="6031" spans="1:25" x14ac:dyDescent="0.2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 t="shared" si="376"/>
        <v>0</v>
      </c>
      <c r="W6031">
        <f t="shared" si="377"/>
        <v>1</v>
      </c>
      <c r="X6031" t="str">
        <f t="shared" si="378"/>
        <v>0-12 Months</v>
      </c>
      <c r="Y6031" s="1" t="str">
        <f t="shared" si="379"/>
        <v>High</v>
      </c>
    </row>
    <row r="6032" spans="1:25" x14ac:dyDescent="0.2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 t="shared" si="376"/>
        <v>1</v>
      </c>
      <c r="W6032">
        <f t="shared" si="377"/>
        <v>0</v>
      </c>
      <c r="X6032" t="str">
        <f t="shared" si="378"/>
        <v>25-48 Months</v>
      </c>
      <c r="Y6032" s="1" t="str">
        <f t="shared" si="379"/>
        <v>Low</v>
      </c>
    </row>
    <row r="6033" spans="1:25" x14ac:dyDescent="0.2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 t="shared" si="376"/>
        <v>0</v>
      </c>
      <c r="W6033">
        <f t="shared" si="377"/>
        <v>1</v>
      </c>
      <c r="X6033" t="str">
        <f t="shared" si="378"/>
        <v>0-12 Months</v>
      </c>
      <c r="Y6033" s="1" t="str">
        <f t="shared" si="379"/>
        <v>Low</v>
      </c>
    </row>
    <row r="6034" spans="1:25" x14ac:dyDescent="0.2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 t="shared" si="376"/>
        <v>1</v>
      </c>
      <c r="W6034">
        <f t="shared" si="377"/>
        <v>0</v>
      </c>
      <c r="X6034" t="str">
        <f t="shared" si="378"/>
        <v>49+ Months</v>
      </c>
      <c r="Y6034" s="1" t="str">
        <f t="shared" si="379"/>
        <v>High</v>
      </c>
    </row>
    <row r="6035" spans="1:25" x14ac:dyDescent="0.2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 t="shared" si="376"/>
        <v>1</v>
      </c>
      <c r="W6035">
        <f t="shared" si="377"/>
        <v>0</v>
      </c>
      <c r="X6035" t="str">
        <f t="shared" si="378"/>
        <v>25-48 Months</v>
      </c>
      <c r="Y6035" s="1" t="str">
        <f t="shared" si="379"/>
        <v>High</v>
      </c>
    </row>
    <row r="6036" spans="1:25" x14ac:dyDescent="0.2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 t="shared" si="376"/>
        <v>0</v>
      </c>
      <c r="W6036">
        <f t="shared" si="377"/>
        <v>1</v>
      </c>
      <c r="X6036" t="str">
        <f t="shared" si="378"/>
        <v>0-12 Months</v>
      </c>
      <c r="Y6036" s="1" t="str">
        <f t="shared" si="379"/>
        <v>Low</v>
      </c>
    </row>
    <row r="6037" spans="1:25" x14ac:dyDescent="0.2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 t="shared" si="376"/>
        <v>1</v>
      </c>
      <c r="W6037">
        <f t="shared" si="377"/>
        <v>0</v>
      </c>
      <c r="X6037" t="str">
        <f t="shared" si="378"/>
        <v>49+ Months</v>
      </c>
      <c r="Y6037" s="1" t="str">
        <f t="shared" si="379"/>
        <v>High</v>
      </c>
    </row>
    <row r="6038" spans="1:25" x14ac:dyDescent="0.2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 t="shared" si="376"/>
        <v>0</v>
      </c>
      <c r="W6038">
        <f t="shared" si="377"/>
        <v>1</v>
      </c>
      <c r="X6038" t="str">
        <f t="shared" si="378"/>
        <v>49+ Months</v>
      </c>
      <c r="Y6038" s="1" t="str">
        <f t="shared" si="379"/>
        <v>High</v>
      </c>
    </row>
    <row r="6039" spans="1:25" x14ac:dyDescent="0.2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 t="shared" si="376"/>
        <v>0</v>
      </c>
      <c r="W6039">
        <f t="shared" si="377"/>
        <v>1</v>
      </c>
      <c r="X6039" t="str">
        <f t="shared" si="378"/>
        <v>49+ Months</v>
      </c>
      <c r="Y6039" s="1" t="str">
        <f t="shared" si="379"/>
        <v>High</v>
      </c>
    </row>
    <row r="6040" spans="1:25" x14ac:dyDescent="0.2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 t="shared" si="376"/>
        <v>1</v>
      </c>
      <c r="W6040">
        <f t="shared" si="377"/>
        <v>0</v>
      </c>
      <c r="X6040" t="str">
        <f t="shared" si="378"/>
        <v>49+ Months</v>
      </c>
      <c r="Y6040" s="1" t="str">
        <f t="shared" si="379"/>
        <v>High</v>
      </c>
    </row>
    <row r="6041" spans="1:25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 t="shared" si="376"/>
        <v>1</v>
      </c>
      <c r="W6041">
        <f t="shared" si="377"/>
        <v>0</v>
      </c>
      <c r="X6041" t="str">
        <f t="shared" si="378"/>
        <v>25-48 Months</v>
      </c>
      <c r="Y6041" s="1" t="str">
        <f t="shared" si="379"/>
        <v>Low</v>
      </c>
    </row>
    <row r="6042" spans="1:25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 t="shared" si="376"/>
        <v>1</v>
      </c>
      <c r="W6042">
        <f t="shared" si="377"/>
        <v>0</v>
      </c>
      <c r="X6042" t="str">
        <f t="shared" si="378"/>
        <v>0-12 Months</v>
      </c>
      <c r="Y6042" s="1" t="str">
        <f t="shared" si="379"/>
        <v>Medium</v>
      </c>
    </row>
    <row r="6043" spans="1:25" x14ac:dyDescent="0.2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 t="shared" si="376"/>
        <v>0</v>
      </c>
      <c r="W6043">
        <f t="shared" si="377"/>
        <v>1</v>
      </c>
      <c r="X6043" t="str">
        <f t="shared" si="378"/>
        <v>0-12 Months</v>
      </c>
      <c r="Y6043" s="1" t="str">
        <f t="shared" si="379"/>
        <v>Low</v>
      </c>
    </row>
    <row r="6044" spans="1:25" x14ac:dyDescent="0.2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 t="shared" si="376"/>
        <v>0</v>
      </c>
      <c r="W6044">
        <f t="shared" si="377"/>
        <v>1</v>
      </c>
      <c r="X6044" t="str">
        <f t="shared" si="378"/>
        <v>25-48 Months</v>
      </c>
      <c r="Y6044" s="1" t="str">
        <f t="shared" si="379"/>
        <v>Low</v>
      </c>
    </row>
    <row r="6045" spans="1:25" x14ac:dyDescent="0.2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 t="shared" si="376"/>
        <v>1</v>
      </c>
      <c r="W6045">
        <f t="shared" si="377"/>
        <v>0</v>
      </c>
      <c r="X6045" t="str">
        <f t="shared" si="378"/>
        <v>0-12 Months</v>
      </c>
      <c r="Y6045" s="1" t="str">
        <f t="shared" si="379"/>
        <v>Low</v>
      </c>
    </row>
    <row r="6046" spans="1:25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 t="shared" si="376"/>
        <v>0</v>
      </c>
      <c r="W6046">
        <f t="shared" si="377"/>
        <v>1</v>
      </c>
      <c r="X6046" t="str">
        <f t="shared" si="378"/>
        <v>0-12 Months</v>
      </c>
      <c r="Y6046" s="1" t="str">
        <f t="shared" si="379"/>
        <v>Medium</v>
      </c>
    </row>
    <row r="6047" spans="1:25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 t="shared" si="376"/>
        <v>0</v>
      </c>
      <c r="W6047">
        <f t="shared" si="377"/>
        <v>1</v>
      </c>
      <c r="X6047" t="str">
        <f t="shared" si="378"/>
        <v>25-48 Months</v>
      </c>
      <c r="Y6047" s="1" t="str">
        <f t="shared" si="379"/>
        <v>Low</v>
      </c>
    </row>
    <row r="6048" spans="1:25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 t="shared" si="376"/>
        <v>0</v>
      </c>
      <c r="W6048">
        <f t="shared" si="377"/>
        <v>1</v>
      </c>
      <c r="X6048" t="str">
        <f t="shared" si="378"/>
        <v>0-12 Months</v>
      </c>
      <c r="Y6048" s="1" t="str">
        <f t="shared" si="379"/>
        <v>High</v>
      </c>
    </row>
    <row r="6049" spans="1:25" x14ac:dyDescent="0.2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 t="shared" si="376"/>
        <v>0</v>
      </c>
      <c r="W6049">
        <f t="shared" si="377"/>
        <v>1</v>
      </c>
      <c r="X6049" t="str">
        <f t="shared" si="378"/>
        <v>13-24 Months</v>
      </c>
      <c r="Y6049" s="1" t="str">
        <f t="shared" si="379"/>
        <v>Medium</v>
      </c>
    </row>
    <row r="6050" spans="1:25" x14ac:dyDescent="0.2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 t="shared" si="376"/>
        <v>1</v>
      </c>
      <c r="W6050">
        <f t="shared" si="377"/>
        <v>0</v>
      </c>
      <c r="X6050" t="str">
        <f t="shared" si="378"/>
        <v>25-48 Months</v>
      </c>
      <c r="Y6050" s="1" t="str">
        <f t="shared" si="379"/>
        <v>High</v>
      </c>
    </row>
    <row r="6051" spans="1:25" x14ac:dyDescent="0.2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 t="shared" si="376"/>
        <v>0</v>
      </c>
      <c r="W6051">
        <f t="shared" si="377"/>
        <v>1</v>
      </c>
      <c r="X6051" t="str">
        <f t="shared" si="378"/>
        <v>25-48 Months</v>
      </c>
      <c r="Y6051" s="1" t="str">
        <f t="shared" si="379"/>
        <v>Low</v>
      </c>
    </row>
    <row r="6052" spans="1:25" x14ac:dyDescent="0.2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 t="shared" si="376"/>
        <v>0</v>
      </c>
      <c r="W6052">
        <f t="shared" si="377"/>
        <v>1</v>
      </c>
      <c r="X6052" t="str">
        <f t="shared" si="378"/>
        <v>49+ Months</v>
      </c>
      <c r="Y6052" s="1" t="str">
        <f t="shared" si="379"/>
        <v>High</v>
      </c>
    </row>
    <row r="6053" spans="1:25" x14ac:dyDescent="0.2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 t="shared" si="376"/>
        <v>0</v>
      </c>
      <c r="W6053">
        <f t="shared" si="377"/>
        <v>1</v>
      </c>
      <c r="X6053" t="str">
        <f t="shared" si="378"/>
        <v>13-24 Months</v>
      </c>
      <c r="Y6053" s="1" t="str">
        <f t="shared" si="379"/>
        <v>Low</v>
      </c>
    </row>
    <row r="6054" spans="1:25" x14ac:dyDescent="0.2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 t="shared" si="376"/>
        <v>0</v>
      </c>
      <c r="W6054">
        <f t="shared" si="377"/>
        <v>1</v>
      </c>
      <c r="X6054" t="str">
        <f t="shared" si="378"/>
        <v>25-48 Months</v>
      </c>
      <c r="Y6054" s="1" t="str">
        <f t="shared" si="379"/>
        <v>Medium</v>
      </c>
    </row>
    <row r="6055" spans="1:25" x14ac:dyDescent="0.2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 t="shared" si="376"/>
        <v>0</v>
      </c>
      <c r="W6055">
        <f t="shared" si="377"/>
        <v>1</v>
      </c>
      <c r="X6055" t="str">
        <f t="shared" si="378"/>
        <v>25-48 Months</v>
      </c>
      <c r="Y6055" s="1" t="str">
        <f t="shared" si="379"/>
        <v>Low</v>
      </c>
    </row>
    <row r="6056" spans="1:25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 t="shared" si="376"/>
        <v>1</v>
      </c>
      <c r="W6056">
        <f t="shared" si="377"/>
        <v>0</v>
      </c>
      <c r="X6056" t="str">
        <f t="shared" si="378"/>
        <v>25-48 Months</v>
      </c>
      <c r="Y6056" s="1" t="str">
        <f t="shared" si="379"/>
        <v>High</v>
      </c>
    </row>
    <row r="6057" spans="1:25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 t="shared" si="376"/>
        <v>0</v>
      </c>
      <c r="W6057">
        <f t="shared" si="377"/>
        <v>1</v>
      </c>
      <c r="X6057" t="str">
        <f t="shared" si="378"/>
        <v>0-12 Months</v>
      </c>
      <c r="Y6057" s="1" t="str">
        <f t="shared" si="379"/>
        <v>Medium</v>
      </c>
    </row>
    <row r="6058" spans="1:25" x14ac:dyDescent="0.2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 t="shared" si="376"/>
        <v>0</v>
      </c>
      <c r="W6058">
        <f t="shared" si="377"/>
        <v>1</v>
      </c>
      <c r="X6058" t="str">
        <f t="shared" si="378"/>
        <v>49+ Months</v>
      </c>
      <c r="Y6058" s="1" t="str">
        <f t="shared" si="379"/>
        <v>Medium</v>
      </c>
    </row>
    <row r="6059" spans="1:25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 t="shared" si="376"/>
        <v>0</v>
      </c>
      <c r="W6059">
        <f t="shared" si="377"/>
        <v>1</v>
      </c>
      <c r="X6059" t="str">
        <f t="shared" si="378"/>
        <v>13-24 Months</v>
      </c>
      <c r="Y6059" s="1" t="str">
        <f t="shared" si="379"/>
        <v>Medium</v>
      </c>
    </row>
    <row r="6060" spans="1:25" x14ac:dyDescent="0.2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 t="shared" si="376"/>
        <v>0</v>
      </c>
      <c r="W6060">
        <f t="shared" si="377"/>
        <v>1</v>
      </c>
      <c r="X6060" t="str">
        <f t="shared" si="378"/>
        <v>0-12 Months</v>
      </c>
      <c r="Y6060" s="1" t="str">
        <f t="shared" si="379"/>
        <v>Low</v>
      </c>
    </row>
    <row r="6061" spans="1:25" x14ac:dyDescent="0.2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 t="shared" si="376"/>
        <v>0</v>
      </c>
      <c r="W6061">
        <f t="shared" si="377"/>
        <v>1</v>
      </c>
      <c r="X6061" t="str">
        <f t="shared" si="378"/>
        <v>25-48 Months</v>
      </c>
      <c r="Y6061" s="1" t="str">
        <f t="shared" si="379"/>
        <v>Low</v>
      </c>
    </row>
    <row r="6062" spans="1:25" x14ac:dyDescent="0.2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 t="shared" si="376"/>
        <v>0</v>
      </c>
      <c r="W6062">
        <f t="shared" si="377"/>
        <v>1</v>
      </c>
      <c r="X6062" t="str">
        <f t="shared" si="378"/>
        <v>0-12 Months</v>
      </c>
      <c r="Y6062" s="1" t="str">
        <f t="shared" si="379"/>
        <v>High</v>
      </c>
    </row>
    <row r="6063" spans="1:25" x14ac:dyDescent="0.2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 t="shared" si="376"/>
        <v>0</v>
      </c>
      <c r="W6063">
        <f t="shared" si="377"/>
        <v>1</v>
      </c>
      <c r="X6063" t="str">
        <f t="shared" si="378"/>
        <v>25-48 Months</v>
      </c>
      <c r="Y6063" s="1" t="str">
        <f t="shared" si="379"/>
        <v>Low</v>
      </c>
    </row>
    <row r="6064" spans="1:25" x14ac:dyDescent="0.2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 t="shared" si="376"/>
        <v>0</v>
      </c>
      <c r="W6064">
        <f t="shared" si="377"/>
        <v>1</v>
      </c>
      <c r="X6064" t="str">
        <f t="shared" si="378"/>
        <v>49+ Months</v>
      </c>
      <c r="Y6064" s="1" t="str">
        <f t="shared" si="379"/>
        <v>Medium</v>
      </c>
    </row>
    <row r="6065" spans="1:25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 t="shared" si="376"/>
        <v>0</v>
      </c>
      <c r="W6065">
        <f t="shared" si="377"/>
        <v>1</v>
      </c>
      <c r="X6065" t="str">
        <f t="shared" si="378"/>
        <v>49+ Months</v>
      </c>
      <c r="Y6065" s="1" t="str">
        <f t="shared" si="379"/>
        <v>Low</v>
      </c>
    </row>
    <row r="6066" spans="1:25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 t="shared" si="376"/>
        <v>1</v>
      </c>
      <c r="W6066">
        <f t="shared" si="377"/>
        <v>0</v>
      </c>
      <c r="X6066" t="str">
        <f t="shared" si="378"/>
        <v>0-12 Months</v>
      </c>
      <c r="Y6066" s="1" t="str">
        <f t="shared" si="379"/>
        <v>Low</v>
      </c>
    </row>
    <row r="6067" spans="1:25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 t="shared" si="376"/>
        <v>0</v>
      </c>
      <c r="W6067">
        <f t="shared" si="377"/>
        <v>1</v>
      </c>
      <c r="X6067" t="str">
        <f t="shared" si="378"/>
        <v>49+ Months</v>
      </c>
      <c r="Y6067" s="1" t="str">
        <f t="shared" si="379"/>
        <v>Low</v>
      </c>
    </row>
    <row r="6068" spans="1:25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 t="shared" si="376"/>
        <v>1</v>
      </c>
      <c r="W6068">
        <f t="shared" si="377"/>
        <v>0</v>
      </c>
      <c r="X6068" t="str">
        <f t="shared" si="378"/>
        <v>0-12 Months</v>
      </c>
      <c r="Y6068" s="1" t="str">
        <f t="shared" si="379"/>
        <v>High</v>
      </c>
    </row>
    <row r="6069" spans="1:25" x14ac:dyDescent="0.2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 t="shared" si="376"/>
        <v>0</v>
      </c>
      <c r="W6069">
        <f t="shared" si="377"/>
        <v>1</v>
      </c>
      <c r="X6069" t="str">
        <f t="shared" si="378"/>
        <v>0-12 Months</v>
      </c>
      <c r="Y6069" s="1" t="str">
        <f t="shared" si="379"/>
        <v>Low</v>
      </c>
    </row>
    <row r="6070" spans="1:25" x14ac:dyDescent="0.2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 t="shared" si="376"/>
        <v>1</v>
      </c>
      <c r="W6070">
        <f t="shared" si="377"/>
        <v>0</v>
      </c>
      <c r="X6070" t="str">
        <f t="shared" si="378"/>
        <v>0-12 Months</v>
      </c>
      <c r="Y6070" s="1" t="str">
        <f t="shared" si="379"/>
        <v>Low</v>
      </c>
    </row>
    <row r="6071" spans="1:25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 t="shared" si="376"/>
        <v>0</v>
      </c>
      <c r="W6071">
        <f t="shared" si="377"/>
        <v>1</v>
      </c>
      <c r="X6071" t="str">
        <f t="shared" si="378"/>
        <v>49+ Months</v>
      </c>
      <c r="Y6071" s="1" t="str">
        <f t="shared" si="379"/>
        <v>Medium</v>
      </c>
    </row>
    <row r="6072" spans="1:25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 t="shared" si="376"/>
        <v>0</v>
      </c>
      <c r="W6072">
        <f t="shared" si="377"/>
        <v>1</v>
      </c>
      <c r="X6072" t="str">
        <f t="shared" si="378"/>
        <v>49+ Months</v>
      </c>
      <c r="Y6072" s="1" t="str">
        <f t="shared" si="379"/>
        <v>High</v>
      </c>
    </row>
    <row r="6073" spans="1:25" x14ac:dyDescent="0.2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 t="shared" si="376"/>
        <v>0</v>
      </c>
      <c r="W6073">
        <f t="shared" si="377"/>
        <v>1</v>
      </c>
      <c r="X6073" t="str">
        <f t="shared" si="378"/>
        <v>49+ Months</v>
      </c>
      <c r="Y6073" s="1" t="str">
        <f t="shared" si="379"/>
        <v>High</v>
      </c>
    </row>
    <row r="6074" spans="1:25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 t="shared" si="376"/>
        <v>0</v>
      </c>
      <c r="W6074">
        <f t="shared" si="377"/>
        <v>1</v>
      </c>
      <c r="X6074" t="str">
        <f t="shared" si="378"/>
        <v>13-24 Months</v>
      </c>
      <c r="Y6074" s="1" t="str">
        <f t="shared" si="379"/>
        <v>Low</v>
      </c>
    </row>
    <row r="6075" spans="1:25" x14ac:dyDescent="0.2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 t="shared" si="376"/>
        <v>0</v>
      </c>
      <c r="W6075">
        <f t="shared" si="377"/>
        <v>1</v>
      </c>
      <c r="X6075" t="str">
        <f t="shared" si="378"/>
        <v>49+ Months</v>
      </c>
      <c r="Y6075" s="1" t="str">
        <f t="shared" si="379"/>
        <v>Low</v>
      </c>
    </row>
    <row r="6076" spans="1:25" x14ac:dyDescent="0.2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 t="shared" si="376"/>
        <v>1</v>
      </c>
      <c r="W6076">
        <f t="shared" si="377"/>
        <v>0</v>
      </c>
      <c r="X6076" t="str">
        <f t="shared" si="378"/>
        <v>0-12 Months</v>
      </c>
      <c r="Y6076" s="1" t="str">
        <f t="shared" si="379"/>
        <v>Low</v>
      </c>
    </row>
    <row r="6077" spans="1:25" x14ac:dyDescent="0.2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 t="shared" si="376"/>
        <v>0</v>
      </c>
      <c r="W6077">
        <f t="shared" si="377"/>
        <v>1</v>
      </c>
      <c r="X6077" t="str">
        <f t="shared" si="378"/>
        <v>0-12 Months</v>
      </c>
      <c r="Y6077" s="1" t="str">
        <f t="shared" si="379"/>
        <v>Medium</v>
      </c>
    </row>
    <row r="6078" spans="1:25" x14ac:dyDescent="0.2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 t="shared" si="376"/>
        <v>0</v>
      </c>
      <c r="W6078">
        <f t="shared" si="377"/>
        <v>1</v>
      </c>
      <c r="X6078" t="str">
        <f t="shared" si="378"/>
        <v>49+ Months</v>
      </c>
      <c r="Y6078" s="1" t="str">
        <f t="shared" si="379"/>
        <v>Medium</v>
      </c>
    </row>
    <row r="6079" spans="1:25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 t="shared" si="376"/>
        <v>0</v>
      </c>
      <c r="W6079">
        <f t="shared" si="377"/>
        <v>1</v>
      </c>
      <c r="X6079" t="str">
        <f t="shared" si="378"/>
        <v>49+ Months</v>
      </c>
      <c r="Y6079" s="1" t="str">
        <f t="shared" si="379"/>
        <v>High</v>
      </c>
    </row>
    <row r="6080" spans="1:25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 t="shared" si="376"/>
        <v>0</v>
      </c>
      <c r="W6080">
        <f t="shared" si="377"/>
        <v>1</v>
      </c>
      <c r="X6080" t="str">
        <f t="shared" si="378"/>
        <v>49+ Months</v>
      </c>
      <c r="Y6080" s="1" t="str">
        <f t="shared" si="379"/>
        <v>High</v>
      </c>
    </row>
    <row r="6081" spans="1:25" x14ac:dyDescent="0.2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 t="shared" si="376"/>
        <v>0</v>
      </c>
      <c r="W6081">
        <f t="shared" si="377"/>
        <v>1</v>
      </c>
      <c r="X6081" t="str">
        <f t="shared" si="378"/>
        <v>25-48 Months</v>
      </c>
      <c r="Y6081" s="1" t="str">
        <f t="shared" si="379"/>
        <v>Medium</v>
      </c>
    </row>
    <row r="6082" spans="1:25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 t="shared" ref="V6082:V6145" si="380">IF(U6082="Yes",1,0)</f>
        <v>1</v>
      </c>
      <c r="W6082">
        <f t="shared" ref="W6082:W6145" si="381">IF(U6082="No",1,0)</f>
        <v>0</v>
      </c>
      <c r="X6082" t="str">
        <f t="shared" ref="X6082:X6145" si="382">IF(F6082&lt;=12,"0-12 Months",IF(F6082&lt;=24,"13-24 Months",IF(F6082&lt;=48,"25-48 Months","49+ Months")))</f>
        <v>0-12 Months</v>
      </c>
      <c r="Y6082" s="1" t="str">
        <f t="shared" ref="Y6082:Y6145" si="383">IF(S6082&lt;50,"Low",IF(S6082&lt;80,"Medium","High"))</f>
        <v>Low</v>
      </c>
    </row>
    <row r="6083" spans="1:25" x14ac:dyDescent="0.2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 t="shared" si="380"/>
        <v>0</v>
      </c>
      <c r="W6083">
        <f t="shared" si="381"/>
        <v>1</v>
      </c>
      <c r="X6083" t="str">
        <f t="shared" si="382"/>
        <v>0-12 Months</v>
      </c>
      <c r="Y6083" s="1" t="str">
        <f t="shared" si="383"/>
        <v>Low</v>
      </c>
    </row>
    <row r="6084" spans="1:25" x14ac:dyDescent="0.2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 t="shared" si="380"/>
        <v>1</v>
      </c>
      <c r="W6084">
        <f t="shared" si="381"/>
        <v>0</v>
      </c>
      <c r="X6084" t="str">
        <f t="shared" si="382"/>
        <v>49+ Months</v>
      </c>
      <c r="Y6084" s="1" t="str">
        <f t="shared" si="383"/>
        <v>High</v>
      </c>
    </row>
    <row r="6085" spans="1:25" x14ac:dyDescent="0.2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 t="shared" si="380"/>
        <v>0</v>
      </c>
      <c r="W6085">
        <f t="shared" si="381"/>
        <v>1</v>
      </c>
      <c r="X6085" t="str">
        <f t="shared" si="382"/>
        <v>49+ Months</v>
      </c>
      <c r="Y6085" s="1" t="str">
        <f t="shared" si="383"/>
        <v>Low</v>
      </c>
    </row>
    <row r="6086" spans="1:25" x14ac:dyDescent="0.2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 t="shared" si="380"/>
        <v>0</v>
      </c>
      <c r="W6086">
        <f t="shared" si="381"/>
        <v>1</v>
      </c>
      <c r="X6086" t="str">
        <f t="shared" si="382"/>
        <v>25-48 Months</v>
      </c>
      <c r="Y6086" s="1" t="str">
        <f t="shared" si="383"/>
        <v>High</v>
      </c>
    </row>
    <row r="6087" spans="1:25" x14ac:dyDescent="0.2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 t="shared" si="380"/>
        <v>1</v>
      </c>
      <c r="W6087">
        <f t="shared" si="381"/>
        <v>0</v>
      </c>
      <c r="X6087" t="str">
        <f t="shared" si="382"/>
        <v>0-12 Months</v>
      </c>
      <c r="Y6087" s="1" t="str">
        <f t="shared" si="383"/>
        <v>Medium</v>
      </c>
    </row>
    <row r="6088" spans="1:25" x14ac:dyDescent="0.2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 t="shared" si="380"/>
        <v>0</v>
      </c>
      <c r="W6088">
        <f t="shared" si="381"/>
        <v>1</v>
      </c>
      <c r="X6088" t="str">
        <f t="shared" si="382"/>
        <v>49+ Months</v>
      </c>
      <c r="Y6088" s="1" t="str">
        <f t="shared" si="383"/>
        <v>Medium</v>
      </c>
    </row>
    <row r="6089" spans="1:25" x14ac:dyDescent="0.2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 t="shared" si="380"/>
        <v>0</v>
      </c>
      <c r="W6089">
        <f t="shared" si="381"/>
        <v>1</v>
      </c>
      <c r="X6089" t="str">
        <f t="shared" si="382"/>
        <v>25-48 Months</v>
      </c>
      <c r="Y6089" s="1" t="str">
        <f t="shared" si="383"/>
        <v>Low</v>
      </c>
    </row>
    <row r="6090" spans="1:25" x14ac:dyDescent="0.2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 t="shared" si="380"/>
        <v>1</v>
      </c>
      <c r="W6090">
        <f t="shared" si="381"/>
        <v>0</v>
      </c>
      <c r="X6090" t="str">
        <f t="shared" si="382"/>
        <v>0-12 Months</v>
      </c>
      <c r="Y6090" s="1" t="str">
        <f t="shared" si="383"/>
        <v>Medium</v>
      </c>
    </row>
    <row r="6091" spans="1:25" x14ac:dyDescent="0.2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 t="shared" si="380"/>
        <v>1</v>
      </c>
      <c r="W6091">
        <f t="shared" si="381"/>
        <v>0</v>
      </c>
      <c r="X6091" t="str">
        <f t="shared" si="382"/>
        <v>0-12 Months</v>
      </c>
      <c r="Y6091" s="1" t="str">
        <f t="shared" si="383"/>
        <v>High</v>
      </c>
    </row>
    <row r="6092" spans="1:25" x14ac:dyDescent="0.2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 t="shared" si="380"/>
        <v>0</v>
      </c>
      <c r="W6092">
        <f t="shared" si="381"/>
        <v>1</v>
      </c>
      <c r="X6092" t="str">
        <f t="shared" si="382"/>
        <v>49+ Months</v>
      </c>
      <c r="Y6092" s="1" t="str">
        <f t="shared" si="383"/>
        <v>High</v>
      </c>
    </row>
    <row r="6093" spans="1:25" x14ac:dyDescent="0.2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 t="shared" si="380"/>
        <v>1</v>
      </c>
      <c r="W6093">
        <f t="shared" si="381"/>
        <v>0</v>
      </c>
      <c r="X6093" t="str">
        <f t="shared" si="382"/>
        <v>0-12 Months</v>
      </c>
      <c r="Y6093" s="1" t="str">
        <f t="shared" si="383"/>
        <v>High</v>
      </c>
    </row>
    <row r="6094" spans="1:25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 t="shared" si="380"/>
        <v>0</v>
      </c>
      <c r="W6094">
        <f t="shared" si="381"/>
        <v>1</v>
      </c>
      <c r="X6094" t="str">
        <f t="shared" si="382"/>
        <v>49+ Months</v>
      </c>
      <c r="Y6094" s="1" t="str">
        <f t="shared" si="383"/>
        <v>High</v>
      </c>
    </row>
    <row r="6095" spans="1:25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 t="shared" si="380"/>
        <v>0</v>
      </c>
      <c r="W6095">
        <f t="shared" si="381"/>
        <v>1</v>
      </c>
      <c r="X6095" t="str">
        <f t="shared" si="382"/>
        <v>49+ Months</v>
      </c>
      <c r="Y6095" s="1" t="str">
        <f t="shared" si="383"/>
        <v>Low</v>
      </c>
    </row>
    <row r="6096" spans="1:25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 t="shared" si="380"/>
        <v>0</v>
      </c>
      <c r="W6096">
        <f t="shared" si="381"/>
        <v>1</v>
      </c>
      <c r="X6096" t="str">
        <f t="shared" si="382"/>
        <v>49+ Months</v>
      </c>
      <c r="Y6096" s="1" t="str">
        <f t="shared" si="383"/>
        <v>Low</v>
      </c>
    </row>
    <row r="6097" spans="1:25" x14ac:dyDescent="0.2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 t="shared" si="380"/>
        <v>0</v>
      </c>
      <c r="W6097">
        <f t="shared" si="381"/>
        <v>1</v>
      </c>
      <c r="X6097" t="str">
        <f t="shared" si="382"/>
        <v>0-12 Months</v>
      </c>
      <c r="Y6097" s="1" t="str">
        <f t="shared" si="383"/>
        <v>Low</v>
      </c>
    </row>
    <row r="6098" spans="1:25" x14ac:dyDescent="0.2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 t="shared" si="380"/>
        <v>0</v>
      </c>
      <c r="W6098">
        <f t="shared" si="381"/>
        <v>1</v>
      </c>
      <c r="X6098" t="str">
        <f t="shared" si="382"/>
        <v>0-12 Months</v>
      </c>
      <c r="Y6098" s="1" t="str">
        <f t="shared" si="383"/>
        <v>Medium</v>
      </c>
    </row>
    <row r="6099" spans="1:25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 t="shared" si="380"/>
        <v>0</v>
      </c>
      <c r="W6099">
        <f t="shared" si="381"/>
        <v>1</v>
      </c>
      <c r="X6099" t="str">
        <f t="shared" si="382"/>
        <v>49+ Months</v>
      </c>
      <c r="Y6099" s="1" t="str">
        <f t="shared" si="383"/>
        <v>High</v>
      </c>
    </row>
    <row r="6100" spans="1:25" x14ac:dyDescent="0.2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 t="shared" si="380"/>
        <v>0</v>
      </c>
      <c r="W6100">
        <f t="shared" si="381"/>
        <v>1</v>
      </c>
      <c r="X6100" t="str">
        <f t="shared" si="382"/>
        <v>13-24 Months</v>
      </c>
      <c r="Y6100" s="1" t="str">
        <f t="shared" si="383"/>
        <v>Medium</v>
      </c>
    </row>
    <row r="6101" spans="1:25" x14ac:dyDescent="0.2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 t="shared" si="380"/>
        <v>0</v>
      </c>
      <c r="W6101">
        <f t="shared" si="381"/>
        <v>1</v>
      </c>
      <c r="X6101" t="str">
        <f t="shared" si="382"/>
        <v>49+ Months</v>
      </c>
      <c r="Y6101" s="1" t="str">
        <f t="shared" si="383"/>
        <v>Low</v>
      </c>
    </row>
    <row r="6102" spans="1:25" x14ac:dyDescent="0.2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 t="shared" si="380"/>
        <v>1</v>
      </c>
      <c r="W6102">
        <f t="shared" si="381"/>
        <v>0</v>
      </c>
      <c r="X6102" t="str">
        <f t="shared" si="382"/>
        <v>25-48 Months</v>
      </c>
      <c r="Y6102" s="1" t="str">
        <f t="shared" si="383"/>
        <v>High</v>
      </c>
    </row>
    <row r="6103" spans="1:25" x14ac:dyDescent="0.2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 t="shared" si="380"/>
        <v>0</v>
      </c>
      <c r="W6103">
        <f t="shared" si="381"/>
        <v>1</v>
      </c>
      <c r="X6103" t="str">
        <f t="shared" si="382"/>
        <v>49+ Months</v>
      </c>
      <c r="Y6103" s="1" t="str">
        <f t="shared" si="383"/>
        <v>High</v>
      </c>
    </row>
    <row r="6104" spans="1:25" x14ac:dyDescent="0.2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 t="shared" si="380"/>
        <v>0</v>
      </c>
      <c r="W6104">
        <f t="shared" si="381"/>
        <v>1</v>
      </c>
      <c r="X6104" t="str">
        <f t="shared" si="382"/>
        <v>49+ Months</v>
      </c>
      <c r="Y6104" s="1" t="str">
        <f t="shared" si="383"/>
        <v>High</v>
      </c>
    </row>
    <row r="6105" spans="1:25" x14ac:dyDescent="0.2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 t="shared" si="380"/>
        <v>0</v>
      </c>
      <c r="W6105">
        <f t="shared" si="381"/>
        <v>1</v>
      </c>
      <c r="X6105" t="str">
        <f t="shared" si="382"/>
        <v>13-24 Months</v>
      </c>
      <c r="Y6105" s="1" t="str">
        <f t="shared" si="383"/>
        <v>Low</v>
      </c>
    </row>
    <row r="6106" spans="1:25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 t="shared" si="380"/>
        <v>0</v>
      </c>
      <c r="W6106">
        <f t="shared" si="381"/>
        <v>1</v>
      </c>
      <c r="X6106" t="str">
        <f t="shared" si="382"/>
        <v>0-12 Months</v>
      </c>
      <c r="Y6106" s="1" t="str">
        <f t="shared" si="383"/>
        <v>Low</v>
      </c>
    </row>
    <row r="6107" spans="1:25" x14ac:dyDescent="0.2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 t="shared" si="380"/>
        <v>1</v>
      </c>
      <c r="W6107">
        <f t="shared" si="381"/>
        <v>0</v>
      </c>
      <c r="X6107" t="str">
        <f t="shared" si="382"/>
        <v>49+ Months</v>
      </c>
      <c r="Y6107" s="1" t="str">
        <f t="shared" si="383"/>
        <v>High</v>
      </c>
    </row>
    <row r="6108" spans="1:25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 t="shared" si="380"/>
        <v>1</v>
      </c>
      <c r="W6108">
        <f t="shared" si="381"/>
        <v>0</v>
      </c>
      <c r="X6108" t="str">
        <f t="shared" si="382"/>
        <v>0-12 Months</v>
      </c>
      <c r="Y6108" s="1" t="str">
        <f t="shared" si="383"/>
        <v>Medium</v>
      </c>
    </row>
    <row r="6109" spans="1:25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 t="shared" si="380"/>
        <v>0</v>
      </c>
      <c r="W6109">
        <f t="shared" si="381"/>
        <v>1</v>
      </c>
      <c r="X6109" t="str">
        <f t="shared" si="382"/>
        <v>0-12 Months</v>
      </c>
      <c r="Y6109" s="1" t="str">
        <f t="shared" si="383"/>
        <v>Low</v>
      </c>
    </row>
    <row r="6110" spans="1:25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 t="shared" si="380"/>
        <v>0</v>
      </c>
      <c r="W6110">
        <f t="shared" si="381"/>
        <v>1</v>
      </c>
      <c r="X6110" t="str">
        <f t="shared" si="382"/>
        <v>13-24 Months</v>
      </c>
      <c r="Y6110" s="1" t="str">
        <f t="shared" si="383"/>
        <v>Low</v>
      </c>
    </row>
    <row r="6111" spans="1:25" x14ac:dyDescent="0.2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 t="shared" si="380"/>
        <v>0</v>
      </c>
      <c r="W6111">
        <f t="shared" si="381"/>
        <v>1</v>
      </c>
      <c r="X6111" t="str">
        <f t="shared" si="382"/>
        <v>0-12 Months</v>
      </c>
      <c r="Y6111" s="1" t="str">
        <f t="shared" si="383"/>
        <v>Medium</v>
      </c>
    </row>
    <row r="6112" spans="1:25" x14ac:dyDescent="0.2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 t="shared" si="380"/>
        <v>0</v>
      </c>
      <c r="W6112">
        <f t="shared" si="381"/>
        <v>1</v>
      </c>
      <c r="X6112" t="str">
        <f t="shared" si="382"/>
        <v>13-24 Months</v>
      </c>
      <c r="Y6112" s="1" t="str">
        <f t="shared" si="383"/>
        <v>Medium</v>
      </c>
    </row>
    <row r="6113" spans="1:25" x14ac:dyDescent="0.2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 t="shared" si="380"/>
        <v>0</v>
      </c>
      <c r="W6113">
        <f t="shared" si="381"/>
        <v>1</v>
      </c>
      <c r="X6113" t="str">
        <f t="shared" si="382"/>
        <v>25-48 Months</v>
      </c>
      <c r="Y6113" s="1" t="str">
        <f t="shared" si="383"/>
        <v>High</v>
      </c>
    </row>
    <row r="6114" spans="1:25" x14ac:dyDescent="0.2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 t="shared" si="380"/>
        <v>0</v>
      </c>
      <c r="W6114">
        <f t="shared" si="381"/>
        <v>1</v>
      </c>
      <c r="X6114" t="str">
        <f t="shared" si="382"/>
        <v>49+ Months</v>
      </c>
      <c r="Y6114" s="1" t="str">
        <f t="shared" si="383"/>
        <v>High</v>
      </c>
    </row>
    <row r="6115" spans="1:25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 t="shared" si="380"/>
        <v>0</v>
      </c>
      <c r="W6115">
        <f t="shared" si="381"/>
        <v>1</v>
      </c>
      <c r="X6115" t="str">
        <f t="shared" si="382"/>
        <v>13-24 Months</v>
      </c>
      <c r="Y6115" s="1" t="str">
        <f t="shared" si="383"/>
        <v>Medium</v>
      </c>
    </row>
    <row r="6116" spans="1:25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 t="shared" si="380"/>
        <v>0</v>
      </c>
      <c r="W6116">
        <f t="shared" si="381"/>
        <v>1</v>
      </c>
      <c r="X6116" t="str">
        <f t="shared" si="382"/>
        <v>0-12 Months</v>
      </c>
      <c r="Y6116" s="1" t="str">
        <f t="shared" si="383"/>
        <v>Medium</v>
      </c>
    </row>
    <row r="6117" spans="1:25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 t="shared" si="380"/>
        <v>0</v>
      </c>
      <c r="W6117">
        <f t="shared" si="381"/>
        <v>1</v>
      </c>
      <c r="X6117" t="str">
        <f t="shared" si="382"/>
        <v>49+ Months</v>
      </c>
      <c r="Y6117" s="1" t="str">
        <f t="shared" si="383"/>
        <v>High</v>
      </c>
    </row>
    <row r="6118" spans="1:25" x14ac:dyDescent="0.2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 t="shared" si="380"/>
        <v>0</v>
      </c>
      <c r="W6118">
        <f t="shared" si="381"/>
        <v>1</v>
      </c>
      <c r="X6118" t="str">
        <f t="shared" si="382"/>
        <v>25-48 Months</v>
      </c>
      <c r="Y6118" s="1" t="str">
        <f t="shared" si="383"/>
        <v>Medium</v>
      </c>
    </row>
    <row r="6119" spans="1:25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 t="shared" si="380"/>
        <v>0</v>
      </c>
      <c r="W6119">
        <f t="shared" si="381"/>
        <v>1</v>
      </c>
      <c r="X6119" t="str">
        <f t="shared" si="382"/>
        <v>49+ Months</v>
      </c>
      <c r="Y6119" s="1" t="str">
        <f t="shared" si="383"/>
        <v>Low</v>
      </c>
    </row>
    <row r="6120" spans="1:25" x14ac:dyDescent="0.2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 t="shared" si="380"/>
        <v>0</v>
      </c>
      <c r="W6120">
        <f t="shared" si="381"/>
        <v>1</v>
      </c>
      <c r="X6120" t="str">
        <f t="shared" si="382"/>
        <v>49+ Months</v>
      </c>
      <c r="Y6120" s="1" t="str">
        <f t="shared" si="383"/>
        <v>High</v>
      </c>
    </row>
    <row r="6121" spans="1:25" x14ac:dyDescent="0.2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 t="shared" si="380"/>
        <v>0</v>
      </c>
      <c r="W6121">
        <f t="shared" si="381"/>
        <v>1</v>
      </c>
      <c r="X6121" t="str">
        <f t="shared" si="382"/>
        <v>13-24 Months</v>
      </c>
      <c r="Y6121" s="1" t="str">
        <f t="shared" si="383"/>
        <v>Medium</v>
      </c>
    </row>
    <row r="6122" spans="1:25" x14ac:dyDescent="0.2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 t="shared" si="380"/>
        <v>0</v>
      </c>
      <c r="W6122">
        <f t="shared" si="381"/>
        <v>1</v>
      </c>
      <c r="X6122" t="str">
        <f t="shared" si="382"/>
        <v>0-12 Months</v>
      </c>
      <c r="Y6122" s="1" t="str">
        <f t="shared" si="383"/>
        <v>Medium</v>
      </c>
    </row>
    <row r="6123" spans="1:25" x14ac:dyDescent="0.2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 t="shared" si="380"/>
        <v>0</v>
      </c>
      <c r="W6123">
        <f t="shared" si="381"/>
        <v>1</v>
      </c>
      <c r="X6123" t="str">
        <f t="shared" si="382"/>
        <v>0-12 Months</v>
      </c>
      <c r="Y6123" s="1" t="str">
        <f t="shared" si="383"/>
        <v>Low</v>
      </c>
    </row>
    <row r="6124" spans="1:25" x14ac:dyDescent="0.2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 t="shared" si="380"/>
        <v>0</v>
      </c>
      <c r="W6124">
        <f t="shared" si="381"/>
        <v>1</v>
      </c>
      <c r="X6124" t="str">
        <f t="shared" si="382"/>
        <v>13-24 Months</v>
      </c>
      <c r="Y6124" s="1" t="str">
        <f t="shared" si="383"/>
        <v>Low</v>
      </c>
    </row>
    <row r="6125" spans="1:25" x14ac:dyDescent="0.2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 t="shared" si="380"/>
        <v>0</v>
      </c>
      <c r="W6125">
        <f t="shared" si="381"/>
        <v>1</v>
      </c>
      <c r="X6125" t="str">
        <f t="shared" si="382"/>
        <v>49+ Months</v>
      </c>
      <c r="Y6125" s="1" t="str">
        <f t="shared" si="383"/>
        <v>High</v>
      </c>
    </row>
    <row r="6126" spans="1:25" x14ac:dyDescent="0.2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 t="shared" si="380"/>
        <v>0</v>
      </c>
      <c r="W6126">
        <f t="shared" si="381"/>
        <v>1</v>
      </c>
      <c r="X6126" t="str">
        <f t="shared" si="382"/>
        <v>49+ Months</v>
      </c>
      <c r="Y6126" s="1" t="str">
        <f t="shared" si="383"/>
        <v>Medium</v>
      </c>
    </row>
    <row r="6127" spans="1:25" x14ac:dyDescent="0.2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 t="shared" si="380"/>
        <v>1</v>
      </c>
      <c r="W6127">
        <f t="shared" si="381"/>
        <v>0</v>
      </c>
      <c r="X6127" t="str">
        <f t="shared" si="382"/>
        <v>13-24 Months</v>
      </c>
      <c r="Y6127" s="1" t="str">
        <f t="shared" si="383"/>
        <v>High</v>
      </c>
    </row>
    <row r="6128" spans="1:25" x14ac:dyDescent="0.2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 t="shared" si="380"/>
        <v>1</v>
      </c>
      <c r="W6128">
        <f t="shared" si="381"/>
        <v>0</v>
      </c>
      <c r="X6128" t="str">
        <f t="shared" si="382"/>
        <v>13-24 Months</v>
      </c>
      <c r="Y6128" s="1" t="str">
        <f t="shared" si="383"/>
        <v>High</v>
      </c>
    </row>
    <row r="6129" spans="1:25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 t="shared" si="380"/>
        <v>0</v>
      </c>
      <c r="W6129">
        <f t="shared" si="381"/>
        <v>1</v>
      </c>
      <c r="X6129" t="str">
        <f t="shared" si="382"/>
        <v>49+ Months</v>
      </c>
      <c r="Y6129" s="1" t="str">
        <f t="shared" si="383"/>
        <v>High</v>
      </c>
    </row>
    <row r="6130" spans="1:25" x14ac:dyDescent="0.2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 t="shared" si="380"/>
        <v>0</v>
      </c>
      <c r="W6130">
        <f t="shared" si="381"/>
        <v>1</v>
      </c>
      <c r="X6130" t="str">
        <f t="shared" si="382"/>
        <v>13-24 Months</v>
      </c>
      <c r="Y6130" s="1" t="str">
        <f t="shared" si="383"/>
        <v>Medium</v>
      </c>
    </row>
    <row r="6131" spans="1:25" x14ac:dyDescent="0.2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 t="shared" si="380"/>
        <v>0</v>
      </c>
      <c r="W6131">
        <f t="shared" si="381"/>
        <v>1</v>
      </c>
      <c r="X6131" t="str">
        <f t="shared" si="382"/>
        <v>49+ Months</v>
      </c>
      <c r="Y6131" s="1" t="str">
        <f t="shared" si="383"/>
        <v>Low</v>
      </c>
    </row>
    <row r="6132" spans="1:25" x14ac:dyDescent="0.2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 t="shared" si="380"/>
        <v>0</v>
      </c>
      <c r="W6132">
        <f t="shared" si="381"/>
        <v>1</v>
      </c>
      <c r="X6132" t="str">
        <f t="shared" si="382"/>
        <v>49+ Months</v>
      </c>
      <c r="Y6132" s="1" t="str">
        <f t="shared" si="383"/>
        <v>Medium</v>
      </c>
    </row>
    <row r="6133" spans="1:25" x14ac:dyDescent="0.2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 t="shared" si="380"/>
        <v>1</v>
      </c>
      <c r="W6133">
        <f t="shared" si="381"/>
        <v>0</v>
      </c>
      <c r="X6133" t="str">
        <f t="shared" si="382"/>
        <v>25-48 Months</v>
      </c>
      <c r="Y6133" s="1" t="str">
        <f t="shared" si="383"/>
        <v>High</v>
      </c>
    </row>
    <row r="6134" spans="1:25" x14ac:dyDescent="0.2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 t="shared" si="380"/>
        <v>0</v>
      </c>
      <c r="W6134">
        <f t="shared" si="381"/>
        <v>1</v>
      </c>
      <c r="X6134" t="str">
        <f t="shared" si="382"/>
        <v>49+ Months</v>
      </c>
      <c r="Y6134" s="1" t="str">
        <f t="shared" si="383"/>
        <v>Medium</v>
      </c>
    </row>
    <row r="6135" spans="1:25" x14ac:dyDescent="0.2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 t="shared" si="380"/>
        <v>0</v>
      </c>
      <c r="W6135">
        <f t="shared" si="381"/>
        <v>1</v>
      </c>
      <c r="X6135" t="str">
        <f t="shared" si="382"/>
        <v>0-12 Months</v>
      </c>
      <c r="Y6135" s="1" t="str">
        <f t="shared" si="383"/>
        <v>Low</v>
      </c>
    </row>
    <row r="6136" spans="1:25" x14ac:dyDescent="0.2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 t="shared" si="380"/>
        <v>0</v>
      </c>
      <c r="W6136">
        <f t="shared" si="381"/>
        <v>1</v>
      </c>
      <c r="X6136" t="str">
        <f t="shared" si="382"/>
        <v>0-12 Months</v>
      </c>
      <c r="Y6136" s="1" t="str">
        <f t="shared" si="383"/>
        <v>Low</v>
      </c>
    </row>
    <row r="6137" spans="1:25" x14ac:dyDescent="0.2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 t="shared" si="380"/>
        <v>0</v>
      </c>
      <c r="W6137">
        <f t="shared" si="381"/>
        <v>1</v>
      </c>
      <c r="X6137" t="str">
        <f t="shared" si="382"/>
        <v>49+ Months</v>
      </c>
      <c r="Y6137" s="1" t="str">
        <f t="shared" si="383"/>
        <v>High</v>
      </c>
    </row>
    <row r="6138" spans="1:25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 t="shared" si="380"/>
        <v>0</v>
      </c>
      <c r="W6138">
        <f t="shared" si="381"/>
        <v>1</v>
      </c>
      <c r="X6138" t="str">
        <f t="shared" si="382"/>
        <v>25-48 Months</v>
      </c>
      <c r="Y6138" s="1" t="str">
        <f t="shared" si="383"/>
        <v>Low</v>
      </c>
    </row>
    <row r="6139" spans="1:25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 t="shared" si="380"/>
        <v>1</v>
      </c>
      <c r="W6139">
        <f t="shared" si="381"/>
        <v>0</v>
      </c>
      <c r="X6139" t="str">
        <f t="shared" si="382"/>
        <v>0-12 Months</v>
      </c>
      <c r="Y6139" s="1" t="str">
        <f t="shared" si="383"/>
        <v>Medium</v>
      </c>
    </row>
    <row r="6140" spans="1:25" x14ac:dyDescent="0.2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 t="shared" si="380"/>
        <v>0</v>
      </c>
      <c r="W6140">
        <f t="shared" si="381"/>
        <v>1</v>
      </c>
      <c r="X6140" t="str">
        <f t="shared" si="382"/>
        <v>49+ Months</v>
      </c>
      <c r="Y6140" s="1" t="str">
        <f t="shared" si="383"/>
        <v>High</v>
      </c>
    </row>
    <row r="6141" spans="1:25" x14ac:dyDescent="0.2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 t="shared" si="380"/>
        <v>0</v>
      </c>
      <c r="W6141">
        <f t="shared" si="381"/>
        <v>1</v>
      </c>
      <c r="X6141" t="str">
        <f t="shared" si="382"/>
        <v>0-12 Months</v>
      </c>
      <c r="Y6141" s="1" t="str">
        <f t="shared" si="383"/>
        <v>Low</v>
      </c>
    </row>
    <row r="6142" spans="1:25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 t="shared" si="380"/>
        <v>0</v>
      </c>
      <c r="W6142">
        <f t="shared" si="381"/>
        <v>1</v>
      </c>
      <c r="X6142" t="str">
        <f t="shared" si="382"/>
        <v>0-12 Months</v>
      </c>
      <c r="Y6142" s="1" t="str">
        <f t="shared" si="383"/>
        <v>Low</v>
      </c>
    </row>
    <row r="6143" spans="1:25" x14ac:dyDescent="0.2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 t="shared" si="380"/>
        <v>1</v>
      </c>
      <c r="W6143">
        <f t="shared" si="381"/>
        <v>0</v>
      </c>
      <c r="X6143" t="str">
        <f t="shared" si="382"/>
        <v>49+ Months</v>
      </c>
      <c r="Y6143" s="1" t="str">
        <f t="shared" si="383"/>
        <v>High</v>
      </c>
    </row>
    <row r="6144" spans="1:25" x14ac:dyDescent="0.2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 t="shared" si="380"/>
        <v>1</v>
      </c>
      <c r="W6144">
        <f t="shared" si="381"/>
        <v>0</v>
      </c>
      <c r="X6144" t="str">
        <f t="shared" si="382"/>
        <v>25-48 Months</v>
      </c>
      <c r="Y6144" s="1" t="str">
        <f t="shared" si="383"/>
        <v>Medium</v>
      </c>
    </row>
    <row r="6145" spans="1:25" x14ac:dyDescent="0.2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 t="shared" si="380"/>
        <v>0</v>
      </c>
      <c r="W6145">
        <f t="shared" si="381"/>
        <v>1</v>
      </c>
      <c r="X6145" t="str">
        <f t="shared" si="382"/>
        <v>49+ Months</v>
      </c>
      <c r="Y6145" s="1" t="str">
        <f t="shared" si="383"/>
        <v>Low</v>
      </c>
    </row>
    <row r="6146" spans="1:25" x14ac:dyDescent="0.2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 t="shared" ref="V6146:V6209" si="384">IF(U6146="Yes",1,0)</f>
        <v>0</v>
      </c>
      <c r="W6146">
        <f t="shared" ref="W6146:W6209" si="385">IF(U6146="No",1,0)</f>
        <v>1</v>
      </c>
      <c r="X6146" t="str">
        <f t="shared" ref="X6146:X6209" si="386">IF(F6146&lt;=12,"0-12 Months",IF(F6146&lt;=24,"13-24 Months",IF(F6146&lt;=48,"25-48 Months","49+ Months")))</f>
        <v>13-24 Months</v>
      </c>
      <c r="Y6146" s="1" t="str">
        <f t="shared" ref="Y6146:Y6209" si="387">IF(S6146&lt;50,"Low",IF(S6146&lt;80,"Medium","High"))</f>
        <v>High</v>
      </c>
    </row>
    <row r="6147" spans="1:25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 t="shared" si="384"/>
        <v>0</v>
      </c>
      <c r="W6147">
        <f t="shared" si="385"/>
        <v>1</v>
      </c>
      <c r="X6147" t="str">
        <f t="shared" si="386"/>
        <v>49+ Months</v>
      </c>
      <c r="Y6147" s="1" t="str">
        <f t="shared" si="387"/>
        <v>Medium</v>
      </c>
    </row>
    <row r="6148" spans="1:25" x14ac:dyDescent="0.2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 t="shared" si="384"/>
        <v>1</v>
      </c>
      <c r="W6148">
        <f t="shared" si="385"/>
        <v>0</v>
      </c>
      <c r="X6148" t="str">
        <f t="shared" si="386"/>
        <v>25-48 Months</v>
      </c>
      <c r="Y6148" s="1" t="str">
        <f t="shared" si="387"/>
        <v>High</v>
      </c>
    </row>
    <row r="6149" spans="1:25" x14ac:dyDescent="0.2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 t="shared" si="384"/>
        <v>0</v>
      </c>
      <c r="W6149">
        <f t="shared" si="385"/>
        <v>1</v>
      </c>
      <c r="X6149" t="str">
        <f t="shared" si="386"/>
        <v>25-48 Months</v>
      </c>
      <c r="Y6149" s="1" t="str">
        <f t="shared" si="387"/>
        <v>High</v>
      </c>
    </row>
    <row r="6150" spans="1:25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 t="shared" si="384"/>
        <v>0</v>
      </c>
      <c r="W6150">
        <f t="shared" si="385"/>
        <v>1</v>
      </c>
      <c r="X6150" t="str">
        <f t="shared" si="386"/>
        <v>49+ Months</v>
      </c>
      <c r="Y6150" s="1" t="str">
        <f t="shared" si="387"/>
        <v>Medium</v>
      </c>
    </row>
    <row r="6151" spans="1:25" x14ac:dyDescent="0.2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 t="shared" si="384"/>
        <v>0</v>
      </c>
      <c r="W6151">
        <f t="shared" si="385"/>
        <v>1</v>
      </c>
      <c r="X6151" t="str">
        <f t="shared" si="386"/>
        <v>0-12 Months</v>
      </c>
      <c r="Y6151" s="1" t="str">
        <f t="shared" si="387"/>
        <v>Low</v>
      </c>
    </row>
    <row r="6152" spans="1:25" x14ac:dyDescent="0.2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 t="shared" si="384"/>
        <v>0</v>
      </c>
      <c r="W6152">
        <f t="shared" si="385"/>
        <v>1</v>
      </c>
      <c r="X6152" t="str">
        <f t="shared" si="386"/>
        <v>25-48 Months</v>
      </c>
      <c r="Y6152" s="1" t="str">
        <f t="shared" si="387"/>
        <v>High</v>
      </c>
    </row>
    <row r="6153" spans="1:25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 t="shared" si="384"/>
        <v>1</v>
      </c>
      <c r="W6153">
        <f t="shared" si="385"/>
        <v>0</v>
      </c>
      <c r="X6153" t="str">
        <f t="shared" si="386"/>
        <v>0-12 Months</v>
      </c>
      <c r="Y6153" s="1" t="str">
        <f t="shared" si="387"/>
        <v>Medium</v>
      </c>
    </row>
    <row r="6154" spans="1:25" x14ac:dyDescent="0.2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 t="shared" si="384"/>
        <v>1</v>
      </c>
      <c r="W6154">
        <f t="shared" si="385"/>
        <v>0</v>
      </c>
      <c r="X6154" t="str">
        <f t="shared" si="386"/>
        <v>13-24 Months</v>
      </c>
      <c r="Y6154" s="1" t="str">
        <f t="shared" si="387"/>
        <v>High</v>
      </c>
    </row>
    <row r="6155" spans="1:25" x14ac:dyDescent="0.2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 t="shared" si="384"/>
        <v>0</v>
      </c>
      <c r="W6155">
        <f t="shared" si="385"/>
        <v>1</v>
      </c>
      <c r="X6155" t="str">
        <f t="shared" si="386"/>
        <v>49+ Months</v>
      </c>
      <c r="Y6155" s="1" t="str">
        <f t="shared" si="387"/>
        <v>Low</v>
      </c>
    </row>
    <row r="6156" spans="1:25" x14ac:dyDescent="0.2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 t="shared" si="384"/>
        <v>0</v>
      </c>
      <c r="W6156">
        <f t="shared" si="385"/>
        <v>1</v>
      </c>
      <c r="X6156" t="str">
        <f t="shared" si="386"/>
        <v>49+ Months</v>
      </c>
      <c r="Y6156" s="1" t="str">
        <f t="shared" si="387"/>
        <v>High</v>
      </c>
    </row>
    <row r="6157" spans="1:25" x14ac:dyDescent="0.2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 t="shared" si="384"/>
        <v>1</v>
      </c>
      <c r="W6157">
        <f t="shared" si="385"/>
        <v>0</v>
      </c>
      <c r="X6157" t="str">
        <f t="shared" si="386"/>
        <v>0-12 Months</v>
      </c>
      <c r="Y6157" s="1" t="str">
        <f t="shared" si="387"/>
        <v>Low</v>
      </c>
    </row>
    <row r="6158" spans="1:25" x14ac:dyDescent="0.2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 t="shared" si="384"/>
        <v>0</v>
      </c>
      <c r="W6158">
        <f t="shared" si="385"/>
        <v>1</v>
      </c>
      <c r="X6158" t="str">
        <f t="shared" si="386"/>
        <v>25-48 Months</v>
      </c>
      <c r="Y6158" s="1" t="str">
        <f t="shared" si="387"/>
        <v>High</v>
      </c>
    </row>
    <row r="6159" spans="1:25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 t="shared" si="384"/>
        <v>1</v>
      </c>
      <c r="W6159">
        <f t="shared" si="385"/>
        <v>0</v>
      </c>
      <c r="X6159" t="str">
        <f t="shared" si="386"/>
        <v>0-12 Months</v>
      </c>
      <c r="Y6159" s="1" t="str">
        <f t="shared" si="387"/>
        <v>Low</v>
      </c>
    </row>
    <row r="6160" spans="1:25" x14ac:dyDescent="0.2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 t="shared" si="384"/>
        <v>0</v>
      </c>
      <c r="W6160">
        <f t="shared" si="385"/>
        <v>1</v>
      </c>
      <c r="X6160" t="str">
        <f t="shared" si="386"/>
        <v>0-12 Months</v>
      </c>
      <c r="Y6160" s="1" t="str">
        <f t="shared" si="387"/>
        <v>Low</v>
      </c>
    </row>
    <row r="6161" spans="1:25" x14ac:dyDescent="0.2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 t="shared" si="384"/>
        <v>0</v>
      </c>
      <c r="W6161">
        <f t="shared" si="385"/>
        <v>1</v>
      </c>
      <c r="X6161" t="str">
        <f t="shared" si="386"/>
        <v>0-12 Months</v>
      </c>
      <c r="Y6161" s="1" t="str">
        <f t="shared" si="387"/>
        <v>Low</v>
      </c>
    </row>
    <row r="6162" spans="1:25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 t="shared" si="384"/>
        <v>0</v>
      </c>
      <c r="W6162">
        <f t="shared" si="385"/>
        <v>1</v>
      </c>
      <c r="X6162" t="str">
        <f t="shared" si="386"/>
        <v>25-48 Months</v>
      </c>
      <c r="Y6162" s="1" t="str">
        <f t="shared" si="387"/>
        <v>High</v>
      </c>
    </row>
    <row r="6163" spans="1:25" x14ac:dyDescent="0.2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 t="shared" si="384"/>
        <v>0</v>
      </c>
      <c r="W6163">
        <f t="shared" si="385"/>
        <v>1</v>
      </c>
      <c r="X6163" t="str">
        <f t="shared" si="386"/>
        <v>0-12 Months</v>
      </c>
      <c r="Y6163" s="1" t="str">
        <f t="shared" si="387"/>
        <v>Medium</v>
      </c>
    </row>
    <row r="6164" spans="1:25" x14ac:dyDescent="0.2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 t="shared" si="384"/>
        <v>0</v>
      </c>
      <c r="W6164">
        <f t="shared" si="385"/>
        <v>1</v>
      </c>
      <c r="X6164" t="str">
        <f t="shared" si="386"/>
        <v>49+ Months</v>
      </c>
      <c r="Y6164" s="1" t="str">
        <f t="shared" si="387"/>
        <v>Low</v>
      </c>
    </row>
    <row r="6165" spans="1:25" x14ac:dyDescent="0.2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 t="shared" si="384"/>
        <v>0</v>
      </c>
      <c r="W6165">
        <f t="shared" si="385"/>
        <v>1</v>
      </c>
      <c r="X6165" t="str">
        <f t="shared" si="386"/>
        <v>13-24 Months</v>
      </c>
      <c r="Y6165" s="1" t="str">
        <f t="shared" si="387"/>
        <v>High</v>
      </c>
    </row>
    <row r="6166" spans="1:25" x14ac:dyDescent="0.2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 t="shared" si="384"/>
        <v>0</v>
      </c>
      <c r="W6166">
        <f t="shared" si="385"/>
        <v>1</v>
      </c>
      <c r="X6166" t="str">
        <f t="shared" si="386"/>
        <v>25-48 Months</v>
      </c>
      <c r="Y6166" s="1" t="str">
        <f t="shared" si="387"/>
        <v>Medium</v>
      </c>
    </row>
    <row r="6167" spans="1:25" x14ac:dyDescent="0.2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 t="shared" si="384"/>
        <v>0</v>
      </c>
      <c r="W6167">
        <f t="shared" si="385"/>
        <v>1</v>
      </c>
      <c r="X6167" t="str">
        <f t="shared" si="386"/>
        <v>0-12 Months</v>
      </c>
      <c r="Y6167" s="1" t="str">
        <f t="shared" si="387"/>
        <v>Medium</v>
      </c>
    </row>
    <row r="6168" spans="1:25" x14ac:dyDescent="0.2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 t="shared" si="384"/>
        <v>1</v>
      </c>
      <c r="W6168">
        <f t="shared" si="385"/>
        <v>0</v>
      </c>
      <c r="X6168" t="str">
        <f t="shared" si="386"/>
        <v>25-48 Months</v>
      </c>
      <c r="Y6168" s="1" t="str">
        <f t="shared" si="387"/>
        <v>High</v>
      </c>
    </row>
    <row r="6169" spans="1:25" x14ac:dyDescent="0.2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 t="shared" si="384"/>
        <v>0</v>
      </c>
      <c r="W6169">
        <f t="shared" si="385"/>
        <v>1</v>
      </c>
      <c r="X6169" t="str">
        <f t="shared" si="386"/>
        <v>25-48 Months</v>
      </c>
      <c r="Y6169" s="1" t="str">
        <f t="shared" si="387"/>
        <v>High</v>
      </c>
    </row>
    <row r="6170" spans="1:25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 t="shared" si="384"/>
        <v>1</v>
      </c>
      <c r="W6170">
        <f t="shared" si="385"/>
        <v>0</v>
      </c>
      <c r="X6170" t="str">
        <f t="shared" si="386"/>
        <v>0-12 Months</v>
      </c>
      <c r="Y6170" s="1" t="str">
        <f t="shared" si="387"/>
        <v>Medium</v>
      </c>
    </row>
    <row r="6171" spans="1:25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 t="shared" si="384"/>
        <v>1</v>
      </c>
      <c r="W6171">
        <f t="shared" si="385"/>
        <v>0</v>
      </c>
      <c r="X6171" t="str">
        <f t="shared" si="386"/>
        <v>0-12 Months</v>
      </c>
      <c r="Y6171" s="1" t="str">
        <f t="shared" si="387"/>
        <v>Low</v>
      </c>
    </row>
    <row r="6172" spans="1:25" x14ac:dyDescent="0.2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 t="shared" si="384"/>
        <v>0</v>
      </c>
      <c r="W6172">
        <f t="shared" si="385"/>
        <v>1</v>
      </c>
      <c r="X6172" t="str">
        <f t="shared" si="386"/>
        <v>0-12 Months</v>
      </c>
      <c r="Y6172" s="1" t="str">
        <f t="shared" si="387"/>
        <v>Low</v>
      </c>
    </row>
    <row r="6173" spans="1:25" x14ac:dyDescent="0.2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 t="shared" si="384"/>
        <v>0</v>
      </c>
      <c r="W6173">
        <f t="shared" si="385"/>
        <v>1</v>
      </c>
      <c r="X6173" t="str">
        <f t="shared" si="386"/>
        <v>49+ Months</v>
      </c>
      <c r="Y6173" s="1" t="str">
        <f t="shared" si="387"/>
        <v>High</v>
      </c>
    </row>
    <row r="6174" spans="1:25" x14ac:dyDescent="0.2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 t="shared" si="384"/>
        <v>1</v>
      </c>
      <c r="W6174">
        <f t="shared" si="385"/>
        <v>0</v>
      </c>
      <c r="X6174" t="str">
        <f t="shared" si="386"/>
        <v>0-12 Months</v>
      </c>
      <c r="Y6174" s="1" t="str">
        <f t="shared" si="387"/>
        <v>Medium</v>
      </c>
    </row>
    <row r="6175" spans="1:25" x14ac:dyDescent="0.2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 t="shared" si="384"/>
        <v>0</v>
      </c>
      <c r="W6175">
        <f t="shared" si="385"/>
        <v>1</v>
      </c>
      <c r="X6175" t="str">
        <f t="shared" si="386"/>
        <v>25-48 Months</v>
      </c>
      <c r="Y6175" s="1" t="str">
        <f t="shared" si="387"/>
        <v>High</v>
      </c>
    </row>
    <row r="6176" spans="1:25" x14ac:dyDescent="0.2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 t="shared" si="384"/>
        <v>1</v>
      </c>
      <c r="W6176">
        <f t="shared" si="385"/>
        <v>0</v>
      </c>
      <c r="X6176" t="str">
        <f t="shared" si="386"/>
        <v>0-12 Months</v>
      </c>
      <c r="Y6176" s="1" t="str">
        <f t="shared" si="387"/>
        <v>Low</v>
      </c>
    </row>
    <row r="6177" spans="1:25" x14ac:dyDescent="0.2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 t="shared" si="384"/>
        <v>0</v>
      </c>
      <c r="W6177">
        <f t="shared" si="385"/>
        <v>1</v>
      </c>
      <c r="X6177" t="str">
        <f t="shared" si="386"/>
        <v>25-48 Months</v>
      </c>
      <c r="Y6177" s="1" t="str">
        <f t="shared" si="387"/>
        <v>High</v>
      </c>
    </row>
    <row r="6178" spans="1:25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 t="shared" si="384"/>
        <v>1</v>
      </c>
      <c r="W6178">
        <f t="shared" si="385"/>
        <v>0</v>
      </c>
      <c r="X6178" t="str">
        <f t="shared" si="386"/>
        <v>25-48 Months</v>
      </c>
      <c r="Y6178" s="1" t="str">
        <f t="shared" si="387"/>
        <v>Medium</v>
      </c>
    </row>
    <row r="6179" spans="1:25" x14ac:dyDescent="0.2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 t="shared" si="384"/>
        <v>1</v>
      </c>
      <c r="W6179">
        <f t="shared" si="385"/>
        <v>0</v>
      </c>
      <c r="X6179" t="str">
        <f t="shared" si="386"/>
        <v>0-12 Months</v>
      </c>
      <c r="Y6179" s="1" t="str">
        <f t="shared" si="387"/>
        <v>Medium</v>
      </c>
    </row>
    <row r="6180" spans="1:25" x14ac:dyDescent="0.2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 t="shared" si="384"/>
        <v>0</v>
      </c>
      <c r="W6180">
        <f t="shared" si="385"/>
        <v>1</v>
      </c>
      <c r="X6180" t="str">
        <f t="shared" si="386"/>
        <v>49+ Months</v>
      </c>
      <c r="Y6180" s="1" t="str">
        <f t="shared" si="387"/>
        <v>Low</v>
      </c>
    </row>
    <row r="6181" spans="1:25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 t="shared" si="384"/>
        <v>1</v>
      </c>
      <c r="W6181">
        <f t="shared" si="385"/>
        <v>0</v>
      </c>
      <c r="X6181" t="str">
        <f t="shared" si="386"/>
        <v>0-12 Months</v>
      </c>
      <c r="Y6181" s="1" t="str">
        <f t="shared" si="387"/>
        <v>High</v>
      </c>
    </row>
    <row r="6182" spans="1:25" x14ac:dyDescent="0.2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 t="shared" si="384"/>
        <v>0</v>
      </c>
      <c r="W6182">
        <f t="shared" si="385"/>
        <v>1</v>
      </c>
      <c r="X6182" t="str">
        <f t="shared" si="386"/>
        <v>49+ Months</v>
      </c>
      <c r="Y6182" s="1" t="str">
        <f t="shared" si="387"/>
        <v>High</v>
      </c>
    </row>
    <row r="6183" spans="1:25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 t="shared" si="384"/>
        <v>0</v>
      </c>
      <c r="W6183">
        <f t="shared" si="385"/>
        <v>1</v>
      </c>
      <c r="X6183" t="str">
        <f t="shared" si="386"/>
        <v>49+ Months</v>
      </c>
      <c r="Y6183" s="1" t="str">
        <f t="shared" si="387"/>
        <v>High</v>
      </c>
    </row>
    <row r="6184" spans="1:25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 t="shared" si="384"/>
        <v>0</v>
      </c>
      <c r="W6184">
        <f t="shared" si="385"/>
        <v>1</v>
      </c>
      <c r="X6184" t="str">
        <f t="shared" si="386"/>
        <v>49+ Months</v>
      </c>
      <c r="Y6184" s="1" t="str">
        <f t="shared" si="387"/>
        <v>High</v>
      </c>
    </row>
    <row r="6185" spans="1:25" x14ac:dyDescent="0.2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 t="shared" si="384"/>
        <v>0</v>
      </c>
      <c r="W6185">
        <f t="shared" si="385"/>
        <v>1</v>
      </c>
      <c r="X6185" t="str">
        <f t="shared" si="386"/>
        <v>25-48 Months</v>
      </c>
      <c r="Y6185" s="1" t="str">
        <f t="shared" si="387"/>
        <v>Medium</v>
      </c>
    </row>
    <row r="6186" spans="1:25" x14ac:dyDescent="0.2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 t="shared" si="384"/>
        <v>0</v>
      </c>
      <c r="W6186">
        <f t="shared" si="385"/>
        <v>1</v>
      </c>
      <c r="X6186" t="str">
        <f t="shared" si="386"/>
        <v>25-48 Months</v>
      </c>
      <c r="Y6186" s="1" t="str">
        <f t="shared" si="387"/>
        <v>Medium</v>
      </c>
    </row>
    <row r="6187" spans="1:25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 t="shared" si="384"/>
        <v>0</v>
      </c>
      <c r="W6187">
        <f t="shared" si="385"/>
        <v>1</v>
      </c>
      <c r="X6187" t="str">
        <f t="shared" si="386"/>
        <v>49+ Months</v>
      </c>
      <c r="Y6187" s="1" t="str">
        <f t="shared" si="387"/>
        <v>High</v>
      </c>
    </row>
    <row r="6188" spans="1:25" x14ac:dyDescent="0.2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 t="shared" si="384"/>
        <v>1</v>
      </c>
      <c r="W6188">
        <f t="shared" si="385"/>
        <v>0</v>
      </c>
      <c r="X6188" t="str">
        <f t="shared" si="386"/>
        <v>25-48 Months</v>
      </c>
      <c r="Y6188" s="1" t="str">
        <f t="shared" si="387"/>
        <v>High</v>
      </c>
    </row>
    <row r="6189" spans="1:25" x14ac:dyDescent="0.2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 t="shared" si="384"/>
        <v>0</v>
      </c>
      <c r="W6189">
        <f t="shared" si="385"/>
        <v>1</v>
      </c>
      <c r="X6189" t="str">
        <f t="shared" si="386"/>
        <v>0-12 Months</v>
      </c>
      <c r="Y6189" s="1" t="str">
        <f t="shared" si="387"/>
        <v>Low</v>
      </c>
    </row>
    <row r="6190" spans="1:25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 t="shared" si="384"/>
        <v>0</v>
      </c>
      <c r="W6190">
        <f t="shared" si="385"/>
        <v>1</v>
      </c>
      <c r="X6190" t="str">
        <f t="shared" si="386"/>
        <v>13-24 Months</v>
      </c>
      <c r="Y6190" s="1" t="str">
        <f t="shared" si="387"/>
        <v>Low</v>
      </c>
    </row>
    <row r="6191" spans="1:25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 t="shared" si="384"/>
        <v>0</v>
      </c>
      <c r="W6191">
        <f t="shared" si="385"/>
        <v>1</v>
      </c>
      <c r="X6191" t="str">
        <f t="shared" si="386"/>
        <v>49+ Months</v>
      </c>
      <c r="Y6191" s="1" t="str">
        <f t="shared" si="387"/>
        <v>High</v>
      </c>
    </row>
    <row r="6192" spans="1:25" x14ac:dyDescent="0.2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 t="shared" si="384"/>
        <v>1</v>
      </c>
      <c r="W6192">
        <f t="shared" si="385"/>
        <v>0</v>
      </c>
      <c r="X6192" t="str">
        <f t="shared" si="386"/>
        <v>0-12 Months</v>
      </c>
      <c r="Y6192" s="1" t="str">
        <f t="shared" si="387"/>
        <v>High</v>
      </c>
    </row>
    <row r="6193" spans="1:25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 t="shared" si="384"/>
        <v>0</v>
      </c>
      <c r="W6193">
        <f t="shared" si="385"/>
        <v>1</v>
      </c>
      <c r="X6193" t="str">
        <f t="shared" si="386"/>
        <v>25-48 Months</v>
      </c>
      <c r="Y6193" s="1" t="str">
        <f t="shared" si="387"/>
        <v>Medium</v>
      </c>
    </row>
    <row r="6194" spans="1:25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 t="shared" si="384"/>
        <v>0</v>
      </c>
      <c r="W6194">
        <f t="shared" si="385"/>
        <v>1</v>
      </c>
      <c r="X6194" t="str">
        <f t="shared" si="386"/>
        <v>13-24 Months</v>
      </c>
      <c r="Y6194" s="1" t="str">
        <f t="shared" si="387"/>
        <v>Medium</v>
      </c>
    </row>
    <row r="6195" spans="1:25" x14ac:dyDescent="0.2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 t="shared" si="384"/>
        <v>0</v>
      </c>
      <c r="W6195">
        <f t="shared" si="385"/>
        <v>1</v>
      </c>
      <c r="X6195" t="str">
        <f t="shared" si="386"/>
        <v>13-24 Months</v>
      </c>
      <c r="Y6195" s="1" t="str">
        <f t="shared" si="387"/>
        <v>High</v>
      </c>
    </row>
    <row r="6196" spans="1:25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 t="shared" si="384"/>
        <v>0</v>
      </c>
      <c r="W6196">
        <f t="shared" si="385"/>
        <v>1</v>
      </c>
      <c r="X6196" t="str">
        <f t="shared" si="386"/>
        <v>49+ Months</v>
      </c>
      <c r="Y6196" s="1" t="str">
        <f t="shared" si="387"/>
        <v>High</v>
      </c>
    </row>
    <row r="6197" spans="1:25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 t="shared" si="384"/>
        <v>1</v>
      </c>
      <c r="W6197">
        <f t="shared" si="385"/>
        <v>0</v>
      </c>
      <c r="X6197" t="str">
        <f t="shared" si="386"/>
        <v>0-12 Months</v>
      </c>
      <c r="Y6197" s="1" t="str">
        <f t="shared" si="387"/>
        <v>Medium</v>
      </c>
    </row>
    <row r="6198" spans="1:25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 t="shared" si="384"/>
        <v>0</v>
      </c>
      <c r="W6198">
        <f t="shared" si="385"/>
        <v>1</v>
      </c>
      <c r="X6198" t="str">
        <f t="shared" si="386"/>
        <v>49+ Months</v>
      </c>
      <c r="Y6198" s="1" t="str">
        <f t="shared" si="387"/>
        <v>High</v>
      </c>
    </row>
    <row r="6199" spans="1:25" x14ac:dyDescent="0.2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 t="shared" si="384"/>
        <v>1</v>
      </c>
      <c r="W6199">
        <f t="shared" si="385"/>
        <v>0</v>
      </c>
      <c r="X6199" t="str">
        <f t="shared" si="386"/>
        <v>13-24 Months</v>
      </c>
      <c r="Y6199" s="1" t="str">
        <f t="shared" si="387"/>
        <v>Medium</v>
      </c>
    </row>
    <row r="6200" spans="1:25" x14ac:dyDescent="0.2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 t="shared" si="384"/>
        <v>0</v>
      </c>
      <c r="W6200">
        <f t="shared" si="385"/>
        <v>1</v>
      </c>
      <c r="X6200" t="str">
        <f t="shared" si="386"/>
        <v>25-48 Months</v>
      </c>
      <c r="Y6200" s="1" t="str">
        <f t="shared" si="387"/>
        <v>Low</v>
      </c>
    </row>
    <row r="6201" spans="1:25" x14ac:dyDescent="0.2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 t="shared" si="384"/>
        <v>1</v>
      </c>
      <c r="W6201">
        <f t="shared" si="385"/>
        <v>0</v>
      </c>
      <c r="X6201" t="str">
        <f t="shared" si="386"/>
        <v>25-48 Months</v>
      </c>
      <c r="Y6201" s="1" t="str">
        <f t="shared" si="387"/>
        <v>High</v>
      </c>
    </row>
    <row r="6202" spans="1:25" x14ac:dyDescent="0.2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 t="shared" si="384"/>
        <v>0</v>
      </c>
      <c r="W6202">
        <f t="shared" si="385"/>
        <v>1</v>
      </c>
      <c r="X6202" t="str">
        <f t="shared" si="386"/>
        <v>49+ Months</v>
      </c>
      <c r="Y6202" s="1" t="str">
        <f t="shared" si="387"/>
        <v>Low</v>
      </c>
    </row>
    <row r="6203" spans="1:25" x14ac:dyDescent="0.2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 t="shared" si="384"/>
        <v>0</v>
      </c>
      <c r="W6203">
        <f t="shared" si="385"/>
        <v>1</v>
      </c>
      <c r="X6203" t="str">
        <f t="shared" si="386"/>
        <v>0-12 Months</v>
      </c>
      <c r="Y6203" s="1" t="str">
        <f t="shared" si="387"/>
        <v>High</v>
      </c>
    </row>
    <row r="6204" spans="1:25" x14ac:dyDescent="0.2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 t="shared" si="384"/>
        <v>1</v>
      </c>
      <c r="W6204">
        <f t="shared" si="385"/>
        <v>0</v>
      </c>
      <c r="X6204" t="str">
        <f t="shared" si="386"/>
        <v>13-24 Months</v>
      </c>
      <c r="Y6204" s="1" t="str">
        <f t="shared" si="387"/>
        <v>Medium</v>
      </c>
    </row>
    <row r="6205" spans="1:25" x14ac:dyDescent="0.2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 t="shared" si="384"/>
        <v>0</v>
      </c>
      <c r="W6205">
        <f t="shared" si="385"/>
        <v>1</v>
      </c>
      <c r="X6205" t="str">
        <f t="shared" si="386"/>
        <v>49+ Months</v>
      </c>
      <c r="Y6205" s="1" t="str">
        <f t="shared" si="387"/>
        <v>High</v>
      </c>
    </row>
    <row r="6206" spans="1:25" x14ac:dyDescent="0.2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 t="shared" si="384"/>
        <v>0</v>
      </c>
      <c r="W6206">
        <f t="shared" si="385"/>
        <v>1</v>
      </c>
      <c r="X6206" t="str">
        <f t="shared" si="386"/>
        <v>13-24 Months</v>
      </c>
      <c r="Y6206" s="1" t="str">
        <f t="shared" si="387"/>
        <v>Low</v>
      </c>
    </row>
    <row r="6207" spans="1:25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 t="shared" si="384"/>
        <v>1</v>
      </c>
      <c r="W6207">
        <f t="shared" si="385"/>
        <v>0</v>
      </c>
      <c r="X6207" t="str">
        <f t="shared" si="386"/>
        <v>25-48 Months</v>
      </c>
      <c r="Y6207" s="1" t="str">
        <f t="shared" si="387"/>
        <v>High</v>
      </c>
    </row>
    <row r="6208" spans="1:25" x14ac:dyDescent="0.2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 t="shared" si="384"/>
        <v>0</v>
      </c>
      <c r="W6208">
        <f t="shared" si="385"/>
        <v>1</v>
      </c>
      <c r="X6208" t="str">
        <f t="shared" si="386"/>
        <v>49+ Months</v>
      </c>
      <c r="Y6208" s="1" t="str">
        <f t="shared" si="387"/>
        <v>High</v>
      </c>
    </row>
    <row r="6209" spans="1:25" x14ac:dyDescent="0.2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 t="shared" si="384"/>
        <v>1</v>
      </c>
      <c r="W6209">
        <f t="shared" si="385"/>
        <v>0</v>
      </c>
      <c r="X6209" t="str">
        <f t="shared" si="386"/>
        <v>25-48 Months</v>
      </c>
      <c r="Y6209" s="1" t="str">
        <f t="shared" si="387"/>
        <v>High</v>
      </c>
    </row>
    <row r="6210" spans="1:25" x14ac:dyDescent="0.2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 t="shared" ref="V6210:V6273" si="388">IF(U6210="Yes",1,0)</f>
        <v>0</v>
      </c>
      <c r="W6210">
        <f t="shared" ref="W6210:W6273" si="389">IF(U6210="No",1,0)</f>
        <v>1</v>
      </c>
      <c r="X6210" t="str">
        <f t="shared" ref="X6210:X6273" si="390">IF(F6210&lt;=12,"0-12 Months",IF(F6210&lt;=24,"13-24 Months",IF(F6210&lt;=48,"25-48 Months","49+ Months")))</f>
        <v>49+ Months</v>
      </c>
      <c r="Y6210" s="1" t="str">
        <f t="shared" ref="Y6210:Y6273" si="391">IF(S6210&lt;50,"Low",IF(S6210&lt;80,"Medium","High"))</f>
        <v>High</v>
      </c>
    </row>
    <row r="6211" spans="1:25" x14ac:dyDescent="0.2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 t="shared" si="388"/>
        <v>0</v>
      </c>
      <c r="W6211">
        <f t="shared" si="389"/>
        <v>1</v>
      </c>
      <c r="X6211" t="str">
        <f t="shared" si="390"/>
        <v>25-48 Months</v>
      </c>
      <c r="Y6211" s="1" t="str">
        <f t="shared" si="391"/>
        <v>Low</v>
      </c>
    </row>
    <row r="6212" spans="1:25" x14ac:dyDescent="0.2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 t="shared" si="388"/>
        <v>0</v>
      </c>
      <c r="W6212">
        <f t="shared" si="389"/>
        <v>1</v>
      </c>
      <c r="X6212" t="str">
        <f t="shared" si="390"/>
        <v>25-48 Months</v>
      </c>
      <c r="Y6212" s="1" t="str">
        <f t="shared" si="391"/>
        <v>Medium</v>
      </c>
    </row>
    <row r="6213" spans="1:25" x14ac:dyDescent="0.2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 t="shared" si="388"/>
        <v>1</v>
      </c>
      <c r="W6213">
        <f t="shared" si="389"/>
        <v>0</v>
      </c>
      <c r="X6213" t="str">
        <f t="shared" si="390"/>
        <v>0-12 Months</v>
      </c>
      <c r="Y6213" s="1" t="str">
        <f t="shared" si="391"/>
        <v>High</v>
      </c>
    </row>
    <row r="6214" spans="1:25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 t="shared" si="388"/>
        <v>0</v>
      </c>
      <c r="W6214">
        <f t="shared" si="389"/>
        <v>1</v>
      </c>
      <c r="X6214" t="str">
        <f t="shared" si="390"/>
        <v>13-24 Months</v>
      </c>
      <c r="Y6214" s="1" t="str">
        <f t="shared" si="391"/>
        <v>Medium</v>
      </c>
    </row>
    <row r="6215" spans="1:25" x14ac:dyDescent="0.2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 t="shared" si="388"/>
        <v>0</v>
      </c>
      <c r="W6215">
        <f t="shared" si="389"/>
        <v>1</v>
      </c>
      <c r="X6215" t="str">
        <f t="shared" si="390"/>
        <v>13-24 Months</v>
      </c>
      <c r="Y6215" s="1" t="str">
        <f t="shared" si="391"/>
        <v>Low</v>
      </c>
    </row>
    <row r="6216" spans="1:25" x14ac:dyDescent="0.2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 t="shared" si="388"/>
        <v>0</v>
      </c>
      <c r="W6216">
        <f t="shared" si="389"/>
        <v>1</v>
      </c>
      <c r="X6216" t="str">
        <f t="shared" si="390"/>
        <v>25-48 Months</v>
      </c>
      <c r="Y6216" s="1" t="str">
        <f t="shared" si="391"/>
        <v>Low</v>
      </c>
    </row>
    <row r="6217" spans="1:25" x14ac:dyDescent="0.2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 t="shared" si="388"/>
        <v>1</v>
      </c>
      <c r="W6217">
        <f t="shared" si="389"/>
        <v>0</v>
      </c>
      <c r="X6217" t="str">
        <f t="shared" si="390"/>
        <v>0-12 Months</v>
      </c>
      <c r="Y6217" s="1" t="str">
        <f t="shared" si="391"/>
        <v>High</v>
      </c>
    </row>
    <row r="6218" spans="1:25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 t="shared" si="388"/>
        <v>0</v>
      </c>
      <c r="W6218">
        <f t="shared" si="389"/>
        <v>1</v>
      </c>
      <c r="X6218" t="str">
        <f t="shared" si="390"/>
        <v>49+ Months</v>
      </c>
      <c r="Y6218" s="1" t="str">
        <f t="shared" si="391"/>
        <v>Medium</v>
      </c>
    </row>
    <row r="6219" spans="1:25" x14ac:dyDescent="0.2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 t="shared" si="388"/>
        <v>0</v>
      </c>
      <c r="W6219">
        <f t="shared" si="389"/>
        <v>1</v>
      </c>
      <c r="X6219" t="str">
        <f t="shared" si="390"/>
        <v>49+ Months</v>
      </c>
      <c r="Y6219" s="1" t="str">
        <f t="shared" si="391"/>
        <v>High</v>
      </c>
    </row>
    <row r="6220" spans="1:25" x14ac:dyDescent="0.2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 t="shared" si="388"/>
        <v>0</v>
      </c>
      <c r="W6220">
        <f t="shared" si="389"/>
        <v>1</v>
      </c>
      <c r="X6220" t="str">
        <f t="shared" si="390"/>
        <v>49+ Months</v>
      </c>
      <c r="Y6220" s="1" t="str">
        <f t="shared" si="391"/>
        <v>Medium</v>
      </c>
    </row>
    <row r="6221" spans="1:25" x14ac:dyDescent="0.2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 t="shared" si="388"/>
        <v>1</v>
      </c>
      <c r="W6221">
        <f t="shared" si="389"/>
        <v>0</v>
      </c>
      <c r="X6221" t="str">
        <f t="shared" si="390"/>
        <v>0-12 Months</v>
      </c>
      <c r="Y6221" s="1" t="str">
        <f t="shared" si="391"/>
        <v>Low</v>
      </c>
    </row>
    <row r="6222" spans="1:25" x14ac:dyDescent="0.2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 t="shared" si="388"/>
        <v>0</v>
      </c>
      <c r="W6222">
        <f t="shared" si="389"/>
        <v>1</v>
      </c>
      <c r="X6222" t="str">
        <f t="shared" si="390"/>
        <v>0-12 Months</v>
      </c>
      <c r="Y6222" s="1" t="str">
        <f t="shared" si="391"/>
        <v>Medium</v>
      </c>
    </row>
    <row r="6223" spans="1:25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 t="shared" si="388"/>
        <v>0</v>
      </c>
      <c r="W6223">
        <f t="shared" si="389"/>
        <v>1</v>
      </c>
      <c r="X6223" t="str">
        <f t="shared" si="390"/>
        <v>25-48 Months</v>
      </c>
      <c r="Y6223" s="1" t="str">
        <f t="shared" si="391"/>
        <v>Low</v>
      </c>
    </row>
    <row r="6224" spans="1:25" x14ac:dyDescent="0.2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 t="shared" si="388"/>
        <v>0</v>
      </c>
      <c r="W6224">
        <f t="shared" si="389"/>
        <v>1</v>
      </c>
      <c r="X6224" t="str">
        <f t="shared" si="390"/>
        <v>49+ Months</v>
      </c>
      <c r="Y6224" s="1" t="str">
        <f t="shared" si="391"/>
        <v>High</v>
      </c>
    </row>
    <row r="6225" spans="1:25" x14ac:dyDescent="0.2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 t="shared" si="388"/>
        <v>1</v>
      </c>
      <c r="W6225">
        <f t="shared" si="389"/>
        <v>0</v>
      </c>
      <c r="X6225" t="str">
        <f t="shared" si="390"/>
        <v>0-12 Months</v>
      </c>
      <c r="Y6225" s="1" t="str">
        <f t="shared" si="391"/>
        <v>Medium</v>
      </c>
    </row>
    <row r="6226" spans="1:25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 t="shared" si="388"/>
        <v>0</v>
      </c>
      <c r="W6226">
        <f t="shared" si="389"/>
        <v>1</v>
      </c>
      <c r="X6226" t="str">
        <f t="shared" si="390"/>
        <v>49+ Months</v>
      </c>
      <c r="Y6226" s="1" t="str">
        <f t="shared" si="391"/>
        <v>High</v>
      </c>
    </row>
    <row r="6227" spans="1:25" x14ac:dyDescent="0.2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 t="shared" si="388"/>
        <v>0</v>
      </c>
      <c r="W6227">
        <f t="shared" si="389"/>
        <v>1</v>
      </c>
      <c r="X6227" t="str">
        <f t="shared" si="390"/>
        <v>49+ Months</v>
      </c>
      <c r="Y6227" s="1" t="str">
        <f t="shared" si="391"/>
        <v>High</v>
      </c>
    </row>
    <row r="6228" spans="1:25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 t="shared" si="388"/>
        <v>0</v>
      </c>
      <c r="W6228">
        <f t="shared" si="389"/>
        <v>1</v>
      </c>
      <c r="X6228" t="str">
        <f t="shared" si="390"/>
        <v>49+ Months</v>
      </c>
      <c r="Y6228" s="1" t="str">
        <f t="shared" si="391"/>
        <v>Low</v>
      </c>
    </row>
    <row r="6229" spans="1:25" x14ac:dyDescent="0.2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 t="shared" si="388"/>
        <v>1</v>
      </c>
      <c r="W6229">
        <f t="shared" si="389"/>
        <v>0</v>
      </c>
      <c r="X6229" t="str">
        <f t="shared" si="390"/>
        <v>0-12 Months</v>
      </c>
      <c r="Y6229" s="1" t="str">
        <f t="shared" si="391"/>
        <v>Low</v>
      </c>
    </row>
    <row r="6230" spans="1:25" x14ac:dyDescent="0.2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 t="shared" si="388"/>
        <v>0</v>
      </c>
      <c r="W6230">
        <f t="shared" si="389"/>
        <v>1</v>
      </c>
      <c r="X6230" t="str">
        <f t="shared" si="390"/>
        <v>49+ Months</v>
      </c>
      <c r="Y6230" s="1" t="str">
        <f t="shared" si="391"/>
        <v>Medium</v>
      </c>
    </row>
    <row r="6231" spans="1:25" x14ac:dyDescent="0.2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 t="shared" si="388"/>
        <v>0</v>
      </c>
      <c r="W6231">
        <f t="shared" si="389"/>
        <v>1</v>
      </c>
      <c r="X6231" t="str">
        <f t="shared" si="390"/>
        <v>49+ Months</v>
      </c>
      <c r="Y6231" s="1" t="str">
        <f t="shared" si="391"/>
        <v>High</v>
      </c>
    </row>
    <row r="6232" spans="1:25" x14ac:dyDescent="0.2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 t="shared" si="388"/>
        <v>0</v>
      </c>
      <c r="W6232">
        <f t="shared" si="389"/>
        <v>1</v>
      </c>
      <c r="X6232" t="str">
        <f t="shared" si="390"/>
        <v>0-12 Months</v>
      </c>
      <c r="Y6232" s="1" t="str">
        <f t="shared" si="391"/>
        <v>Low</v>
      </c>
    </row>
    <row r="6233" spans="1:25" x14ac:dyDescent="0.2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 t="shared" si="388"/>
        <v>1</v>
      </c>
      <c r="W6233">
        <f t="shared" si="389"/>
        <v>0</v>
      </c>
      <c r="X6233" t="str">
        <f t="shared" si="390"/>
        <v>0-12 Months</v>
      </c>
      <c r="Y6233" s="1" t="str">
        <f t="shared" si="391"/>
        <v>Medium</v>
      </c>
    </row>
    <row r="6234" spans="1:25" x14ac:dyDescent="0.2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 t="shared" si="388"/>
        <v>1</v>
      </c>
      <c r="W6234">
        <f t="shared" si="389"/>
        <v>0</v>
      </c>
      <c r="X6234" t="str">
        <f t="shared" si="390"/>
        <v>0-12 Months</v>
      </c>
      <c r="Y6234" s="1" t="str">
        <f t="shared" si="391"/>
        <v>High</v>
      </c>
    </row>
    <row r="6235" spans="1:25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 t="shared" si="388"/>
        <v>0</v>
      </c>
      <c r="W6235">
        <f t="shared" si="389"/>
        <v>1</v>
      </c>
      <c r="X6235" t="str">
        <f t="shared" si="390"/>
        <v>0-12 Months</v>
      </c>
      <c r="Y6235" s="1" t="str">
        <f t="shared" si="391"/>
        <v>Low</v>
      </c>
    </row>
    <row r="6236" spans="1:25" x14ac:dyDescent="0.2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 t="shared" si="388"/>
        <v>0</v>
      </c>
      <c r="W6236">
        <f t="shared" si="389"/>
        <v>1</v>
      </c>
      <c r="X6236" t="str">
        <f t="shared" si="390"/>
        <v>49+ Months</v>
      </c>
      <c r="Y6236" s="1" t="str">
        <f t="shared" si="391"/>
        <v>Low</v>
      </c>
    </row>
    <row r="6237" spans="1:25" x14ac:dyDescent="0.2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 t="shared" si="388"/>
        <v>1</v>
      </c>
      <c r="W6237">
        <f t="shared" si="389"/>
        <v>0</v>
      </c>
      <c r="X6237" t="str">
        <f t="shared" si="390"/>
        <v>13-24 Months</v>
      </c>
      <c r="Y6237" s="1" t="str">
        <f t="shared" si="391"/>
        <v>Low</v>
      </c>
    </row>
    <row r="6238" spans="1:25" x14ac:dyDescent="0.2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 t="shared" si="388"/>
        <v>0</v>
      </c>
      <c r="W6238">
        <f t="shared" si="389"/>
        <v>1</v>
      </c>
      <c r="X6238" t="str">
        <f t="shared" si="390"/>
        <v>25-48 Months</v>
      </c>
      <c r="Y6238" s="1" t="str">
        <f t="shared" si="391"/>
        <v>High</v>
      </c>
    </row>
    <row r="6239" spans="1:25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 t="shared" si="388"/>
        <v>1</v>
      </c>
      <c r="W6239">
        <f t="shared" si="389"/>
        <v>0</v>
      </c>
      <c r="X6239" t="str">
        <f t="shared" si="390"/>
        <v>0-12 Months</v>
      </c>
      <c r="Y6239" s="1" t="str">
        <f t="shared" si="391"/>
        <v>Medium</v>
      </c>
    </row>
    <row r="6240" spans="1:25" x14ac:dyDescent="0.2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 t="shared" si="388"/>
        <v>0</v>
      </c>
      <c r="W6240">
        <f t="shared" si="389"/>
        <v>1</v>
      </c>
      <c r="X6240" t="str">
        <f t="shared" si="390"/>
        <v>49+ Months</v>
      </c>
      <c r="Y6240" s="1" t="str">
        <f t="shared" si="391"/>
        <v>Medium</v>
      </c>
    </row>
    <row r="6241" spans="1:25" x14ac:dyDescent="0.2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 t="shared" si="388"/>
        <v>0</v>
      </c>
      <c r="W6241">
        <f t="shared" si="389"/>
        <v>1</v>
      </c>
      <c r="X6241" t="str">
        <f t="shared" si="390"/>
        <v>49+ Months</v>
      </c>
      <c r="Y6241" s="1" t="str">
        <f t="shared" si="391"/>
        <v>High</v>
      </c>
    </row>
    <row r="6242" spans="1:25" x14ac:dyDescent="0.2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 t="shared" si="388"/>
        <v>1</v>
      </c>
      <c r="W6242">
        <f t="shared" si="389"/>
        <v>0</v>
      </c>
      <c r="X6242" t="str">
        <f t="shared" si="390"/>
        <v>0-12 Months</v>
      </c>
      <c r="Y6242" s="1" t="str">
        <f t="shared" si="391"/>
        <v>High</v>
      </c>
    </row>
    <row r="6243" spans="1:25" x14ac:dyDescent="0.2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 t="shared" si="388"/>
        <v>1</v>
      </c>
      <c r="W6243">
        <f t="shared" si="389"/>
        <v>0</v>
      </c>
      <c r="X6243" t="str">
        <f t="shared" si="390"/>
        <v>0-12 Months</v>
      </c>
      <c r="Y6243" s="1" t="str">
        <f t="shared" si="391"/>
        <v>Low</v>
      </c>
    </row>
    <row r="6244" spans="1:25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 t="shared" si="388"/>
        <v>0</v>
      </c>
      <c r="W6244">
        <f t="shared" si="389"/>
        <v>1</v>
      </c>
      <c r="X6244" t="str">
        <f t="shared" si="390"/>
        <v>49+ Months</v>
      </c>
      <c r="Y6244" s="1" t="str">
        <f t="shared" si="391"/>
        <v>High</v>
      </c>
    </row>
    <row r="6245" spans="1:25" x14ac:dyDescent="0.2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 t="shared" si="388"/>
        <v>0</v>
      </c>
      <c r="W6245">
        <f t="shared" si="389"/>
        <v>1</v>
      </c>
      <c r="X6245" t="str">
        <f t="shared" si="390"/>
        <v>49+ Months</v>
      </c>
      <c r="Y6245" s="1" t="str">
        <f t="shared" si="391"/>
        <v>High</v>
      </c>
    </row>
    <row r="6246" spans="1:25" x14ac:dyDescent="0.2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 t="shared" si="388"/>
        <v>0</v>
      </c>
      <c r="W6246">
        <f t="shared" si="389"/>
        <v>1</v>
      </c>
      <c r="X6246" t="str">
        <f t="shared" si="390"/>
        <v>49+ Months</v>
      </c>
      <c r="Y6246" s="1" t="str">
        <f t="shared" si="391"/>
        <v>High</v>
      </c>
    </row>
    <row r="6247" spans="1:25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 t="shared" si="388"/>
        <v>0</v>
      </c>
      <c r="W6247">
        <f t="shared" si="389"/>
        <v>1</v>
      </c>
      <c r="X6247" t="str">
        <f t="shared" si="390"/>
        <v>49+ Months</v>
      </c>
      <c r="Y6247" s="1" t="str">
        <f t="shared" si="391"/>
        <v>High</v>
      </c>
    </row>
    <row r="6248" spans="1:25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 t="shared" si="388"/>
        <v>0</v>
      </c>
      <c r="W6248">
        <f t="shared" si="389"/>
        <v>1</v>
      </c>
      <c r="X6248" t="str">
        <f t="shared" si="390"/>
        <v>49+ Months</v>
      </c>
      <c r="Y6248" s="1" t="str">
        <f t="shared" si="391"/>
        <v>Medium</v>
      </c>
    </row>
    <row r="6249" spans="1:25" x14ac:dyDescent="0.2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 t="shared" si="388"/>
        <v>0</v>
      </c>
      <c r="W6249">
        <f t="shared" si="389"/>
        <v>1</v>
      </c>
      <c r="X6249" t="str">
        <f t="shared" si="390"/>
        <v>49+ Months</v>
      </c>
      <c r="Y6249" s="1" t="str">
        <f t="shared" si="391"/>
        <v>High</v>
      </c>
    </row>
    <row r="6250" spans="1:25" x14ac:dyDescent="0.2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 t="shared" si="388"/>
        <v>0</v>
      </c>
      <c r="W6250">
        <f t="shared" si="389"/>
        <v>1</v>
      </c>
      <c r="X6250" t="str">
        <f t="shared" si="390"/>
        <v>49+ Months</v>
      </c>
      <c r="Y6250" s="1" t="str">
        <f t="shared" si="391"/>
        <v>Medium</v>
      </c>
    </row>
    <row r="6251" spans="1:25" x14ac:dyDescent="0.2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 t="shared" si="388"/>
        <v>0</v>
      </c>
      <c r="W6251">
        <f t="shared" si="389"/>
        <v>1</v>
      </c>
      <c r="X6251" t="str">
        <f t="shared" si="390"/>
        <v>0-12 Months</v>
      </c>
      <c r="Y6251" s="1" t="str">
        <f t="shared" si="391"/>
        <v>Medium</v>
      </c>
    </row>
    <row r="6252" spans="1:25" x14ac:dyDescent="0.2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 t="shared" si="388"/>
        <v>0</v>
      </c>
      <c r="W6252">
        <f t="shared" si="389"/>
        <v>1</v>
      </c>
      <c r="X6252" t="str">
        <f t="shared" si="390"/>
        <v>49+ Months</v>
      </c>
      <c r="Y6252" s="1" t="str">
        <f t="shared" si="391"/>
        <v>High</v>
      </c>
    </row>
    <row r="6253" spans="1:25" x14ac:dyDescent="0.2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 t="shared" si="388"/>
        <v>0</v>
      </c>
      <c r="W6253">
        <f t="shared" si="389"/>
        <v>1</v>
      </c>
      <c r="X6253" t="str">
        <f t="shared" si="390"/>
        <v>0-12 Months</v>
      </c>
      <c r="Y6253" s="1" t="str">
        <f t="shared" si="391"/>
        <v>Low</v>
      </c>
    </row>
    <row r="6254" spans="1:25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 t="shared" si="388"/>
        <v>0</v>
      </c>
      <c r="W6254">
        <f t="shared" si="389"/>
        <v>1</v>
      </c>
      <c r="X6254" t="str">
        <f t="shared" si="390"/>
        <v>49+ Months</v>
      </c>
      <c r="Y6254" s="1" t="str">
        <f t="shared" si="391"/>
        <v>Low</v>
      </c>
    </row>
    <row r="6255" spans="1:25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 t="shared" si="388"/>
        <v>0</v>
      </c>
      <c r="W6255">
        <f t="shared" si="389"/>
        <v>1</v>
      </c>
      <c r="X6255" t="str">
        <f t="shared" si="390"/>
        <v>49+ Months</v>
      </c>
      <c r="Y6255" s="1" t="str">
        <f t="shared" si="391"/>
        <v>Low</v>
      </c>
    </row>
    <row r="6256" spans="1:25" x14ac:dyDescent="0.2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 t="shared" si="388"/>
        <v>0</v>
      </c>
      <c r="W6256">
        <f t="shared" si="389"/>
        <v>1</v>
      </c>
      <c r="X6256" t="str">
        <f t="shared" si="390"/>
        <v>49+ Months</v>
      </c>
      <c r="Y6256" s="1" t="str">
        <f t="shared" si="391"/>
        <v>High</v>
      </c>
    </row>
    <row r="6257" spans="1:25" x14ac:dyDescent="0.2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 t="shared" si="388"/>
        <v>0</v>
      </c>
      <c r="W6257">
        <f t="shared" si="389"/>
        <v>1</v>
      </c>
      <c r="X6257" t="str">
        <f t="shared" si="390"/>
        <v>49+ Months</v>
      </c>
      <c r="Y6257" s="1" t="str">
        <f t="shared" si="391"/>
        <v>High</v>
      </c>
    </row>
    <row r="6258" spans="1:25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 t="shared" si="388"/>
        <v>1</v>
      </c>
      <c r="W6258">
        <f t="shared" si="389"/>
        <v>0</v>
      </c>
      <c r="X6258" t="str">
        <f t="shared" si="390"/>
        <v>0-12 Months</v>
      </c>
      <c r="Y6258" s="1" t="str">
        <f t="shared" si="391"/>
        <v>Low</v>
      </c>
    </row>
    <row r="6259" spans="1:25" x14ac:dyDescent="0.2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 t="shared" si="388"/>
        <v>1</v>
      </c>
      <c r="W6259">
        <f t="shared" si="389"/>
        <v>0</v>
      </c>
      <c r="X6259" t="str">
        <f t="shared" si="390"/>
        <v>0-12 Months</v>
      </c>
      <c r="Y6259" s="1" t="str">
        <f t="shared" si="391"/>
        <v>Medium</v>
      </c>
    </row>
    <row r="6260" spans="1:25" x14ac:dyDescent="0.2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 t="shared" si="388"/>
        <v>0</v>
      </c>
      <c r="W6260">
        <f t="shared" si="389"/>
        <v>1</v>
      </c>
      <c r="X6260" t="str">
        <f t="shared" si="390"/>
        <v>0-12 Months</v>
      </c>
      <c r="Y6260" s="1" t="str">
        <f t="shared" si="391"/>
        <v>Low</v>
      </c>
    </row>
    <row r="6261" spans="1:25" x14ac:dyDescent="0.2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 t="shared" si="388"/>
        <v>0</v>
      </c>
      <c r="W6261">
        <f t="shared" si="389"/>
        <v>1</v>
      </c>
      <c r="X6261" t="str">
        <f t="shared" si="390"/>
        <v>49+ Months</v>
      </c>
      <c r="Y6261" s="1" t="str">
        <f t="shared" si="391"/>
        <v>Medium</v>
      </c>
    </row>
    <row r="6262" spans="1:25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 t="shared" si="388"/>
        <v>0</v>
      </c>
      <c r="W6262">
        <f t="shared" si="389"/>
        <v>1</v>
      </c>
      <c r="X6262" t="str">
        <f t="shared" si="390"/>
        <v>13-24 Months</v>
      </c>
      <c r="Y6262" s="1" t="str">
        <f t="shared" si="391"/>
        <v>Low</v>
      </c>
    </row>
    <row r="6263" spans="1:25" x14ac:dyDescent="0.2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 t="shared" si="388"/>
        <v>0</v>
      </c>
      <c r="W6263">
        <f t="shared" si="389"/>
        <v>1</v>
      </c>
      <c r="X6263" t="str">
        <f t="shared" si="390"/>
        <v>49+ Months</v>
      </c>
      <c r="Y6263" s="1" t="str">
        <f t="shared" si="391"/>
        <v>Low</v>
      </c>
    </row>
    <row r="6264" spans="1:25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 t="shared" si="388"/>
        <v>0</v>
      </c>
      <c r="W6264">
        <f t="shared" si="389"/>
        <v>1</v>
      </c>
      <c r="X6264" t="str">
        <f t="shared" si="390"/>
        <v>25-48 Months</v>
      </c>
      <c r="Y6264" s="1" t="str">
        <f t="shared" si="391"/>
        <v>High</v>
      </c>
    </row>
    <row r="6265" spans="1:25" x14ac:dyDescent="0.2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 t="shared" si="388"/>
        <v>0</v>
      </c>
      <c r="W6265">
        <f t="shared" si="389"/>
        <v>1</v>
      </c>
      <c r="X6265" t="str">
        <f t="shared" si="390"/>
        <v>25-48 Months</v>
      </c>
      <c r="Y6265" s="1" t="str">
        <f t="shared" si="391"/>
        <v>Medium</v>
      </c>
    </row>
    <row r="6266" spans="1:25" x14ac:dyDescent="0.2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 t="shared" si="388"/>
        <v>0</v>
      </c>
      <c r="W6266">
        <f t="shared" si="389"/>
        <v>1</v>
      </c>
      <c r="X6266" t="str">
        <f t="shared" si="390"/>
        <v>25-48 Months</v>
      </c>
      <c r="Y6266" s="1" t="str">
        <f t="shared" si="391"/>
        <v>High</v>
      </c>
    </row>
    <row r="6267" spans="1:25" x14ac:dyDescent="0.2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 t="shared" si="388"/>
        <v>0</v>
      </c>
      <c r="W6267">
        <f t="shared" si="389"/>
        <v>1</v>
      </c>
      <c r="X6267" t="str">
        <f t="shared" si="390"/>
        <v>0-12 Months</v>
      </c>
      <c r="Y6267" s="1" t="str">
        <f t="shared" si="391"/>
        <v>Low</v>
      </c>
    </row>
    <row r="6268" spans="1:25" x14ac:dyDescent="0.2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 t="shared" si="388"/>
        <v>1</v>
      </c>
      <c r="W6268">
        <f t="shared" si="389"/>
        <v>0</v>
      </c>
      <c r="X6268" t="str">
        <f t="shared" si="390"/>
        <v>25-48 Months</v>
      </c>
      <c r="Y6268" s="1" t="str">
        <f t="shared" si="391"/>
        <v>High</v>
      </c>
    </row>
    <row r="6269" spans="1:25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 t="shared" si="388"/>
        <v>1</v>
      </c>
      <c r="W6269">
        <f t="shared" si="389"/>
        <v>0</v>
      </c>
      <c r="X6269" t="str">
        <f t="shared" si="390"/>
        <v>0-12 Months</v>
      </c>
      <c r="Y6269" s="1" t="str">
        <f t="shared" si="391"/>
        <v>Medium</v>
      </c>
    </row>
    <row r="6270" spans="1:25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 t="shared" si="388"/>
        <v>0</v>
      </c>
      <c r="W6270">
        <f t="shared" si="389"/>
        <v>1</v>
      </c>
      <c r="X6270" t="str">
        <f t="shared" si="390"/>
        <v>13-24 Months</v>
      </c>
      <c r="Y6270" s="1" t="str">
        <f t="shared" si="391"/>
        <v>Low</v>
      </c>
    </row>
    <row r="6271" spans="1:25" x14ac:dyDescent="0.2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 t="shared" si="388"/>
        <v>0</v>
      </c>
      <c r="W6271">
        <f t="shared" si="389"/>
        <v>1</v>
      </c>
      <c r="X6271" t="str">
        <f t="shared" si="390"/>
        <v>25-48 Months</v>
      </c>
      <c r="Y6271" s="1" t="str">
        <f t="shared" si="391"/>
        <v>Low</v>
      </c>
    </row>
    <row r="6272" spans="1:25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 t="shared" si="388"/>
        <v>0</v>
      </c>
      <c r="W6272">
        <f t="shared" si="389"/>
        <v>1</v>
      </c>
      <c r="X6272" t="str">
        <f t="shared" si="390"/>
        <v>25-48 Months</v>
      </c>
      <c r="Y6272" s="1" t="str">
        <f t="shared" si="391"/>
        <v>Low</v>
      </c>
    </row>
    <row r="6273" spans="1:25" x14ac:dyDescent="0.2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 t="shared" si="388"/>
        <v>0</v>
      </c>
      <c r="W6273">
        <f t="shared" si="389"/>
        <v>1</v>
      </c>
      <c r="X6273" t="str">
        <f t="shared" si="390"/>
        <v>25-48 Months</v>
      </c>
      <c r="Y6273" s="1" t="str">
        <f t="shared" si="391"/>
        <v>High</v>
      </c>
    </row>
    <row r="6274" spans="1:25" x14ac:dyDescent="0.2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 t="shared" ref="V6274:V6337" si="392">IF(U6274="Yes",1,0)</f>
        <v>0</v>
      </c>
      <c r="W6274">
        <f t="shared" ref="W6274:W6337" si="393">IF(U6274="No",1,0)</f>
        <v>1</v>
      </c>
      <c r="X6274" t="str">
        <f t="shared" ref="X6274:X6337" si="394">IF(F6274&lt;=12,"0-12 Months",IF(F6274&lt;=24,"13-24 Months",IF(F6274&lt;=48,"25-48 Months","49+ Months")))</f>
        <v>49+ Months</v>
      </c>
      <c r="Y6274" s="1" t="str">
        <f t="shared" ref="Y6274:Y6337" si="395">IF(S6274&lt;50,"Low",IF(S6274&lt;80,"Medium","High"))</f>
        <v>Medium</v>
      </c>
    </row>
    <row r="6275" spans="1:25" x14ac:dyDescent="0.2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 t="shared" si="392"/>
        <v>1</v>
      </c>
      <c r="W6275">
        <f t="shared" si="393"/>
        <v>0</v>
      </c>
      <c r="X6275" t="str">
        <f t="shared" si="394"/>
        <v>0-12 Months</v>
      </c>
      <c r="Y6275" s="1" t="str">
        <f t="shared" si="395"/>
        <v>Medium</v>
      </c>
    </row>
    <row r="6276" spans="1:25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 t="shared" si="392"/>
        <v>0</v>
      </c>
      <c r="W6276">
        <f t="shared" si="393"/>
        <v>1</v>
      </c>
      <c r="X6276" t="str">
        <f t="shared" si="394"/>
        <v>49+ Months</v>
      </c>
      <c r="Y6276" s="1" t="str">
        <f t="shared" si="395"/>
        <v>High</v>
      </c>
    </row>
    <row r="6277" spans="1:25" x14ac:dyDescent="0.2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 t="shared" si="392"/>
        <v>0</v>
      </c>
      <c r="W6277">
        <f t="shared" si="393"/>
        <v>1</v>
      </c>
      <c r="X6277" t="str">
        <f t="shared" si="394"/>
        <v>49+ Months</v>
      </c>
      <c r="Y6277" s="1" t="str">
        <f t="shared" si="395"/>
        <v>Medium</v>
      </c>
    </row>
    <row r="6278" spans="1:25" x14ac:dyDescent="0.2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 t="shared" si="392"/>
        <v>0</v>
      </c>
      <c r="W6278">
        <f t="shared" si="393"/>
        <v>1</v>
      </c>
      <c r="X6278" t="str">
        <f t="shared" si="394"/>
        <v>13-24 Months</v>
      </c>
      <c r="Y6278" s="1" t="str">
        <f t="shared" si="395"/>
        <v>Low</v>
      </c>
    </row>
    <row r="6279" spans="1:25" x14ac:dyDescent="0.2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 t="shared" si="392"/>
        <v>1</v>
      </c>
      <c r="W6279">
        <f t="shared" si="393"/>
        <v>0</v>
      </c>
      <c r="X6279" t="str">
        <f t="shared" si="394"/>
        <v>0-12 Months</v>
      </c>
      <c r="Y6279" s="1" t="str">
        <f t="shared" si="395"/>
        <v>Low</v>
      </c>
    </row>
    <row r="6280" spans="1:25" x14ac:dyDescent="0.2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 t="shared" si="392"/>
        <v>0</v>
      </c>
      <c r="W6280">
        <f t="shared" si="393"/>
        <v>1</v>
      </c>
      <c r="X6280" t="str">
        <f t="shared" si="394"/>
        <v>49+ Months</v>
      </c>
      <c r="Y6280" s="1" t="str">
        <f t="shared" si="395"/>
        <v>High</v>
      </c>
    </row>
    <row r="6281" spans="1:25" x14ac:dyDescent="0.2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 t="shared" si="392"/>
        <v>0</v>
      </c>
      <c r="W6281">
        <f t="shared" si="393"/>
        <v>1</v>
      </c>
      <c r="X6281" t="str">
        <f t="shared" si="394"/>
        <v>13-24 Months</v>
      </c>
      <c r="Y6281" s="1" t="str">
        <f t="shared" si="395"/>
        <v>Low</v>
      </c>
    </row>
    <row r="6282" spans="1:25" x14ac:dyDescent="0.2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 t="shared" si="392"/>
        <v>0</v>
      </c>
      <c r="W6282">
        <f t="shared" si="393"/>
        <v>1</v>
      </c>
      <c r="X6282" t="str">
        <f t="shared" si="394"/>
        <v>13-24 Months</v>
      </c>
      <c r="Y6282" s="1" t="str">
        <f t="shared" si="395"/>
        <v>Low</v>
      </c>
    </row>
    <row r="6283" spans="1:25" x14ac:dyDescent="0.2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 t="shared" si="392"/>
        <v>0</v>
      </c>
      <c r="W6283">
        <f t="shared" si="393"/>
        <v>1</v>
      </c>
      <c r="X6283" t="str">
        <f t="shared" si="394"/>
        <v>0-12 Months</v>
      </c>
      <c r="Y6283" s="1" t="str">
        <f t="shared" si="395"/>
        <v>Low</v>
      </c>
    </row>
    <row r="6284" spans="1:25" x14ac:dyDescent="0.2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 t="shared" si="392"/>
        <v>0</v>
      </c>
      <c r="W6284">
        <f t="shared" si="393"/>
        <v>1</v>
      </c>
      <c r="X6284" t="str">
        <f t="shared" si="394"/>
        <v>0-12 Months</v>
      </c>
      <c r="Y6284" s="1" t="str">
        <f t="shared" si="395"/>
        <v>Low</v>
      </c>
    </row>
    <row r="6285" spans="1:25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 t="shared" si="392"/>
        <v>1</v>
      </c>
      <c r="W6285">
        <f t="shared" si="393"/>
        <v>0</v>
      </c>
      <c r="X6285" t="str">
        <f t="shared" si="394"/>
        <v>0-12 Months</v>
      </c>
      <c r="Y6285" s="1" t="str">
        <f t="shared" si="395"/>
        <v>High</v>
      </c>
    </row>
    <row r="6286" spans="1:25" x14ac:dyDescent="0.2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 t="shared" si="392"/>
        <v>0</v>
      </c>
      <c r="W6286">
        <f t="shared" si="393"/>
        <v>1</v>
      </c>
      <c r="X6286" t="str">
        <f t="shared" si="394"/>
        <v>13-24 Months</v>
      </c>
      <c r="Y6286" s="1" t="str">
        <f t="shared" si="395"/>
        <v>High</v>
      </c>
    </row>
    <row r="6287" spans="1:25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 t="shared" si="392"/>
        <v>0</v>
      </c>
      <c r="W6287">
        <f t="shared" si="393"/>
        <v>1</v>
      </c>
      <c r="X6287" t="str">
        <f t="shared" si="394"/>
        <v>25-48 Months</v>
      </c>
      <c r="Y6287" s="1" t="str">
        <f t="shared" si="395"/>
        <v>Medium</v>
      </c>
    </row>
    <row r="6288" spans="1:25" x14ac:dyDescent="0.2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 t="shared" si="392"/>
        <v>0</v>
      </c>
      <c r="W6288">
        <f t="shared" si="393"/>
        <v>1</v>
      </c>
      <c r="X6288" t="str">
        <f t="shared" si="394"/>
        <v>0-12 Months</v>
      </c>
      <c r="Y6288" s="1" t="str">
        <f t="shared" si="395"/>
        <v>Low</v>
      </c>
    </row>
    <row r="6289" spans="1:25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 t="shared" si="392"/>
        <v>1</v>
      </c>
      <c r="W6289">
        <f t="shared" si="393"/>
        <v>0</v>
      </c>
      <c r="X6289" t="str">
        <f t="shared" si="394"/>
        <v>25-48 Months</v>
      </c>
      <c r="Y6289" s="1" t="str">
        <f t="shared" si="395"/>
        <v>High</v>
      </c>
    </row>
    <row r="6290" spans="1:25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 t="shared" si="392"/>
        <v>0</v>
      </c>
      <c r="W6290">
        <f t="shared" si="393"/>
        <v>1</v>
      </c>
      <c r="X6290" t="str">
        <f t="shared" si="394"/>
        <v>0-12 Months</v>
      </c>
      <c r="Y6290" s="1" t="str">
        <f t="shared" si="395"/>
        <v>Medium</v>
      </c>
    </row>
    <row r="6291" spans="1:25" x14ac:dyDescent="0.2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 t="shared" si="392"/>
        <v>1</v>
      </c>
      <c r="W6291">
        <f t="shared" si="393"/>
        <v>0</v>
      </c>
      <c r="X6291" t="str">
        <f t="shared" si="394"/>
        <v>49+ Months</v>
      </c>
      <c r="Y6291" s="1" t="str">
        <f t="shared" si="395"/>
        <v>High</v>
      </c>
    </row>
    <row r="6292" spans="1:25" x14ac:dyDescent="0.2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 t="shared" si="392"/>
        <v>1</v>
      </c>
      <c r="W6292">
        <f t="shared" si="393"/>
        <v>0</v>
      </c>
      <c r="X6292" t="str">
        <f t="shared" si="394"/>
        <v>49+ Months</v>
      </c>
      <c r="Y6292" s="1" t="str">
        <f t="shared" si="395"/>
        <v>High</v>
      </c>
    </row>
    <row r="6293" spans="1:25" x14ac:dyDescent="0.2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 t="shared" si="392"/>
        <v>0</v>
      </c>
      <c r="W6293">
        <f t="shared" si="393"/>
        <v>1</v>
      </c>
      <c r="X6293" t="str">
        <f t="shared" si="394"/>
        <v>49+ Months</v>
      </c>
      <c r="Y6293" s="1" t="str">
        <f t="shared" si="395"/>
        <v>Medium</v>
      </c>
    </row>
    <row r="6294" spans="1:25" x14ac:dyDescent="0.2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 t="shared" si="392"/>
        <v>0</v>
      </c>
      <c r="W6294">
        <f t="shared" si="393"/>
        <v>1</v>
      </c>
      <c r="X6294" t="str">
        <f t="shared" si="394"/>
        <v>25-48 Months</v>
      </c>
      <c r="Y6294" s="1" t="str">
        <f t="shared" si="395"/>
        <v>High</v>
      </c>
    </row>
    <row r="6295" spans="1:25" x14ac:dyDescent="0.2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 t="shared" si="392"/>
        <v>0</v>
      </c>
      <c r="W6295">
        <f t="shared" si="393"/>
        <v>1</v>
      </c>
      <c r="X6295" t="str">
        <f t="shared" si="394"/>
        <v>13-24 Months</v>
      </c>
      <c r="Y6295" s="1" t="str">
        <f t="shared" si="395"/>
        <v>Low</v>
      </c>
    </row>
    <row r="6296" spans="1:25" x14ac:dyDescent="0.2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 t="shared" si="392"/>
        <v>1</v>
      </c>
      <c r="W6296">
        <f t="shared" si="393"/>
        <v>0</v>
      </c>
      <c r="X6296" t="str">
        <f t="shared" si="394"/>
        <v>0-12 Months</v>
      </c>
      <c r="Y6296" s="1" t="str">
        <f t="shared" si="395"/>
        <v>Low</v>
      </c>
    </row>
    <row r="6297" spans="1:25" x14ac:dyDescent="0.2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 t="shared" si="392"/>
        <v>0</v>
      </c>
      <c r="W6297">
        <f t="shared" si="393"/>
        <v>1</v>
      </c>
      <c r="X6297" t="str">
        <f t="shared" si="394"/>
        <v>25-48 Months</v>
      </c>
      <c r="Y6297" s="1" t="str">
        <f t="shared" si="395"/>
        <v>Low</v>
      </c>
    </row>
    <row r="6298" spans="1:25" x14ac:dyDescent="0.2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 t="shared" si="392"/>
        <v>0</v>
      </c>
      <c r="W6298">
        <f t="shared" si="393"/>
        <v>1</v>
      </c>
      <c r="X6298" t="str">
        <f t="shared" si="394"/>
        <v>25-48 Months</v>
      </c>
      <c r="Y6298" s="1" t="str">
        <f t="shared" si="395"/>
        <v>Medium</v>
      </c>
    </row>
    <row r="6299" spans="1:25" x14ac:dyDescent="0.2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 t="shared" si="392"/>
        <v>0</v>
      </c>
      <c r="W6299">
        <f t="shared" si="393"/>
        <v>1</v>
      </c>
      <c r="X6299" t="str">
        <f t="shared" si="394"/>
        <v>49+ Months</v>
      </c>
      <c r="Y6299" s="1" t="str">
        <f t="shared" si="395"/>
        <v>High</v>
      </c>
    </row>
    <row r="6300" spans="1:25" x14ac:dyDescent="0.2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 t="shared" si="392"/>
        <v>0</v>
      </c>
      <c r="W6300">
        <f t="shared" si="393"/>
        <v>1</v>
      </c>
      <c r="X6300" t="str">
        <f t="shared" si="394"/>
        <v>25-48 Months</v>
      </c>
      <c r="Y6300" s="1" t="str">
        <f t="shared" si="395"/>
        <v>High</v>
      </c>
    </row>
    <row r="6301" spans="1:25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 t="shared" si="392"/>
        <v>0</v>
      </c>
      <c r="W6301">
        <f t="shared" si="393"/>
        <v>1</v>
      </c>
      <c r="X6301" t="str">
        <f t="shared" si="394"/>
        <v>49+ Months</v>
      </c>
      <c r="Y6301" s="1" t="str">
        <f t="shared" si="395"/>
        <v>High</v>
      </c>
    </row>
    <row r="6302" spans="1:25" x14ac:dyDescent="0.2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 t="shared" si="392"/>
        <v>0</v>
      </c>
      <c r="W6302">
        <f t="shared" si="393"/>
        <v>1</v>
      </c>
      <c r="X6302" t="str">
        <f t="shared" si="394"/>
        <v>49+ Months</v>
      </c>
      <c r="Y6302" s="1" t="str">
        <f t="shared" si="395"/>
        <v>Low</v>
      </c>
    </row>
    <row r="6303" spans="1:25" x14ac:dyDescent="0.2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 t="shared" si="392"/>
        <v>0</v>
      </c>
      <c r="W6303">
        <f t="shared" si="393"/>
        <v>1</v>
      </c>
      <c r="X6303" t="str">
        <f t="shared" si="394"/>
        <v>49+ Months</v>
      </c>
      <c r="Y6303" s="1" t="str">
        <f t="shared" si="395"/>
        <v>Medium</v>
      </c>
    </row>
    <row r="6304" spans="1:25" x14ac:dyDescent="0.2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 t="shared" si="392"/>
        <v>1</v>
      </c>
      <c r="W6304">
        <f t="shared" si="393"/>
        <v>0</v>
      </c>
      <c r="X6304" t="str">
        <f t="shared" si="394"/>
        <v>0-12 Months</v>
      </c>
      <c r="Y6304" s="1" t="str">
        <f t="shared" si="395"/>
        <v>Medium</v>
      </c>
    </row>
    <row r="6305" spans="1:25" x14ac:dyDescent="0.2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 t="shared" si="392"/>
        <v>0</v>
      </c>
      <c r="W6305">
        <f t="shared" si="393"/>
        <v>1</v>
      </c>
      <c r="X6305" t="str">
        <f t="shared" si="394"/>
        <v>49+ Months</v>
      </c>
      <c r="Y6305" s="1" t="str">
        <f t="shared" si="395"/>
        <v>High</v>
      </c>
    </row>
    <row r="6306" spans="1:25" x14ac:dyDescent="0.2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 t="shared" si="392"/>
        <v>1</v>
      </c>
      <c r="W6306">
        <f t="shared" si="393"/>
        <v>0</v>
      </c>
      <c r="X6306" t="str">
        <f t="shared" si="394"/>
        <v>0-12 Months</v>
      </c>
      <c r="Y6306" s="1" t="str">
        <f t="shared" si="395"/>
        <v>Medium</v>
      </c>
    </row>
    <row r="6307" spans="1:25" x14ac:dyDescent="0.2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 t="shared" si="392"/>
        <v>1</v>
      </c>
      <c r="W6307">
        <f t="shared" si="393"/>
        <v>0</v>
      </c>
      <c r="X6307" t="str">
        <f t="shared" si="394"/>
        <v>25-48 Months</v>
      </c>
      <c r="Y6307" s="1" t="str">
        <f t="shared" si="395"/>
        <v>High</v>
      </c>
    </row>
    <row r="6308" spans="1:25" x14ac:dyDescent="0.2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 t="shared" si="392"/>
        <v>0</v>
      </c>
      <c r="W6308">
        <f t="shared" si="393"/>
        <v>1</v>
      </c>
      <c r="X6308" t="str">
        <f t="shared" si="394"/>
        <v>49+ Months</v>
      </c>
      <c r="Y6308" s="1" t="str">
        <f t="shared" si="395"/>
        <v>High</v>
      </c>
    </row>
    <row r="6309" spans="1:25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 t="shared" si="392"/>
        <v>0</v>
      </c>
      <c r="W6309">
        <f t="shared" si="393"/>
        <v>1</v>
      </c>
      <c r="X6309" t="str">
        <f t="shared" si="394"/>
        <v>25-48 Months</v>
      </c>
      <c r="Y6309" s="1" t="str">
        <f t="shared" si="395"/>
        <v>Low</v>
      </c>
    </row>
    <row r="6310" spans="1:25" x14ac:dyDescent="0.2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 t="shared" si="392"/>
        <v>0</v>
      </c>
      <c r="W6310">
        <f t="shared" si="393"/>
        <v>1</v>
      </c>
      <c r="X6310" t="str">
        <f t="shared" si="394"/>
        <v>0-12 Months</v>
      </c>
      <c r="Y6310" s="1" t="str">
        <f t="shared" si="395"/>
        <v>Medium</v>
      </c>
    </row>
    <row r="6311" spans="1:25" x14ac:dyDescent="0.2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 t="shared" si="392"/>
        <v>0</v>
      </c>
      <c r="W6311">
        <f t="shared" si="393"/>
        <v>1</v>
      </c>
      <c r="X6311" t="str">
        <f t="shared" si="394"/>
        <v>49+ Months</v>
      </c>
      <c r="Y6311" s="1" t="str">
        <f t="shared" si="395"/>
        <v>Low</v>
      </c>
    </row>
    <row r="6312" spans="1:25" x14ac:dyDescent="0.2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 t="shared" si="392"/>
        <v>0</v>
      </c>
      <c r="W6312">
        <f t="shared" si="393"/>
        <v>1</v>
      </c>
      <c r="X6312" t="str">
        <f t="shared" si="394"/>
        <v>49+ Months</v>
      </c>
      <c r="Y6312" s="1" t="str">
        <f t="shared" si="395"/>
        <v>Low</v>
      </c>
    </row>
    <row r="6313" spans="1:25" x14ac:dyDescent="0.2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 t="shared" si="392"/>
        <v>0</v>
      </c>
      <c r="W6313">
        <f t="shared" si="393"/>
        <v>1</v>
      </c>
      <c r="X6313" t="str">
        <f t="shared" si="394"/>
        <v>49+ Months</v>
      </c>
      <c r="Y6313" s="1" t="str">
        <f t="shared" si="395"/>
        <v>High</v>
      </c>
    </row>
    <row r="6314" spans="1:25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 t="shared" si="392"/>
        <v>1</v>
      </c>
      <c r="W6314">
        <f t="shared" si="393"/>
        <v>0</v>
      </c>
      <c r="X6314" t="str">
        <f t="shared" si="394"/>
        <v>49+ Months</v>
      </c>
      <c r="Y6314" s="1" t="str">
        <f t="shared" si="395"/>
        <v>High</v>
      </c>
    </row>
    <row r="6315" spans="1:25" x14ac:dyDescent="0.2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 t="shared" si="392"/>
        <v>1</v>
      </c>
      <c r="W6315">
        <f t="shared" si="393"/>
        <v>0</v>
      </c>
      <c r="X6315" t="str">
        <f t="shared" si="394"/>
        <v>0-12 Months</v>
      </c>
      <c r="Y6315" s="1" t="str">
        <f t="shared" si="395"/>
        <v>High</v>
      </c>
    </row>
    <row r="6316" spans="1:25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 t="shared" si="392"/>
        <v>0</v>
      </c>
      <c r="W6316">
        <f t="shared" si="393"/>
        <v>1</v>
      </c>
      <c r="X6316" t="str">
        <f t="shared" si="394"/>
        <v>0-12 Months</v>
      </c>
      <c r="Y6316" s="1" t="str">
        <f t="shared" si="395"/>
        <v>Medium</v>
      </c>
    </row>
    <row r="6317" spans="1:25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 t="shared" si="392"/>
        <v>0</v>
      </c>
      <c r="W6317">
        <f t="shared" si="393"/>
        <v>1</v>
      </c>
      <c r="X6317" t="str">
        <f t="shared" si="394"/>
        <v>25-48 Months</v>
      </c>
      <c r="Y6317" s="1" t="str">
        <f t="shared" si="395"/>
        <v>Medium</v>
      </c>
    </row>
    <row r="6318" spans="1:25" x14ac:dyDescent="0.2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 t="shared" si="392"/>
        <v>0</v>
      </c>
      <c r="W6318">
        <f t="shared" si="393"/>
        <v>1</v>
      </c>
      <c r="X6318" t="str">
        <f t="shared" si="394"/>
        <v>49+ Months</v>
      </c>
      <c r="Y6318" s="1" t="str">
        <f t="shared" si="395"/>
        <v>Low</v>
      </c>
    </row>
    <row r="6319" spans="1:25" x14ac:dyDescent="0.2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 t="shared" si="392"/>
        <v>1</v>
      </c>
      <c r="W6319">
        <f t="shared" si="393"/>
        <v>0</v>
      </c>
      <c r="X6319" t="str">
        <f t="shared" si="394"/>
        <v>0-12 Months</v>
      </c>
      <c r="Y6319" s="1" t="str">
        <f t="shared" si="395"/>
        <v>Medium</v>
      </c>
    </row>
    <row r="6320" spans="1:25" x14ac:dyDescent="0.2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 t="shared" si="392"/>
        <v>0</v>
      </c>
      <c r="W6320">
        <f t="shared" si="393"/>
        <v>1</v>
      </c>
      <c r="X6320" t="str">
        <f t="shared" si="394"/>
        <v>0-12 Months</v>
      </c>
      <c r="Y6320" s="1" t="str">
        <f t="shared" si="395"/>
        <v>Low</v>
      </c>
    </row>
    <row r="6321" spans="1:25" x14ac:dyDescent="0.2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 t="shared" si="392"/>
        <v>0</v>
      </c>
      <c r="W6321">
        <f t="shared" si="393"/>
        <v>1</v>
      </c>
      <c r="X6321" t="str">
        <f t="shared" si="394"/>
        <v>49+ Months</v>
      </c>
      <c r="Y6321" s="1" t="str">
        <f t="shared" si="395"/>
        <v>Low</v>
      </c>
    </row>
    <row r="6322" spans="1:25" x14ac:dyDescent="0.2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 t="shared" si="392"/>
        <v>0</v>
      </c>
      <c r="W6322">
        <f t="shared" si="393"/>
        <v>1</v>
      </c>
      <c r="X6322" t="str">
        <f t="shared" si="394"/>
        <v>25-48 Months</v>
      </c>
      <c r="Y6322" s="1" t="str">
        <f t="shared" si="395"/>
        <v>Medium</v>
      </c>
    </row>
    <row r="6323" spans="1:25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 t="shared" si="392"/>
        <v>1</v>
      </c>
      <c r="W6323">
        <f t="shared" si="393"/>
        <v>0</v>
      </c>
      <c r="X6323" t="str">
        <f t="shared" si="394"/>
        <v>25-48 Months</v>
      </c>
      <c r="Y6323" s="1" t="str">
        <f t="shared" si="395"/>
        <v>Low</v>
      </c>
    </row>
    <row r="6324" spans="1:25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 t="shared" si="392"/>
        <v>1</v>
      </c>
      <c r="W6324">
        <f t="shared" si="393"/>
        <v>0</v>
      </c>
      <c r="X6324" t="str">
        <f t="shared" si="394"/>
        <v>0-12 Months</v>
      </c>
      <c r="Y6324" s="1" t="str">
        <f t="shared" si="395"/>
        <v>Medium</v>
      </c>
    </row>
    <row r="6325" spans="1:25" x14ac:dyDescent="0.2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 t="shared" si="392"/>
        <v>0</v>
      </c>
      <c r="W6325">
        <f t="shared" si="393"/>
        <v>1</v>
      </c>
      <c r="X6325" t="str">
        <f t="shared" si="394"/>
        <v>25-48 Months</v>
      </c>
      <c r="Y6325" s="1" t="str">
        <f t="shared" si="395"/>
        <v>High</v>
      </c>
    </row>
    <row r="6326" spans="1:25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 t="shared" si="392"/>
        <v>0</v>
      </c>
      <c r="W6326">
        <f t="shared" si="393"/>
        <v>1</v>
      </c>
      <c r="X6326" t="str">
        <f t="shared" si="394"/>
        <v>0-12 Months</v>
      </c>
      <c r="Y6326" s="1" t="str">
        <f t="shared" si="395"/>
        <v>Medium</v>
      </c>
    </row>
    <row r="6327" spans="1:25" x14ac:dyDescent="0.2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 t="shared" si="392"/>
        <v>1</v>
      </c>
      <c r="W6327">
        <f t="shared" si="393"/>
        <v>0</v>
      </c>
      <c r="X6327" t="str">
        <f t="shared" si="394"/>
        <v>13-24 Months</v>
      </c>
      <c r="Y6327" s="1" t="str">
        <f t="shared" si="395"/>
        <v>High</v>
      </c>
    </row>
    <row r="6328" spans="1:25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 t="shared" si="392"/>
        <v>0</v>
      </c>
      <c r="W6328">
        <f t="shared" si="393"/>
        <v>1</v>
      </c>
      <c r="X6328" t="str">
        <f t="shared" si="394"/>
        <v>49+ Months</v>
      </c>
      <c r="Y6328" s="1" t="str">
        <f t="shared" si="395"/>
        <v>Low</v>
      </c>
    </row>
    <row r="6329" spans="1:25" x14ac:dyDescent="0.2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 t="shared" si="392"/>
        <v>0</v>
      </c>
      <c r="W6329">
        <f t="shared" si="393"/>
        <v>1</v>
      </c>
      <c r="X6329" t="str">
        <f t="shared" si="394"/>
        <v>25-48 Months</v>
      </c>
      <c r="Y6329" s="1" t="str">
        <f t="shared" si="395"/>
        <v>High</v>
      </c>
    </row>
    <row r="6330" spans="1:25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 t="shared" si="392"/>
        <v>0</v>
      </c>
      <c r="W6330">
        <f t="shared" si="393"/>
        <v>1</v>
      </c>
      <c r="X6330" t="str">
        <f t="shared" si="394"/>
        <v>49+ Months</v>
      </c>
      <c r="Y6330" s="1" t="str">
        <f t="shared" si="395"/>
        <v>High</v>
      </c>
    </row>
    <row r="6331" spans="1:25" x14ac:dyDescent="0.2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 t="shared" si="392"/>
        <v>0</v>
      </c>
      <c r="W6331">
        <f t="shared" si="393"/>
        <v>1</v>
      </c>
      <c r="X6331" t="str">
        <f t="shared" si="394"/>
        <v>25-48 Months</v>
      </c>
      <c r="Y6331" s="1" t="str">
        <f t="shared" si="395"/>
        <v>High</v>
      </c>
    </row>
    <row r="6332" spans="1:25" x14ac:dyDescent="0.2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 t="shared" si="392"/>
        <v>0</v>
      </c>
      <c r="W6332">
        <f t="shared" si="393"/>
        <v>1</v>
      </c>
      <c r="X6332" t="str">
        <f t="shared" si="394"/>
        <v>13-24 Months</v>
      </c>
      <c r="Y6332" s="1" t="str">
        <f t="shared" si="395"/>
        <v>High</v>
      </c>
    </row>
    <row r="6333" spans="1:25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 t="shared" si="392"/>
        <v>0</v>
      </c>
      <c r="W6333">
        <f t="shared" si="393"/>
        <v>1</v>
      </c>
      <c r="X6333" t="str">
        <f t="shared" si="394"/>
        <v>25-48 Months</v>
      </c>
      <c r="Y6333" s="1" t="str">
        <f t="shared" si="395"/>
        <v>Low</v>
      </c>
    </row>
    <row r="6334" spans="1:25" x14ac:dyDescent="0.2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 t="shared" si="392"/>
        <v>0</v>
      </c>
      <c r="W6334">
        <f t="shared" si="393"/>
        <v>1</v>
      </c>
      <c r="X6334" t="str">
        <f t="shared" si="394"/>
        <v>49+ Months</v>
      </c>
      <c r="Y6334" s="1" t="str">
        <f t="shared" si="395"/>
        <v>High</v>
      </c>
    </row>
    <row r="6335" spans="1:25" x14ac:dyDescent="0.2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 t="shared" si="392"/>
        <v>1</v>
      </c>
      <c r="W6335">
        <f t="shared" si="393"/>
        <v>0</v>
      </c>
      <c r="X6335" t="str">
        <f t="shared" si="394"/>
        <v>49+ Months</v>
      </c>
      <c r="Y6335" s="1" t="str">
        <f t="shared" si="395"/>
        <v>High</v>
      </c>
    </row>
    <row r="6336" spans="1:25" x14ac:dyDescent="0.2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 t="shared" si="392"/>
        <v>0</v>
      </c>
      <c r="W6336">
        <f t="shared" si="393"/>
        <v>1</v>
      </c>
      <c r="X6336" t="str">
        <f t="shared" si="394"/>
        <v>49+ Months</v>
      </c>
      <c r="Y6336" s="1" t="str">
        <f t="shared" si="395"/>
        <v>High</v>
      </c>
    </row>
    <row r="6337" spans="1:25" x14ac:dyDescent="0.2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 t="shared" si="392"/>
        <v>0</v>
      </c>
      <c r="W6337">
        <f t="shared" si="393"/>
        <v>1</v>
      </c>
      <c r="X6337" t="str">
        <f t="shared" si="394"/>
        <v>13-24 Months</v>
      </c>
      <c r="Y6337" s="1" t="str">
        <f t="shared" si="395"/>
        <v>Medium</v>
      </c>
    </row>
    <row r="6338" spans="1:25" x14ac:dyDescent="0.2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 t="shared" ref="V6338:V6401" si="396">IF(U6338="Yes",1,0)</f>
        <v>0</v>
      </c>
      <c r="W6338">
        <f t="shared" ref="W6338:W6401" si="397">IF(U6338="No",1,0)</f>
        <v>1</v>
      </c>
      <c r="X6338" t="str">
        <f t="shared" ref="X6338:X6401" si="398">IF(F6338&lt;=12,"0-12 Months",IF(F6338&lt;=24,"13-24 Months",IF(F6338&lt;=48,"25-48 Months","49+ Months")))</f>
        <v>49+ Months</v>
      </c>
      <c r="Y6338" s="1" t="str">
        <f t="shared" ref="Y6338:Y6401" si="399">IF(S6338&lt;50,"Low",IF(S6338&lt;80,"Medium","High"))</f>
        <v>Medium</v>
      </c>
    </row>
    <row r="6339" spans="1:25" x14ac:dyDescent="0.2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 t="shared" si="396"/>
        <v>0</v>
      </c>
      <c r="W6339">
        <f t="shared" si="397"/>
        <v>1</v>
      </c>
      <c r="X6339" t="str">
        <f t="shared" si="398"/>
        <v>49+ Months</v>
      </c>
      <c r="Y6339" s="1" t="str">
        <f t="shared" si="399"/>
        <v>High</v>
      </c>
    </row>
    <row r="6340" spans="1:25" x14ac:dyDescent="0.2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 t="shared" si="396"/>
        <v>0</v>
      </c>
      <c r="W6340">
        <f t="shared" si="397"/>
        <v>1</v>
      </c>
      <c r="X6340" t="str">
        <f t="shared" si="398"/>
        <v>0-12 Months</v>
      </c>
      <c r="Y6340" s="1" t="str">
        <f t="shared" si="399"/>
        <v>Low</v>
      </c>
    </row>
    <row r="6341" spans="1:25" x14ac:dyDescent="0.2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 t="shared" si="396"/>
        <v>1</v>
      </c>
      <c r="W6341">
        <f t="shared" si="397"/>
        <v>0</v>
      </c>
      <c r="X6341" t="str">
        <f t="shared" si="398"/>
        <v>0-12 Months</v>
      </c>
      <c r="Y6341" s="1" t="str">
        <f t="shared" si="399"/>
        <v>Low</v>
      </c>
    </row>
    <row r="6342" spans="1:25" x14ac:dyDescent="0.2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 t="shared" si="396"/>
        <v>0</v>
      </c>
      <c r="W6342">
        <f t="shared" si="397"/>
        <v>1</v>
      </c>
      <c r="X6342" t="str">
        <f t="shared" si="398"/>
        <v>13-24 Months</v>
      </c>
      <c r="Y6342" s="1" t="str">
        <f t="shared" si="399"/>
        <v>High</v>
      </c>
    </row>
    <row r="6343" spans="1:25" x14ac:dyDescent="0.2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 t="shared" si="396"/>
        <v>1</v>
      </c>
      <c r="W6343">
        <f t="shared" si="397"/>
        <v>0</v>
      </c>
      <c r="X6343" t="str">
        <f t="shared" si="398"/>
        <v>13-24 Months</v>
      </c>
      <c r="Y6343" s="1" t="str">
        <f t="shared" si="399"/>
        <v>High</v>
      </c>
    </row>
    <row r="6344" spans="1:25" x14ac:dyDescent="0.2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 t="shared" si="396"/>
        <v>0</v>
      </c>
      <c r="W6344">
        <f t="shared" si="397"/>
        <v>1</v>
      </c>
      <c r="X6344" t="str">
        <f t="shared" si="398"/>
        <v>25-48 Months</v>
      </c>
      <c r="Y6344" s="1" t="str">
        <f t="shared" si="399"/>
        <v>High</v>
      </c>
    </row>
    <row r="6345" spans="1:25" x14ac:dyDescent="0.2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 t="shared" si="396"/>
        <v>0</v>
      </c>
      <c r="W6345">
        <f t="shared" si="397"/>
        <v>1</v>
      </c>
      <c r="X6345" t="str">
        <f t="shared" si="398"/>
        <v>25-48 Months</v>
      </c>
      <c r="Y6345" s="1" t="str">
        <f t="shared" si="399"/>
        <v>Low</v>
      </c>
    </row>
    <row r="6346" spans="1:25" x14ac:dyDescent="0.2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 t="shared" si="396"/>
        <v>1</v>
      </c>
      <c r="W6346">
        <f t="shared" si="397"/>
        <v>0</v>
      </c>
      <c r="X6346" t="str">
        <f t="shared" si="398"/>
        <v>25-48 Months</v>
      </c>
      <c r="Y6346" s="1" t="str">
        <f t="shared" si="399"/>
        <v>Medium</v>
      </c>
    </row>
    <row r="6347" spans="1:25" x14ac:dyDescent="0.2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 t="shared" si="396"/>
        <v>0</v>
      </c>
      <c r="W6347">
        <f t="shared" si="397"/>
        <v>1</v>
      </c>
      <c r="X6347" t="str">
        <f t="shared" si="398"/>
        <v>0-12 Months</v>
      </c>
      <c r="Y6347" s="1" t="str">
        <f t="shared" si="399"/>
        <v>Medium</v>
      </c>
    </row>
    <row r="6348" spans="1:25" x14ac:dyDescent="0.2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 t="shared" si="396"/>
        <v>1</v>
      </c>
      <c r="W6348">
        <f t="shared" si="397"/>
        <v>0</v>
      </c>
      <c r="X6348" t="str">
        <f t="shared" si="398"/>
        <v>0-12 Months</v>
      </c>
      <c r="Y6348" s="1" t="str">
        <f t="shared" si="399"/>
        <v>Low</v>
      </c>
    </row>
    <row r="6349" spans="1:25" x14ac:dyDescent="0.2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 t="shared" si="396"/>
        <v>0</v>
      </c>
      <c r="W6349">
        <f t="shared" si="397"/>
        <v>1</v>
      </c>
      <c r="X6349" t="str">
        <f t="shared" si="398"/>
        <v>13-24 Months</v>
      </c>
      <c r="Y6349" s="1" t="str">
        <f t="shared" si="399"/>
        <v>Medium</v>
      </c>
    </row>
    <row r="6350" spans="1:25" x14ac:dyDescent="0.2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 t="shared" si="396"/>
        <v>0</v>
      </c>
      <c r="W6350">
        <f t="shared" si="397"/>
        <v>1</v>
      </c>
      <c r="X6350" t="str">
        <f t="shared" si="398"/>
        <v>25-48 Months</v>
      </c>
      <c r="Y6350" s="1" t="str">
        <f t="shared" si="399"/>
        <v>Medium</v>
      </c>
    </row>
    <row r="6351" spans="1:25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 t="shared" si="396"/>
        <v>0</v>
      </c>
      <c r="W6351">
        <f t="shared" si="397"/>
        <v>1</v>
      </c>
      <c r="X6351" t="str">
        <f t="shared" si="398"/>
        <v>25-48 Months</v>
      </c>
      <c r="Y6351" s="1" t="str">
        <f t="shared" si="399"/>
        <v>Low</v>
      </c>
    </row>
    <row r="6352" spans="1:25" x14ac:dyDescent="0.2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 t="shared" si="396"/>
        <v>0</v>
      </c>
      <c r="W6352">
        <f t="shared" si="397"/>
        <v>1</v>
      </c>
      <c r="X6352" t="str">
        <f t="shared" si="398"/>
        <v>0-12 Months</v>
      </c>
      <c r="Y6352" s="1" t="str">
        <f t="shared" si="399"/>
        <v>Low</v>
      </c>
    </row>
    <row r="6353" spans="1:25" x14ac:dyDescent="0.2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 t="shared" si="396"/>
        <v>1</v>
      </c>
      <c r="W6353">
        <f t="shared" si="397"/>
        <v>0</v>
      </c>
      <c r="X6353" t="str">
        <f t="shared" si="398"/>
        <v>49+ Months</v>
      </c>
      <c r="Y6353" s="1" t="str">
        <f t="shared" si="399"/>
        <v>High</v>
      </c>
    </row>
    <row r="6354" spans="1:25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 t="shared" si="396"/>
        <v>0</v>
      </c>
      <c r="W6354">
        <f t="shared" si="397"/>
        <v>1</v>
      </c>
      <c r="X6354" t="str">
        <f t="shared" si="398"/>
        <v>25-48 Months</v>
      </c>
      <c r="Y6354" s="1" t="str">
        <f t="shared" si="399"/>
        <v>High</v>
      </c>
    </row>
    <row r="6355" spans="1:25" x14ac:dyDescent="0.2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 t="shared" si="396"/>
        <v>0</v>
      </c>
      <c r="W6355">
        <f t="shared" si="397"/>
        <v>1</v>
      </c>
      <c r="X6355" t="str">
        <f t="shared" si="398"/>
        <v>0-12 Months</v>
      </c>
      <c r="Y6355" s="1" t="str">
        <f t="shared" si="399"/>
        <v>Medium</v>
      </c>
    </row>
    <row r="6356" spans="1:25" x14ac:dyDescent="0.2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 t="shared" si="396"/>
        <v>0</v>
      </c>
      <c r="W6356">
        <f t="shared" si="397"/>
        <v>1</v>
      </c>
      <c r="X6356" t="str">
        <f t="shared" si="398"/>
        <v>49+ Months</v>
      </c>
      <c r="Y6356" s="1" t="str">
        <f t="shared" si="399"/>
        <v>High</v>
      </c>
    </row>
    <row r="6357" spans="1:25" x14ac:dyDescent="0.2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 t="shared" si="396"/>
        <v>0</v>
      </c>
      <c r="W6357">
        <f t="shared" si="397"/>
        <v>1</v>
      </c>
      <c r="X6357" t="str">
        <f t="shared" si="398"/>
        <v>49+ Months</v>
      </c>
      <c r="Y6357" s="1" t="str">
        <f t="shared" si="399"/>
        <v>High</v>
      </c>
    </row>
    <row r="6358" spans="1:25" x14ac:dyDescent="0.2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 t="shared" si="396"/>
        <v>0</v>
      </c>
      <c r="W6358">
        <f t="shared" si="397"/>
        <v>1</v>
      </c>
      <c r="X6358" t="str">
        <f t="shared" si="398"/>
        <v>0-12 Months</v>
      </c>
      <c r="Y6358" s="1" t="str">
        <f t="shared" si="399"/>
        <v>High</v>
      </c>
    </row>
    <row r="6359" spans="1:25" x14ac:dyDescent="0.2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 t="shared" si="396"/>
        <v>1</v>
      </c>
      <c r="W6359">
        <f t="shared" si="397"/>
        <v>0</v>
      </c>
      <c r="X6359" t="str">
        <f t="shared" si="398"/>
        <v>49+ Months</v>
      </c>
      <c r="Y6359" s="1" t="str">
        <f t="shared" si="399"/>
        <v>High</v>
      </c>
    </row>
    <row r="6360" spans="1:25" x14ac:dyDescent="0.2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 t="shared" si="396"/>
        <v>0</v>
      </c>
      <c r="W6360">
        <f t="shared" si="397"/>
        <v>1</v>
      </c>
      <c r="X6360" t="str">
        <f t="shared" si="398"/>
        <v>49+ Months</v>
      </c>
      <c r="Y6360" s="1" t="str">
        <f t="shared" si="399"/>
        <v>High</v>
      </c>
    </row>
    <row r="6361" spans="1:25" x14ac:dyDescent="0.2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 t="shared" si="396"/>
        <v>0</v>
      </c>
      <c r="W6361">
        <f t="shared" si="397"/>
        <v>1</v>
      </c>
      <c r="X6361" t="str">
        <f t="shared" si="398"/>
        <v>49+ Months</v>
      </c>
      <c r="Y6361" s="1" t="str">
        <f t="shared" si="399"/>
        <v>Medium</v>
      </c>
    </row>
    <row r="6362" spans="1:25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 t="shared" si="396"/>
        <v>1</v>
      </c>
      <c r="W6362">
        <f t="shared" si="397"/>
        <v>0</v>
      </c>
      <c r="X6362" t="str">
        <f t="shared" si="398"/>
        <v>0-12 Months</v>
      </c>
      <c r="Y6362" s="1" t="str">
        <f t="shared" si="399"/>
        <v>Low</v>
      </c>
    </row>
    <row r="6363" spans="1:25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 t="shared" si="396"/>
        <v>0</v>
      </c>
      <c r="W6363">
        <f t="shared" si="397"/>
        <v>1</v>
      </c>
      <c r="X6363" t="str">
        <f t="shared" si="398"/>
        <v>0-12 Months</v>
      </c>
      <c r="Y6363" s="1" t="str">
        <f t="shared" si="399"/>
        <v>Medium</v>
      </c>
    </row>
    <row r="6364" spans="1:25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 t="shared" si="396"/>
        <v>0</v>
      </c>
      <c r="W6364">
        <f t="shared" si="397"/>
        <v>1</v>
      </c>
      <c r="X6364" t="str">
        <f t="shared" si="398"/>
        <v>0-12 Months</v>
      </c>
      <c r="Y6364" s="1" t="str">
        <f t="shared" si="399"/>
        <v>Medium</v>
      </c>
    </row>
    <row r="6365" spans="1:25" x14ac:dyDescent="0.2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 t="shared" si="396"/>
        <v>0</v>
      </c>
      <c r="W6365">
        <f t="shared" si="397"/>
        <v>1</v>
      </c>
      <c r="X6365" t="str">
        <f t="shared" si="398"/>
        <v>0-12 Months</v>
      </c>
      <c r="Y6365" s="1" t="str">
        <f t="shared" si="399"/>
        <v>Medium</v>
      </c>
    </row>
    <row r="6366" spans="1:25" x14ac:dyDescent="0.2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 t="shared" si="396"/>
        <v>0</v>
      </c>
      <c r="W6366">
        <f t="shared" si="397"/>
        <v>1</v>
      </c>
      <c r="X6366" t="str">
        <f t="shared" si="398"/>
        <v>25-48 Months</v>
      </c>
      <c r="Y6366" s="1" t="str">
        <f t="shared" si="399"/>
        <v>Low</v>
      </c>
    </row>
    <row r="6367" spans="1:25" x14ac:dyDescent="0.2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 t="shared" si="396"/>
        <v>1</v>
      </c>
      <c r="W6367">
        <f t="shared" si="397"/>
        <v>0</v>
      </c>
      <c r="X6367" t="str">
        <f t="shared" si="398"/>
        <v>0-12 Months</v>
      </c>
      <c r="Y6367" s="1" t="str">
        <f t="shared" si="399"/>
        <v>High</v>
      </c>
    </row>
    <row r="6368" spans="1:25" x14ac:dyDescent="0.2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 t="shared" si="396"/>
        <v>0</v>
      </c>
      <c r="W6368">
        <f t="shared" si="397"/>
        <v>1</v>
      </c>
      <c r="X6368" t="str">
        <f t="shared" si="398"/>
        <v>49+ Months</v>
      </c>
      <c r="Y6368" s="1" t="str">
        <f t="shared" si="399"/>
        <v>Medium</v>
      </c>
    </row>
    <row r="6369" spans="1:25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 t="shared" si="396"/>
        <v>0</v>
      </c>
      <c r="W6369">
        <f t="shared" si="397"/>
        <v>1</v>
      </c>
      <c r="X6369" t="str">
        <f t="shared" si="398"/>
        <v>49+ Months</v>
      </c>
      <c r="Y6369" s="1" t="str">
        <f t="shared" si="399"/>
        <v>Low</v>
      </c>
    </row>
    <row r="6370" spans="1:25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 t="shared" si="396"/>
        <v>1</v>
      </c>
      <c r="W6370">
        <f t="shared" si="397"/>
        <v>0</v>
      </c>
      <c r="X6370" t="str">
        <f t="shared" si="398"/>
        <v>0-12 Months</v>
      </c>
      <c r="Y6370" s="1" t="str">
        <f t="shared" si="399"/>
        <v>High</v>
      </c>
    </row>
    <row r="6371" spans="1:25" x14ac:dyDescent="0.2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 t="shared" si="396"/>
        <v>0</v>
      </c>
      <c r="W6371">
        <f t="shared" si="397"/>
        <v>1</v>
      </c>
      <c r="X6371" t="str">
        <f t="shared" si="398"/>
        <v>49+ Months</v>
      </c>
      <c r="Y6371" s="1" t="str">
        <f t="shared" si="399"/>
        <v>High</v>
      </c>
    </row>
    <row r="6372" spans="1:25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 t="shared" si="396"/>
        <v>1</v>
      </c>
      <c r="W6372">
        <f t="shared" si="397"/>
        <v>0</v>
      </c>
      <c r="X6372" t="str">
        <f t="shared" si="398"/>
        <v>25-48 Months</v>
      </c>
      <c r="Y6372" s="1" t="str">
        <f t="shared" si="399"/>
        <v>High</v>
      </c>
    </row>
    <row r="6373" spans="1:25" x14ac:dyDescent="0.2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 t="shared" si="396"/>
        <v>0</v>
      </c>
      <c r="W6373">
        <f t="shared" si="397"/>
        <v>1</v>
      </c>
      <c r="X6373" t="str">
        <f t="shared" si="398"/>
        <v>13-24 Months</v>
      </c>
      <c r="Y6373" s="1" t="str">
        <f t="shared" si="399"/>
        <v>Low</v>
      </c>
    </row>
    <row r="6374" spans="1:25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 t="shared" si="396"/>
        <v>0</v>
      </c>
      <c r="W6374">
        <f t="shared" si="397"/>
        <v>1</v>
      </c>
      <c r="X6374" t="str">
        <f t="shared" si="398"/>
        <v>0-12 Months</v>
      </c>
      <c r="Y6374" s="1" t="str">
        <f t="shared" si="399"/>
        <v>Low</v>
      </c>
    </row>
    <row r="6375" spans="1:25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 t="shared" si="396"/>
        <v>0</v>
      </c>
      <c r="W6375">
        <f t="shared" si="397"/>
        <v>1</v>
      </c>
      <c r="X6375" t="str">
        <f t="shared" si="398"/>
        <v>25-48 Months</v>
      </c>
      <c r="Y6375" s="1" t="str">
        <f t="shared" si="399"/>
        <v>High</v>
      </c>
    </row>
    <row r="6376" spans="1:25" x14ac:dyDescent="0.2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 t="shared" si="396"/>
        <v>0</v>
      </c>
      <c r="W6376">
        <f t="shared" si="397"/>
        <v>1</v>
      </c>
      <c r="X6376" t="str">
        <f t="shared" si="398"/>
        <v>49+ Months</v>
      </c>
      <c r="Y6376" s="1" t="str">
        <f t="shared" si="399"/>
        <v>Low</v>
      </c>
    </row>
    <row r="6377" spans="1:25" x14ac:dyDescent="0.2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 t="shared" si="396"/>
        <v>1</v>
      </c>
      <c r="W6377">
        <f t="shared" si="397"/>
        <v>0</v>
      </c>
      <c r="X6377" t="str">
        <f t="shared" si="398"/>
        <v>0-12 Months</v>
      </c>
      <c r="Y6377" s="1" t="str">
        <f t="shared" si="399"/>
        <v>Medium</v>
      </c>
    </row>
    <row r="6378" spans="1:25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 t="shared" si="396"/>
        <v>0</v>
      </c>
      <c r="W6378">
        <f t="shared" si="397"/>
        <v>1</v>
      </c>
      <c r="X6378" t="str">
        <f t="shared" si="398"/>
        <v>49+ Months</v>
      </c>
      <c r="Y6378" s="1" t="str">
        <f t="shared" si="399"/>
        <v>Low</v>
      </c>
    </row>
    <row r="6379" spans="1:25" x14ac:dyDescent="0.2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 t="shared" si="396"/>
        <v>1</v>
      </c>
      <c r="W6379">
        <f t="shared" si="397"/>
        <v>0</v>
      </c>
      <c r="X6379" t="str">
        <f t="shared" si="398"/>
        <v>0-12 Months</v>
      </c>
      <c r="Y6379" s="1" t="str">
        <f t="shared" si="399"/>
        <v>Low</v>
      </c>
    </row>
    <row r="6380" spans="1:25" x14ac:dyDescent="0.2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 t="shared" si="396"/>
        <v>1</v>
      </c>
      <c r="W6380">
        <f t="shared" si="397"/>
        <v>0</v>
      </c>
      <c r="X6380" t="str">
        <f t="shared" si="398"/>
        <v>13-24 Months</v>
      </c>
      <c r="Y6380" s="1" t="str">
        <f t="shared" si="399"/>
        <v>High</v>
      </c>
    </row>
    <row r="6381" spans="1:25" x14ac:dyDescent="0.2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 t="shared" si="396"/>
        <v>1</v>
      </c>
      <c r="W6381">
        <f t="shared" si="397"/>
        <v>0</v>
      </c>
      <c r="X6381" t="str">
        <f t="shared" si="398"/>
        <v>0-12 Months</v>
      </c>
      <c r="Y6381" s="1" t="str">
        <f t="shared" si="399"/>
        <v>High</v>
      </c>
    </row>
    <row r="6382" spans="1:25" x14ac:dyDescent="0.2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 t="shared" si="396"/>
        <v>0</v>
      </c>
      <c r="W6382">
        <f t="shared" si="397"/>
        <v>1</v>
      </c>
      <c r="X6382" t="str">
        <f t="shared" si="398"/>
        <v>49+ Months</v>
      </c>
      <c r="Y6382" s="1" t="str">
        <f t="shared" si="399"/>
        <v>High</v>
      </c>
    </row>
    <row r="6383" spans="1:25" x14ac:dyDescent="0.2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 t="shared" si="396"/>
        <v>0</v>
      </c>
      <c r="W6383">
        <f t="shared" si="397"/>
        <v>1</v>
      </c>
      <c r="X6383" t="str">
        <f t="shared" si="398"/>
        <v>0-12 Months</v>
      </c>
      <c r="Y6383" s="1" t="str">
        <f t="shared" si="399"/>
        <v>Low</v>
      </c>
    </row>
    <row r="6384" spans="1:25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 t="shared" si="396"/>
        <v>0</v>
      </c>
      <c r="W6384">
        <f t="shared" si="397"/>
        <v>1</v>
      </c>
      <c r="X6384" t="str">
        <f t="shared" si="398"/>
        <v>25-48 Months</v>
      </c>
      <c r="Y6384" s="1" t="str">
        <f t="shared" si="399"/>
        <v>Medium</v>
      </c>
    </row>
    <row r="6385" spans="1:25" x14ac:dyDescent="0.2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 t="shared" si="396"/>
        <v>0</v>
      </c>
      <c r="W6385">
        <f t="shared" si="397"/>
        <v>1</v>
      </c>
      <c r="X6385" t="str">
        <f t="shared" si="398"/>
        <v>13-24 Months</v>
      </c>
      <c r="Y6385" s="1" t="str">
        <f t="shared" si="399"/>
        <v>Low</v>
      </c>
    </row>
    <row r="6386" spans="1:25" x14ac:dyDescent="0.2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 t="shared" si="396"/>
        <v>0</v>
      </c>
      <c r="W6386">
        <f t="shared" si="397"/>
        <v>1</v>
      </c>
      <c r="X6386" t="str">
        <f t="shared" si="398"/>
        <v>0-12 Months</v>
      </c>
      <c r="Y6386" s="1" t="str">
        <f t="shared" si="399"/>
        <v>Low</v>
      </c>
    </row>
    <row r="6387" spans="1:25" x14ac:dyDescent="0.2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 t="shared" si="396"/>
        <v>1</v>
      </c>
      <c r="W6387">
        <f t="shared" si="397"/>
        <v>0</v>
      </c>
      <c r="X6387" t="str">
        <f t="shared" si="398"/>
        <v>0-12 Months</v>
      </c>
      <c r="Y6387" s="1" t="str">
        <f t="shared" si="399"/>
        <v>High</v>
      </c>
    </row>
    <row r="6388" spans="1:25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 t="shared" si="396"/>
        <v>0</v>
      </c>
      <c r="W6388">
        <f t="shared" si="397"/>
        <v>1</v>
      </c>
      <c r="X6388" t="str">
        <f t="shared" si="398"/>
        <v>49+ Months</v>
      </c>
      <c r="Y6388" s="1" t="str">
        <f t="shared" si="399"/>
        <v>High</v>
      </c>
    </row>
    <row r="6389" spans="1:25" x14ac:dyDescent="0.2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 t="shared" si="396"/>
        <v>0</v>
      </c>
      <c r="W6389">
        <f t="shared" si="397"/>
        <v>1</v>
      </c>
      <c r="X6389" t="str">
        <f t="shared" si="398"/>
        <v>25-48 Months</v>
      </c>
      <c r="Y6389" s="1" t="str">
        <f t="shared" si="399"/>
        <v>Medium</v>
      </c>
    </row>
    <row r="6390" spans="1:25" x14ac:dyDescent="0.2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 t="shared" si="396"/>
        <v>1</v>
      </c>
      <c r="W6390">
        <f t="shared" si="397"/>
        <v>0</v>
      </c>
      <c r="X6390" t="str">
        <f t="shared" si="398"/>
        <v>0-12 Months</v>
      </c>
      <c r="Y6390" s="1" t="str">
        <f t="shared" si="399"/>
        <v>Low</v>
      </c>
    </row>
    <row r="6391" spans="1:25" x14ac:dyDescent="0.2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 t="shared" si="396"/>
        <v>0</v>
      </c>
      <c r="W6391">
        <f t="shared" si="397"/>
        <v>1</v>
      </c>
      <c r="X6391" t="str">
        <f t="shared" si="398"/>
        <v>49+ Months</v>
      </c>
      <c r="Y6391" s="1" t="str">
        <f t="shared" si="399"/>
        <v>Low</v>
      </c>
    </row>
    <row r="6392" spans="1:25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 t="shared" si="396"/>
        <v>0</v>
      </c>
      <c r="W6392">
        <f t="shared" si="397"/>
        <v>1</v>
      </c>
      <c r="X6392" t="str">
        <f t="shared" si="398"/>
        <v>49+ Months</v>
      </c>
      <c r="Y6392" s="1" t="str">
        <f t="shared" si="399"/>
        <v>High</v>
      </c>
    </row>
    <row r="6393" spans="1:25" x14ac:dyDescent="0.2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 t="shared" si="396"/>
        <v>0</v>
      </c>
      <c r="W6393">
        <f t="shared" si="397"/>
        <v>1</v>
      </c>
      <c r="X6393" t="str">
        <f t="shared" si="398"/>
        <v>25-48 Months</v>
      </c>
      <c r="Y6393" s="1" t="str">
        <f t="shared" si="399"/>
        <v>Medium</v>
      </c>
    </row>
    <row r="6394" spans="1:25" x14ac:dyDescent="0.2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 t="shared" si="396"/>
        <v>0</v>
      </c>
      <c r="W6394">
        <f t="shared" si="397"/>
        <v>1</v>
      </c>
      <c r="X6394" t="str">
        <f t="shared" si="398"/>
        <v>49+ Months</v>
      </c>
      <c r="Y6394" s="1" t="str">
        <f t="shared" si="399"/>
        <v>Low</v>
      </c>
    </row>
    <row r="6395" spans="1:25" x14ac:dyDescent="0.2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 t="shared" si="396"/>
        <v>0</v>
      </c>
      <c r="W6395">
        <f t="shared" si="397"/>
        <v>1</v>
      </c>
      <c r="X6395" t="str">
        <f t="shared" si="398"/>
        <v>25-48 Months</v>
      </c>
      <c r="Y6395" s="1" t="str">
        <f t="shared" si="399"/>
        <v>High</v>
      </c>
    </row>
    <row r="6396" spans="1:25" x14ac:dyDescent="0.2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 t="shared" si="396"/>
        <v>0</v>
      </c>
      <c r="W6396">
        <f t="shared" si="397"/>
        <v>1</v>
      </c>
      <c r="X6396" t="str">
        <f t="shared" si="398"/>
        <v>0-12 Months</v>
      </c>
      <c r="Y6396" s="1" t="str">
        <f t="shared" si="399"/>
        <v>Medium</v>
      </c>
    </row>
    <row r="6397" spans="1:25" x14ac:dyDescent="0.2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 t="shared" si="396"/>
        <v>1</v>
      </c>
      <c r="W6397">
        <f t="shared" si="397"/>
        <v>0</v>
      </c>
      <c r="X6397" t="str">
        <f t="shared" si="398"/>
        <v>25-48 Months</v>
      </c>
      <c r="Y6397" s="1" t="str">
        <f t="shared" si="399"/>
        <v>High</v>
      </c>
    </row>
    <row r="6398" spans="1:25" x14ac:dyDescent="0.2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 t="shared" si="396"/>
        <v>0</v>
      </c>
      <c r="W6398">
        <f t="shared" si="397"/>
        <v>1</v>
      </c>
      <c r="X6398" t="str">
        <f t="shared" si="398"/>
        <v>25-48 Months</v>
      </c>
      <c r="Y6398" s="1" t="str">
        <f t="shared" si="399"/>
        <v>High</v>
      </c>
    </row>
    <row r="6399" spans="1:25" x14ac:dyDescent="0.2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 t="shared" si="396"/>
        <v>0</v>
      </c>
      <c r="W6399">
        <f t="shared" si="397"/>
        <v>1</v>
      </c>
      <c r="X6399" t="str">
        <f t="shared" si="398"/>
        <v>49+ Months</v>
      </c>
      <c r="Y6399" s="1" t="str">
        <f t="shared" si="399"/>
        <v>Medium</v>
      </c>
    </row>
    <row r="6400" spans="1:25" x14ac:dyDescent="0.2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 t="shared" si="396"/>
        <v>1</v>
      </c>
      <c r="W6400">
        <f t="shared" si="397"/>
        <v>0</v>
      </c>
      <c r="X6400" t="str">
        <f t="shared" si="398"/>
        <v>49+ Months</v>
      </c>
      <c r="Y6400" s="1" t="str">
        <f t="shared" si="399"/>
        <v>High</v>
      </c>
    </row>
    <row r="6401" spans="1:25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 t="shared" si="396"/>
        <v>0</v>
      </c>
      <c r="W6401">
        <f t="shared" si="397"/>
        <v>1</v>
      </c>
      <c r="X6401" t="str">
        <f t="shared" si="398"/>
        <v>49+ Months</v>
      </c>
      <c r="Y6401" s="1" t="str">
        <f t="shared" si="399"/>
        <v>Medium</v>
      </c>
    </row>
    <row r="6402" spans="1:25" x14ac:dyDescent="0.2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 t="shared" ref="V6402:V6465" si="400">IF(U6402="Yes",1,0)</f>
        <v>0</v>
      </c>
      <c r="W6402">
        <f t="shared" ref="W6402:W6465" si="401">IF(U6402="No",1,0)</f>
        <v>1</v>
      </c>
      <c r="X6402" t="str">
        <f t="shared" ref="X6402:X6465" si="402">IF(F6402&lt;=12,"0-12 Months",IF(F6402&lt;=24,"13-24 Months",IF(F6402&lt;=48,"25-48 Months","49+ Months")))</f>
        <v>49+ Months</v>
      </c>
      <c r="Y6402" s="1" t="str">
        <f t="shared" ref="Y6402:Y6465" si="403">IF(S6402&lt;50,"Low",IF(S6402&lt;80,"Medium","High"))</f>
        <v>Medium</v>
      </c>
    </row>
    <row r="6403" spans="1:25" x14ac:dyDescent="0.2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 t="shared" si="400"/>
        <v>1</v>
      </c>
      <c r="W6403">
        <f t="shared" si="401"/>
        <v>0</v>
      </c>
      <c r="X6403" t="str">
        <f t="shared" si="402"/>
        <v>0-12 Months</v>
      </c>
      <c r="Y6403" s="1" t="str">
        <f t="shared" si="403"/>
        <v>Medium</v>
      </c>
    </row>
    <row r="6404" spans="1:25" x14ac:dyDescent="0.2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 t="shared" si="400"/>
        <v>0</v>
      </c>
      <c r="W6404">
        <f t="shared" si="401"/>
        <v>1</v>
      </c>
      <c r="X6404" t="str">
        <f t="shared" si="402"/>
        <v>49+ Months</v>
      </c>
      <c r="Y6404" s="1" t="str">
        <f t="shared" si="403"/>
        <v>Medium</v>
      </c>
    </row>
    <row r="6405" spans="1:25" x14ac:dyDescent="0.2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 t="shared" si="400"/>
        <v>0</v>
      </c>
      <c r="W6405">
        <f t="shared" si="401"/>
        <v>1</v>
      </c>
      <c r="X6405" t="str">
        <f t="shared" si="402"/>
        <v>49+ Months</v>
      </c>
      <c r="Y6405" s="1" t="str">
        <f t="shared" si="403"/>
        <v>High</v>
      </c>
    </row>
    <row r="6406" spans="1:25" x14ac:dyDescent="0.2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 t="shared" si="400"/>
        <v>0</v>
      </c>
      <c r="W6406">
        <f t="shared" si="401"/>
        <v>1</v>
      </c>
      <c r="X6406" t="str">
        <f t="shared" si="402"/>
        <v>49+ Months</v>
      </c>
      <c r="Y6406" s="1" t="str">
        <f t="shared" si="403"/>
        <v>High</v>
      </c>
    </row>
    <row r="6407" spans="1:25" x14ac:dyDescent="0.2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 t="shared" si="400"/>
        <v>0</v>
      </c>
      <c r="W6407">
        <f t="shared" si="401"/>
        <v>1</v>
      </c>
      <c r="X6407" t="str">
        <f t="shared" si="402"/>
        <v>49+ Months</v>
      </c>
      <c r="Y6407" s="1" t="str">
        <f t="shared" si="403"/>
        <v>High</v>
      </c>
    </row>
    <row r="6408" spans="1:25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 t="shared" si="400"/>
        <v>0</v>
      </c>
      <c r="W6408">
        <f t="shared" si="401"/>
        <v>1</v>
      </c>
      <c r="X6408" t="str">
        <f t="shared" si="402"/>
        <v>25-48 Months</v>
      </c>
      <c r="Y6408" s="1" t="str">
        <f t="shared" si="403"/>
        <v>Medium</v>
      </c>
    </row>
    <row r="6409" spans="1:25" x14ac:dyDescent="0.2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 t="shared" si="400"/>
        <v>0</v>
      </c>
      <c r="W6409">
        <f t="shared" si="401"/>
        <v>1</v>
      </c>
      <c r="X6409" t="str">
        <f t="shared" si="402"/>
        <v>13-24 Months</v>
      </c>
      <c r="Y6409" s="1" t="str">
        <f t="shared" si="403"/>
        <v>Medium</v>
      </c>
    </row>
    <row r="6410" spans="1:25" x14ac:dyDescent="0.2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 t="shared" si="400"/>
        <v>1</v>
      </c>
      <c r="W6410">
        <f t="shared" si="401"/>
        <v>0</v>
      </c>
      <c r="X6410" t="str">
        <f t="shared" si="402"/>
        <v>49+ Months</v>
      </c>
      <c r="Y6410" s="1" t="str">
        <f t="shared" si="403"/>
        <v>High</v>
      </c>
    </row>
    <row r="6411" spans="1:25" x14ac:dyDescent="0.2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 t="shared" si="400"/>
        <v>0</v>
      </c>
      <c r="W6411">
        <f t="shared" si="401"/>
        <v>1</v>
      </c>
      <c r="X6411" t="str">
        <f t="shared" si="402"/>
        <v>25-48 Months</v>
      </c>
      <c r="Y6411" s="1" t="str">
        <f t="shared" si="403"/>
        <v>Low</v>
      </c>
    </row>
    <row r="6412" spans="1:25" x14ac:dyDescent="0.2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 t="shared" si="400"/>
        <v>0</v>
      </c>
      <c r="W6412">
        <f t="shared" si="401"/>
        <v>1</v>
      </c>
      <c r="X6412" t="str">
        <f t="shared" si="402"/>
        <v>49+ Months</v>
      </c>
      <c r="Y6412" s="1" t="str">
        <f t="shared" si="403"/>
        <v>High</v>
      </c>
    </row>
    <row r="6413" spans="1:25" x14ac:dyDescent="0.2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 t="shared" si="400"/>
        <v>0</v>
      </c>
      <c r="W6413">
        <f t="shared" si="401"/>
        <v>1</v>
      </c>
      <c r="X6413" t="str">
        <f t="shared" si="402"/>
        <v>0-12 Months</v>
      </c>
      <c r="Y6413" s="1" t="str">
        <f t="shared" si="403"/>
        <v>Medium</v>
      </c>
    </row>
    <row r="6414" spans="1:25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 t="shared" si="400"/>
        <v>0</v>
      </c>
      <c r="W6414">
        <f t="shared" si="401"/>
        <v>1</v>
      </c>
      <c r="X6414" t="str">
        <f t="shared" si="402"/>
        <v>49+ Months</v>
      </c>
      <c r="Y6414" s="1" t="str">
        <f t="shared" si="403"/>
        <v>High</v>
      </c>
    </row>
    <row r="6415" spans="1:25" x14ac:dyDescent="0.2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 t="shared" si="400"/>
        <v>1</v>
      </c>
      <c r="W6415">
        <f t="shared" si="401"/>
        <v>0</v>
      </c>
      <c r="X6415" t="str">
        <f t="shared" si="402"/>
        <v>25-48 Months</v>
      </c>
      <c r="Y6415" s="1" t="str">
        <f t="shared" si="403"/>
        <v>High</v>
      </c>
    </row>
    <row r="6416" spans="1:25" x14ac:dyDescent="0.2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 t="shared" si="400"/>
        <v>0</v>
      </c>
      <c r="W6416">
        <f t="shared" si="401"/>
        <v>1</v>
      </c>
      <c r="X6416" t="str">
        <f t="shared" si="402"/>
        <v>25-48 Months</v>
      </c>
      <c r="Y6416" s="1" t="str">
        <f t="shared" si="403"/>
        <v>Low</v>
      </c>
    </row>
    <row r="6417" spans="1:25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 t="shared" si="400"/>
        <v>0</v>
      </c>
      <c r="W6417">
        <f t="shared" si="401"/>
        <v>1</v>
      </c>
      <c r="X6417" t="str">
        <f t="shared" si="402"/>
        <v>49+ Months</v>
      </c>
      <c r="Y6417" s="1" t="str">
        <f t="shared" si="403"/>
        <v>Low</v>
      </c>
    </row>
    <row r="6418" spans="1:25" x14ac:dyDescent="0.2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 t="shared" si="400"/>
        <v>0</v>
      </c>
      <c r="W6418">
        <f t="shared" si="401"/>
        <v>1</v>
      </c>
      <c r="X6418" t="str">
        <f t="shared" si="402"/>
        <v>49+ Months</v>
      </c>
      <c r="Y6418" s="1" t="str">
        <f t="shared" si="403"/>
        <v>Low</v>
      </c>
    </row>
    <row r="6419" spans="1:25" x14ac:dyDescent="0.2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 t="shared" si="400"/>
        <v>1</v>
      </c>
      <c r="W6419">
        <f t="shared" si="401"/>
        <v>0</v>
      </c>
      <c r="X6419" t="str">
        <f t="shared" si="402"/>
        <v>49+ Months</v>
      </c>
      <c r="Y6419" s="1" t="str">
        <f t="shared" si="403"/>
        <v>Medium</v>
      </c>
    </row>
    <row r="6420" spans="1:25" x14ac:dyDescent="0.2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 t="shared" si="400"/>
        <v>0</v>
      </c>
      <c r="W6420">
        <f t="shared" si="401"/>
        <v>1</v>
      </c>
      <c r="X6420" t="str">
        <f t="shared" si="402"/>
        <v>25-48 Months</v>
      </c>
      <c r="Y6420" s="1" t="str">
        <f t="shared" si="403"/>
        <v>Medium</v>
      </c>
    </row>
    <row r="6421" spans="1:25" x14ac:dyDescent="0.2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 t="shared" si="400"/>
        <v>0</v>
      </c>
      <c r="W6421">
        <f t="shared" si="401"/>
        <v>1</v>
      </c>
      <c r="X6421" t="str">
        <f t="shared" si="402"/>
        <v>49+ Months</v>
      </c>
      <c r="Y6421" s="1" t="str">
        <f t="shared" si="403"/>
        <v>High</v>
      </c>
    </row>
    <row r="6422" spans="1:25" x14ac:dyDescent="0.2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 t="shared" si="400"/>
        <v>0</v>
      </c>
      <c r="W6422">
        <f t="shared" si="401"/>
        <v>1</v>
      </c>
      <c r="X6422" t="str">
        <f t="shared" si="402"/>
        <v>25-48 Months</v>
      </c>
      <c r="Y6422" s="1" t="str">
        <f t="shared" si="403"/>
        <v>Medium</v>
      </c>
    </row>
    <row r="6423" spans="1:25" x14ac:dyDescent="0.2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 t="shared" si="400"/>
        <v>0</v>
      </c>
      <c r="W6423">
        <f t="shared" si="401"/>
        <v>1</v>
      </c>
      <c r="X6423" t="str">
        <f t="shared" si="402"/>
        <v>13-24 Months</v>
      </c>
      <c r="Y6423" s="1" t="str">
        <f t="shared" si="403"/>
        <v>Medium</v>
      </c>
    </row>
    <row r="6424" spans="1:25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 t="shared" si="400"/>
        <v>0</v>
      </c>
      <c r="W6424">
        <f t="shared" si="401"/>
        <v>1</v>
      </c>
      <c r="X6424" t="str">
        <f t="shared" si="402"/>
        <v>49+ Months</v>
      </c>
      <c r="Y6424" s="1" t="str">
        <f t="shared" si="403"/>
        <v>Medium</v>
      </c>
    </row>
    <row r="6425" spans="1:25" x14ac:dyDescent="0.2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 t="shared" si="400"/>
        <v>0</v>
      </c>
      <c r="W6425">
        <f t="shared" si="401"/>
        <v>1</v>
      </c>
      <c r="X6425" t="str">
        <f t="shared" si="402"/>
        <v>49+ Months</v>
      </c>
      <c r="Y6425" s="1" t="str">
        <f t="shared" si="403"/>
        <v>Low</v>
      </c>
    </row>
    <row r="6426" spans="1:25" x14ac:dyDescent="0.2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 t="shared" si="400"/>
        <v>1</v>
      </c>
      <c r="W6426">
        <f t="shared" si="401"/>
        <v>0</v>
      </c>
      <c r="X6426" t="str">
        <f t="shared" si="402"/>
        <v>49+ Months</v>
      </c>
      <c r="Y6426" s="1" t="str">
        <f t="shared" si="403"/>
        <v>Medium</v>
      </c>
    </row>
    <row r="6427" spans="1:25" x14ac:dyDescent="0.2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 t="shared" si="400"/>
        <v>0</v>
      </c>
      <c r="W6427">
        <f t="shared" si="401"/>
        <v>1</v>
      </c>
      <c r="X6427" t="str">
        <f t="shared" si="402"/>
        <v>49+ Months</v>
      </c>
      <c r="Y6427" s="1" t="str">
        <f t="shared" si="403"/>
        <v>Low</v>
      </c>
    </row>
    <row r="6428" spans="1:25" x14ac:dyDescent="0.2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 t="shared" si="400"/>
        <v>0</v>
      </c>
      <c r="W6428">
        <f t="shared" si="401"/>
        <v>1</v>
      </c>
      <c r="X6428" t="str">
        <f t="shared" si="402"/>
        <v>25-48 Months</v>
      </c>
      <c r="Y6428" s="1" t="str">
        <f t="shared" si="403"/>
        <v>Medium</v>
      </c>
    </row>
    <row r="6429" spans="1:25" x14ac:dyDescent="0.2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 t="shared" si="400"/>
        <v>0</v>
      </c>
      <c r="W6429">
        <f t="shared" si="401"/>
        <v>1</v>
      </c>
      <c r="X6429" t="str">
        <f t="shared" si="402"/>
        <v>25-48 Months</v>
      </c>
      <c r="Y6429" s="1" t="str">
        <f t="shared" si="403"/>
        <v>Low</v>
      </c>
    </row>
    <row r="6430" spans="1:25" x14ac:dyDescent="0.2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 t="shared" si="400"/>
        <v>1</v>
      </c>
      <c r="W6430">
        <f t="shared" si="401"/>
        <v>0</v>
      </c>
      <c r="X6430" t="str">
        <f t="shared" si="402"/>
        <v>0-12 Months</v>
      </c>
      <c r="Y6430" s="1" t="str">
        <f t="shared" si="403"/>
        <v>Medium</v>
      </c>
    </row>
    <row r="6431" spans="1:25" x14ac:dyDescent="0.2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 t="shared" si="400"/>
        <v>0</v>
      </c>
      <c r="W6431">
        <f t="shared" si="401"/>
        <v>1</v>
      </c>
      <c r="X6431" t="str">
        <f t="shared" si="402"/>
        <v>49+ Months</v>
      </c>
      <c r="Y6431" s="1" t="str">
        <f t="shared" si="403"/>
        <v>Medium</v>
      </c>
    </row>
    <row r="6432" spans="1:25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 t="shared" si="400"/>
        <v>0</v>
      </c>
      <c r="W6432">
        <f t="shared" si="401"/>
        <v>1</v>
      </c>
      <c r="X6432" t="str">
        <f t="shared" si="402"/>
        <v>13-24 Months</v>
      </c>
      <c r="Y6432" s="1" t="str">
        <f t="shared" si="403"/>
        <v>Low</v>
      </c>
    </row>
    <row r="6433" spans="1:25" x14ac:dyDescent="0.2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 t="shared" si="400"/>
        <v>0</v>
      </c>
      <c r="W6433">
        <f t="shared" si="401"/>
        <v>1</v>
      </c>
      <c r="X6433" t="str">
        <f t="shared" si="402"/>
        <v>13-24 Months</v>
      </c>
      <c r="Y6433" s="1" t="str">
        <f t="shared" si="403"/>
        <v>Low</v>
      </c>
    </row>
    <row r="6434" spans="1:25" x14ac:dyDescent="0.2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 t="shared" si="400"/>
        <v>0</v>
      </c>
      <c r="W6434">
        <f t="shared" si="401"/>
        <v>1</v>
      </c>
      <c r="X6434" t="str">
        <f t="shared" si="402"/>
        <v>25-48 Months</v>
      </c>
      <c r="Y6434" s="1" t="str">
        <f t="shared" si="403"/>
        <v>Medium</v>
      </c>
    </row>
    <row r="6435" spans="1:25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 t="shared" si="400"/>
        <v>0</v>
      </c>
      <c r="W6435">
        <f t="shared" si="401"/>
        <v>1</v>
      </c>
      <c r="X6435" t="str">
        <f t="shared" si="402"/>
        <v>49+ Months</v>
      </c>
      <c r="Y6435" s="1" t="str">
        <f t="shared" si="403"/>
        <v>Low</v>
      </c>
    </row>
    <row r="6436" spans="1:25" x14ac:dyDescent="0.2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 t="shared" si="400"/>
        <v>1</v>
      </c>
      <c r="W6436">
        <f t="shared" si="401"/>
        <v>0</v>
      </c>
      <c r="X6436" t="str">
        <f t="shared" si="402"/>
        <v>0-12 Months</v>
      </c>
      <c r="Y6436" s="1" t="str">
        <f t="shared" si="403"/>
        <v>Medium</v>
      </c>
    </row>
    <row r="6437" spans="1:25" x14ac:dyDescent="0.2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 t="shared" si="400"/>
        <v>0</v>
      </c>
      <c r="W6437">
        <f t="shared" si="401"/>
        <v>1</v>
      </c>
      <c r="X6437" t="str">
        <f t="shared" si="402"/>
        <v>49+ Months</v>
      </c>
      <c r="Y6437" s="1" t="str">
        <f t="shared" si="403"/>
        <v>Medium</v>
      </c>
    </row>
    <row r="6438" spans="1:25" x14ac:dyDescent="0.2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 t="shared" si="400"/>
        <v>0</v>
      </c>
      <c r="W6438">
        <f t="shared" si="401"/>
        <v>1</v>
      </c>
      <c r="X6438" t="str">
        <f t="shared" si="402"/>
        <v>49+ Months</v>
      </c>
      <c r="Y6438" s="1" t="str">
        <f t="shared" si="403"/>
        <v>Medium</v>
      </c>
    </row>
    <row r="6439" spans="1:25" x14ac:dyDescent="0.2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 t="shared" si="400"/>
        <v>0</v>
      </c>
      <c r="W6439">
        <f t="shared" si="401"/>
        <v>1</v>
      </c>
      <c r="X6439" t="str">
        <f t="shared" si="402"/>
        <v>13-24 Months</v>
      </c>
      <c r="Y6439" s="1" t="str">
        <f t="shared" si="403"/>
        <v>Low</v>
      </c>
    </row>
    <row r="6440" spans="1:25" x14ac:dyDescent="0.2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 t="shared" si="400"/>
        <v>1</v>
      </c>
      <c r="W6440">
        <f t="shared" si="401"/>
        <v>0</v>
      </c>
      <c r="X6440" t="str">
        <f t="shared" si="402"/>
        <v>0-12 Months</v>
      </c>
      <c r="Y6440" s="1" t="str">
        <f t="shared" si="403"/>
        <v>Medium</v>
      </c>
    </row>
    <row r="6441" spans="1:25" x14ac:dyDescent="0.2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 t="shared" si="400"/>
        <v>0</v>
      </c>
      <c r="W6441">
        <f t="shared" si="401"/>
        <v>1</v>
      </c>
      <c r="X6441" t="str">
        <f t="shared" si="402"/>
        <v>25-48 Months</v>
      </c>
      <c r="Y6441" s="1" t="str">
        <f t="shared" si="403"/>
        <v>High</v>
      </c>
    </row>
    <row r="6442" spans="1:25" x14ac:dyDescent="0.2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 t="shared" si="400"/>
        <v>0</v>
      </c>
      <c r="W6442">
        <f t="shared" si="401"/>
        <v>1</v>
      </c>
      <c r="X6442" t="str">
        <f t="shared" si="402"/>
        <v>25-48 Months</v>
      </c>
      <c r="Y6442" s="1" t="str">
        <f t="shared" si="403"/>
        <v>High</v>
      </c>
    </row>
    <row r="6443" spans="1:25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 t="shared" si="400"/>
        <v>0</v>
      </c>
      <c r="W6443">
        <f t="shared" si="401"/>
        <v>1</v>
      </c>
      <c r="X6443" t="str">
        <f t="shared" si="402"/>
        <v>13-24 Months</v>
      </c>
      <c r="Y6443" s="1" t="str">
        <f t="shared" si="403"/>
        <v>Medium</v>
      </c>
    </row>
    <row r="6444" spans="1:25" x14ac:dyDescent="0.2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 t="shared" si="400"/>
        <v>0</v>
      </c>
      <c r="W6444">
        <f t="shared" si="401"/>
        <v>1</v>
      </c>
      <c r="X6444" t="str">
        <f t="shared" si="402"/>
        <v>49+ Months</v>
      </c>
      <c r="Y6444" s="1" t="str">
        <f t="shared" si="403"/>
        <v>Medium</v>
      </c>
    </row>
    <row r="6445" spans="1:25" x14ac:dyDescent="0.2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 t="shared" si="400"/>
        <v>0</v>
      </c>
      <c r="W6445">
        <f t="shared" si="401"/>
        <v>1</v>
      </c>
      <c r="X6445" t="str">
        <f t="shared" si="402"/>
        <v>0-12 Months</v>
      </c>
      <c r="Y6445" s="1" t="str">
        <f t="shared" si="403"/>
        <v>Low</v>
      </c>
    </row>
    <row r="6446" spans="1:25" x14ac:dyDescent="0.2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 t="shared" si="400"/>
        <v>1</v>
      </c>
      <c r="W6446">
        <f t="shared" si="401"/>
        <v>0</v>
      </c>
      <c r="X6446" t="str">
        <f t="shared" si="402"/>
        <v>25-48 Months</v>
      </c>
      <c r="Y6446" s="1" t="str">
        <f t="shared" si="403"/>
        <v>Medium</v>
      </c>
    </row>
    <row r="6447" spans="1:25" x14ac:dyDescent="0.2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 t="shared" si="400"/>
        <v>0</v>
      </c>
      <c r="W6447">
        <f t="shared" si="401"/>
        <v>1</v>
      </c>
      <c r="X6447" t="str">
        <f t="shared" si="402"/>
        <v>0-12 Months</v>
      </c>
      <c r="Y6447" s="1" t="str">
        <f t="shared" si="403"/>
        <v>High</v>
      </c>
    </row>
    <row r="6448" spans="1:25" x14ac:dyDescent="0.2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 t="shared" si="400"/>
        <v>0</v>
      </c>
      <c r="W6448">
        <f t="shared" si="401"/>
        <v>1</v>
      </c>
      <c r="X6448" t="str">
        <f t="shared" si="402"/>
        <v>49+ Months</v>
      </c>
      <c r="Y6448" s="1" t="str">
        <f t="shared" si="403"/>
        <v>High</v>
      </c>
    </row>
    <row r="6449" spans="1:25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 t="shared" si="400"/>
        <v>0</v>
      </c>
      <c r="W6449">
        <f t="shared" si="401"/>
        <v>1</v>
      </c>
      <c r="X6449" t="str">
        <f t="shared" si="402"/>
        <v>49+ Months</v>
      </c>
      <c r="Y6449" s="1" t="str">
        <f t="shared" si="403"/>
        <v>Medium</v>
      </c>
    </row>
    <row r="6450" spans="1:25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 t="shared" si="400"/>
        <v>1</v>
      </c>
      <c r="W6450">
        <f t="shared" si="401"/>
        <v>0</v>
      </c>
      <c r="X6450" t="str">
        <f t="shared" si="402"/>
        <v>49+ Months</v>
      </c>
      <c r="Y6450" s="1" t="str">
        <f t="shared" si="403"/>
        <v>High</v>
      </c>
    </row>
    <row r="6451" spans="1:25" x14ac:dyDescent="0.2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 t="shared" si="400"/>
        <v>0</v>
      </c>
      <c r="W6451">
        <f t="shared" si="401"/>
        <v>1</v>
      </c>
      <c r="X6451" t="str">
        <f t="shared" si="402"/>
        <v>0-12 Months</v>
      </c>
      <c r="Y6451" s="1" t="str">
        <f t="shared" si="403"/>
        <v>Low</v>
      </c>
    </row>
    <row r="6452" spans="1:25" x14ac:dyDescent="0.2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 t="shared" si="400"/>
        <v>0</v>
      </c>
      <c r="W6452">
        <f t="shared" si="401"/>
        <v>1</v>
      </c>
      <c r="X6452" t="str">
        <f t="shared" si="402"/>
        <v>25-48 Months</v>
      </c>
      <c r="Y6452" s="1" t="str">
        <f t="shared" si="403"/>
        <v>Low</v>
      </c>
    </row>
    <row r="6453" spans="1:25" x14ac:dyDescent="0.2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 t="shared" si="400"/>
        <v>0</v>
      </c>
      <c r="W6453">
        <f t="shared" si="401"/>
        <v>1</v>
      </c>
      <c r="X6453" t="str">
        <f t="shared" si="402"/>
        <v>49+ Months</v>
      </c>
      <c r="Y6453" s="1" t="str">
        <f t="shared" si="403"/>
        <v>High</v>
      </c>
    </row>
    <row r="6454" spans="1:25" x14ac:dyDescent="0.2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 t="shared" si="400"/>
        <v>0</v>
      </c>
      <c r="W6454">
        <f t="shared" si="401"/>
        <v>1</v>
      </c>
      <c r="X6454" t="str">
        <f t="shared" si="402"/>
        <v>13-24 Months</v>
      </c>
      <c r="Y6454" s="1" t="str">
        <f t="shared" si="403"/>
        <v>High</v>
      </c>
    </row>
    <row r="6455" spans="1:25" x14ac:dyDescent="0.2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 t="shared" si="400"/>
        <v>1</v>
      </c>
      <c r="W6455">
        <f t="shared" si="401"/>
        <v>0</v>
      </c>
      <c r="X6455" t="str">
        <f t="shared" si="402"/>
        <v>25-48 Months</v>
      </c>
      <c r="Y6455" s="1" t="str">
        <f t="shared" si="403"/>
        <v>High</v>
      </c>
    </row>
    <row r="6456" spans="1:25" x14ac:dyDescent="0.2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 t="shared" si="400"/>
        <v>0</v>
      </c>
      <c r="W6456">
        <f t="shared" si="401"/>
        <v>1</v>
      </c>
      <c r="X6456" t="str">
        <f t="shared" si="402"/>
        <v>25-48 Months</v>
      </c>
      <c r="Y6456" s="1" t="str">
        <f t="shared" si="403"/>
        <v>High</v>
      </c>
    </row>
    <row r="6457" spans="1:25" x14ac:dyDescent="0.2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 t="shared" si="400"/>
        <v>0</v>
      </c>
      <c r="W6457">
        <f t="shared" si="401"/>
        <v>1</v>
      </c>
      <c r="X6457" t="str">
        <f t="shared" si="402"/>
        <v>49+ Months</v>
      </c>
      <c r="Y6457" s="1" t="str">
        <f t="shared" si="403"/>
        <v>Low</v>
      </c>
    </row>
    <row r="6458" spans="1:25" x14ac:dyDescent="0.2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 t="shared" si="400"/>
        <v>0</v>
      </c>
      <c r="W6458">
        <f t="shared" si="401"/>
        <v>1</v>
      </c>
      <c r="X6458" t="str">
        <f t="shared" si="402"/>
        <v>49+ Months</v>
      </c>
      <c r="Y6458" s="1" t="str">
        <f t="shared" si="403"/>
        <v>Medium</v>
      </c>
    </row>
    <row r="6459" spans="1:25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 t="shared" si="400"/>
        <v>0</v>
      </c>
      <c r="W6459">
        <f t="shared" si="401"/>
        <v>1</v>
      </c>
      <c r="X6459" t="str">
        <f t="shared" si="402"/>
        <v>13-24 Months</v>
      </c>
      <c r="Y6459" s="1" t="str">
        <f t="shared" si="403"/>
        <v>Low</v>
      </c>
    </row>
    <row r="6460" spans="1:25" x14ac:dyDescent="0.2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 t="shared" si="400"/>
        <v>0</v>
      </c>
      <c r="W6460">
        <f t="shared" si="401"/>
        <v>1</v>
      </c>
      <c r="X6460" t="str">
        <f t="shared" si="402"/>
        <v>0-12 Months</v>
      </c>
      <c r="Y6460" s="1" t="str">
        <f t="shared" si="403"/>
        <v>Low</v>
      </c>
    </row>
    <row r="6461" spans="1:25" x14ac:dyDescent="0.2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 t="shared" si="400"/>
        <v>0</v>
      </c>
      <c r="W6461">
        <f t="shared" si="401"/>
        <v>1</v>
      </c>
      <c r="X6461" t="str">
        <f t="shared" si="402"/>
        <v>49+ Months</v>
      </c>
      <c r="Y6461" s="1" t="str">
        <f t="shared" si="403"/>
        <v>Low</v>
      </c>
    </row>
    <row r="6462" spans="1:25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 t="shared" si="400"/>
        <v>1</v>
      </c>
      <c r="W6462">
        <f t="shared" si="401"/>
        <v>0</v>
      </c>
      <c r="X6462" t="str">
        <f t="shared" si="402"/>
        <v>25-48 Months</v>
      </c>
      <c r="Y6462" s="1" t="str">
        <f t="shared" si="403"/>
        <v>High</v>
      </c>
    </row>
    <row r="6463" spans="1:25" x14ac:dyDescent="0.2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 t="shared" si="400"/>
        <v>0</v>
      </c>
      <c r="W6463">
        <f t="shared" si="401"/>
        <v>1</v>
      </c>
      <c r="X6463" t="str">
        <f t="shared" si="402"/>
        <v>49+ Months</v>
      </c>
      <c r="Y6463" s="1" t="str">
        <f t="shared" si="403"/>
        <v>High</v>
      </c>
    </row>
    <row r="6464" spans="1:25" x14ac:dyDescent="0.2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 t="shared" si="400"/>
        <v>1</v>
      </c>
      <c r="W6464">
        <f t="shared" si="401"/>
        <v>0</v>
      </c>
      <c r="X6464" t="str">
        <f t="shared" si="402"/>
        <v>0-12 Months</v>
      </c>
      <c r="Y6464" s="1" t="str">
        <f t="shared" si="403"/>
        <v>High</v>
      </c>
    </row>
    <row r="6465" spans="1:25" x14ac:dyDescent="0.2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 t="shared" si="400"/>
        <v>0</v>
      </c>
      <c r="W6465">
        <f t="shared" si="401"/>
        <v>1</v>
      </c>
      <c r="X6465" t="str">
        <f t="shared" si="402"/>
        <v>49+ Months</v>
      </c>
      <c r="Y6465" s="1" t="str">
        <f t="shared" si="403"/>
        <v>Medium</v>
      </c>
    </row>
    <row r="6466" spans="1:25" x14ac:dyDescent="0.2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 t="shared" ref="V6466:V6529" si="404">IF(U6466="Yes",1,0)</f>
        <v>0</v>
      </c>
      <c r="W6466">
        <f t="shared" ref="W6466:W6529" si="405">IF(U6466="No",1,0)</f>
        <v>1</v>
      </c>
      <c r="X6466" t="str">
        <f t="shared" ref="X6466:X6529" si="406">IF(F6466&lt;=12,"0-12 Months",IF(F6466&lt;=24,"13-24 Months",IF(F6466&lt;=48,"25-48 Months","49+ Months")))</f>
        <v>49+ Months</v>
      </c>
      <c r="Y6466" s="1" t="str">
        <f t="shared" ref="Y6466:Y6529" si="407">IF(S6466&lt;50,"Low",IF(S6466&lt;80,"Medium","High"))</f>
        <v>Medium</v>
      </c>
    </row>
    <row r="6467" spans="1:25" x14ac:dyDescent="0.2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 t="shared" si="404"/>
        <v>0</v>
      </c>
      <c r="W6467">
        <f t="shared" si="405"/>
        <v>1</v>
      </c>
      <c r="X6467" t="str">
        <f t="shared" si="406"/>
        <v>49+ Months</v>
      </c>
      <c r="Y6467" s="1" t="str">
        <f t="shared" si="407"/>
        <v>Low</v>
      </c>
    </row>
    <row r="6468" spans="1:25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 t="shared" si="404"/>
        <v>0</v>
      </c>
      <c r="W6468">
        <f t="shared" si="405"/>
        <v>1</v>
      </c>
      <c r="X6468" t="str">
        <f t="shared" si="406"/>
        <v>13-24 Months</v>
      </c>
      <c r="Y6468" s="1" t="str">
        <f t="shared" si="407"/>
        <v>Medium</v>
      </c>
    </row>
    <row r="6469" spans="1:25" x14ac:dyDescent="0.2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 t="shared" si="404"/>
        <v>0</v>
      </c>
      <c r="W6469">
        <f t="shared" si="405"/>
        <v>1</v>
      </c>
      <c r="X6469" t="str">
        <f t="shared" si="406"/>
        <v>0-12 Months</v>
      </c>
      <c r="Y6469" s="1" t="str">
        <f t="shared" si="407"/>
        <v>Medium</v>
      </c>
    </row>
    <row r="6470" spans="1:25" x14ac:dyDescent="0.2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 t="shared" si="404"/>
        <v>0</v>
      </c>
      <c r="W6470">
        <f t="shared" si="405"/>
        <v>1</v>
      </c>
      <c r="X6470" t="str">
        <f t="shared" si="406"/>
        <v>13-24 Months</v>
      </c>
      <c r="Y6470" s="1" t="str">
        <f t="shared" si="407"/>
        <v>Low</v>
      </c>
    </row>
    <row r="6471" spans="1:25" x14ac:dyDescent="0.2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 t="shared" si="404"/>
        <v>0</v>
      </c>
      <c r="W6471">
        <f t="shared" si="405"/>
        <v>1</v>
      </c>
      <c r="X6471" t="str">
        <f t="shared" si="406"/>
        <v>25-48 Months</v>
      </c>
      <c r="Y6471" s="1" t="str">
        <f t="shared" si="407"/>
        <v>Low</v>
      </c>
    </row>
    <row r="6472" spans="1:25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 t="shared" si="404"/>
        <v>0</v>
      </c>
      <c r="W6472">
        <f t="shared" si="405"/>
        <v>1</v>
      </c>
      <c r="X6472" t="str">
        <f t="shared" si="406"/>
        <v>0-12 Months</v>
      </c>
      <c r="Y6472" s="1" t="str">
        <f t="shared" si="407"/>
        <v>Low</v>
      </c>
    </row>
    <row r="6473" spans="1:25" x14ac:dyDescent="0.2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 t="shared" si="404"/>
        <v>0</v>
      </c>
      <c r="W6473">
        <f t="shared" si="405"/>
        <v>1</v>
      </c>
      <c r="X6473" t="str">
        <f t="shared" si="406"/>
        <v>13-24 Months</v>
      </c>
      <c r="Y6473" s="1" t="str">
        <f t="shared" si="407"/>
        <v>Low</v>
      </c>
    </row>
    <row r="6474" spans="1:25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 t="shared" si="404"/>
        <v>0</v>
      </c>
      <c r="W6474">
        <f t="shared" si="405"/>
        <v>1</v>
      </c>
      <c r="X6474" t="str">
        <f t="shared" si="406"/>
        <v>49+ Months</v>
      </c>
      <c r="Y6474" s="1" t="str">
        <f t="shared" si="407"/>
        <v>High</v>
      </c>
    </row>
    <row r="6475" spans="1:25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 t="shared" si="404"/>
        <v>1</v>
      </c>
      <c r="W6475">
        <f t="shared" si="405"/>
        <v>0</v>
      </c>
      <c r="X6475" t="str">
        <f t="shared" si="406"/>
        <v>0-12 Months</v>
      </c>
      <c r="Y6475" s="1" t="str">
        <f t="shared" si="407"/>
        <v>High</v>
      </c>
    </row>
    <row r="6476" spans="1:25" x14ac:dyDescent="0.2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 t="shared" si="404"/>
        <v>0</v>
      </c>
      <c r="W6476">
        <f t="shared" si="405"/>
        <v>1</v>
      </c>
      <c r="X6476" t="str">
        <f t="shared" si="406"/>
        <v>0-12 Months</v>
      </c>
      <c r="Y6476" s="1" t="str">
        <f t="shared" si="407"/>
        <v>Low</v>
      </c>
    </row>
    <row r="6477" spans="1:25" x14ac:dyDescent="0.2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 t="shared" si="404"/>
        <v>0</v>
      </c>
      <c r="W6477">
        <f t="shared" si="405"/>
        <v>1</v>
      </c>
      <c r="X6477" t="str">
        <f t="shared" si="406"/>
        <v>13-24 Months</v>
      </c>
      <c r="Y6477" s="1" t="str">
        <f t="shared" si="407"/>
        <v>Medium</v>
      </c>
    </row>
    <row r="6478" spans="1:25" x14ac:dyDescent="0.2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 t="shared" si="404"/>
        <v>0</v>
      </c>
      <c r="W6478">
        <f t="shared" si="405"/>
        <v>1</v>
      </c>
      <c r="X6478" t="str">
        <f t="shared" si="406"/>
        <v>49+ Months</v>
      </c>
      <c r="Y6478" s="1" t="str">
        <f t="shared" si="407"/>
        <v>Medium</v>
      </c>
    </row>
    <row r="6479" spans="1:25" x14ac:dyDescent="0.2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 t="shared" si="404"/>
        <v>0</v>
      </c>
      <c r="W6479">
        <f t="shared" si="405"/>
        <v>1</v>
      </c>
      <c r="X6479" t="str">
        <f t="shared" si="406"/>
        <v>49+ Months</v>
      </c>
      <c r="Y6479" s="1" t="str">
        <f t="shared" si="407"/>
        <v>High</v>
      </c>
    </row>
    <row r="6480" spans="1:25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 t="shared" si="404"/>
        <v>0</v>
      </c>
      <c r="W6480">
        <f t="shared" si="405"/>
        <v>1</v>
      </c>
      <c r="X6480" t="str">
        <f t="shared" si="406"/>
        <v>49+ Months</v>
      </c>
      <c r="Y6480" s="1" t="str">
        <f t="shared" si="407"/>
        <v>High</v>
      </c>
    </row>
    <row r="6481" spans="1:25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 t="shared" si="404"/>
        <v>1</v>
      </c>
      <c r="W6481">
        <f t="shared" si="405"/>
        <v>0</v>
      </c>
      <c r="X6481" t="str">
        <f t="shared" si="406"/>
        <v>0-12 Months</v>
      </c>
      <c r="Y6481" s="1" t="str">
        <f t="shared" si="407"/>
        <v>Medium</v>
      </c>
    </row>
    <row r="6482" spans="1:25" x14ac:dyDescent="0.2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 t="shared" si="404"/>
        <v>0</v>
      </c>
      <c r="W6482">
        <f t="shared" si="405"/>
        <v>1</v>
      </c>
      <c r="X6482" t="str">
        <f t="shared" si="406"/>
        <v>13-24 Months</v>
      </c>
      <c r="Y6482" s="1" t="str">
        <f t="shared" si="407"/>
        <v>Medium</v>
      </c>
    </row>
    <row r="6483" spans="1:25" x14ac:dyDescent="0.2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 t="shared" si="404"/>
        <v>0</v>
      </c>
      <c r="W6483">
        <f t="shared" si="405"/>
        <v>1</v>
      </c>
      <c r="X6483" t="str">
        <f t="shared" si="406"/>
        <v>0-12 Months</v>
      </c>
      <c r="Y6483" s="1" t="str">
        <f t="shared" si="407"/>
        <v>Medium</v>
      </c>
    </row>
    <row r="6484" spans="1:25" x14ac:dyDescent="0.2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 t="shared" si="404"/>
        <v>1</v>
      </c>
      <c r="W6484">
        <f t="shared" si="405"/>
        <v>0</v>
      </c>
      <c r="X6484" t="str">
        <f t="shared" si="406"/>
        <v>0-12 Months</v>
      </c>
      <c r="Y6484" s="1" t="str">
        <f t="shared" si="407"/>
        <v>High</v>
      </c>
    </row>
    <row r="6485" spans="1:25" x14ac:dyDescent="0.2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 t="shared" si="404"/>
        <v>0</v>
      </c>
      <c r="W6485">
        <f t="shared" si="405"/>
        <v>1</v>
      </c>
      <c r="X6485" t="str">
        <f t="shared" si="406"/>
        <v>13-24 Months</v>
      </c>
      <c r="Y6485" s="1" t="str">
        <f t="shared" si="407"/>
        <v>High</v>
      </c>
    </row>
    <row r="6486" spans="1:25" x14ac:dyDescent="0.2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 t="shared" si="404"/>
        <v>0</v>
      </c>
      <c r="W6486">
        <f t="shared" si="405"/>
        <v>1</v>
      </c>
      <c r="X6486" t="str">
        <f t="shared" si="406"/>
        <v>25-48 Months</v>
      </c>
      <c r="Y6486" s="1" t="str">
        <f t="shared" si="407"/>
        <v>High</v>
      </c>
    </row>
    <row r="6487" spans="1:25" x14ac:dyDescent="0.2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 t="shared" si="404"/>
        <v>0</v>
      </c>
      <c r="W6487">
        <f t="shared" si="405"/>
        <v>1</v>
      </c>
      <c r="X6487" t="str">
        <f t="shared" si="406"/>
        <v>49+ Months</v>
      </c>
      <c r="Y6487" s="1" t="str">
        <f t="shared" si="407"/>
        <v>Medium</v>
      </c>
    </row>
    <row r="6488" spans="1:25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 t="shared" si="404"/>
        <v>1</v>
      </c>
      <c r="W6488">
        <f t="shared" si="405"/>
        <v>0</v>
      </c>
      <c r="X6488" t="str">
        <f t="shared" si="406"/>
        <v>0-12 Months</v>
      </c>
      <c r="Y6488" s="1" t="str">
        <f t="shared" si="407"/>
        <v>Medium</v>
      </c>
    </row>
    <row r="6489" spans="1:25" x14ac:dyDescent="0.2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 t="shared" si="404"/>
        <v>0</v>
      </c>
      <c r="W6489">
        <f t="shared" si="405"/>
        <v>1</v>
      </c>
      <c r="X6489" t="str">
        <f t="shared" si="406"/>
        <v>49+ Months</v>
      </c>
      <c r="Y6489" s="1" t="str">
        <f t="shared" si="407"/>
        <v>High</v>
      </c>
    </row>
    <row r="6490" spans="1:25" x14ac:dyDescent="0.2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 t="shared" si="404"/>
        <v>1</v>
      </c>
      <c r="W6490">
        <f t="shared" si="405"/>
        <v>0</v>
      </c>
      <c r="X6490" t="str">
        <f t="shared" si="406"/>
        <v>0-12 Months</v>
      </c>
      <c r="Y6490" s="1" t="str">
        <f t="shared" si="407"/>
        <v>Medium</v>
      </c>
    </row>
    <row r="6491" spans="1:25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 t="shared" si="404"/>
        <v>1</v>
      </c>
      <c r="W6491">
        <f t="shared" si="405"/>
        <v>0</v>
      </c>
      <c r="X6491" t="str">
        <f t="shared" si="406"/>
        <v>0-12 Months</v>
      </c>
      <c r="Y6491" s="1" t="str">
        <f t="shared" si="407"/>
        <v>Low</v>
      </c>
    </row>
    <row r="6492" spans="1:25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 t="shared" si="404"/>
        <v>0</v>
      </c>
      <c r="W6492">
        <f t="shared" si="405"/>
        <v>1</v>
      </c>
      <c r="X6492" t="str">
        <f t="shared" si="406"/>
        <v>25-48 Months</v>
      </c>
      <c r="Y6492" s="1" t="str">
        <f t="shared" si="407"/>
        <v>Low</v>
      </c>
    </row>
    <row r="6493" spans="1:25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 t="shared" si="404"/>
        <v>1</v>
      </c>
      <c r="W6493">
        <f t="shared" si="405"/>
        <v>0</v>
      </c>
      <c r="X6493" t="str">
        <f t="shared" si="406"/>
        <v>0-12 Months</v>
      </c>
      <c r="Y6493" s="1" t="str">
        <f t="shared" si="407"/>
        <v>Medium</v>
      </c>
    </row>
    <row r="6494" spans="1:25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 t="shared" si="404"/>
        <v>0</v>
      </c>
      <c r="W6494">
        <f t="shared" si="405"/>
        <v>1</v>
      </c>
      <c r="X6494" t="str">
        <f t="shared" si="406"/>
        <v>13-24 Months</v>
      </c>
      <c r="Y6494" s="1" t="str">
        <f t="shared" si="407"/>
        <v>Low</v>
      </c>
    </row>
    <row r="6495" spans="1:25" x14ac:dyDescent="0.2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 t="shared" si="404"/>
        <v>0</v>
      </c>
      <c r="W6495">
        <f t="shared" si="405"/>
        <v>1</v>
      </c>
      <c r="X6495" t="str">
        <f t="shared" si="406"/>
        <v>13-24 Months</v>
      </c>
      <c r="Y6495" s="1" t="str">
        <f t="shared" si="407"/>
        <v>Medium</v>
      </c>
    </row>
    <row r="6496" spans="1:25" x14ac:dyDescent="0.2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 t="shared" si="404"/>
        <v>0</v>
      </c>
      <c r="W6496">
        <f t="shared" si="405"/>
        <v>1</v>
      </c>
      <c r="X6496" t="str">
        <f t="shared" si="406"/>
        <v>25-48 Months</v>
      </c>
      <c r="Y6496" s="1" t="str">
        <f t="shared" si="407"/>
        <v>Low</v>
      </c>
    </row>
    <row r="6497" spans="1:25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 t="shared" si="404"/>
        <v>1</v>
      </c>
      <c r="W6497">
        <f t="shared" si="405"/>
        <v>0</v>
      </c>
      <c r="X6497" t="str">
        <f t="shared" si="406"/>
        <v>0-12 Months</v>
      </c>
      <c r="Y6497" s="1" t="str">
        <f t="shared" si="407"/>
        <v>Medium</v>
      </c>
    </row>
    <row r="6498" spans="1:25" x14ac:dyDescent="0.2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 t="shared" si="404"/>
        <v>1</v>
      </c>
      <c r="W6498">
        <f t="shared" si="405"/>
        <v>0</v>
      </c>
      <c r="X6498" t="str">
        <f t="shared" si="406"/>
        <v>25-48 Months</v>
      </c>
      <c r="Y6498" s="1" t="str">
        <f t="shared" si="407"/>
        <v>High</v>
      </c>
    </row>
    <row r="6499" spans="1:25" x14ac:dyDescent="0.2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 t="shared" si="404"/>
        <v>0</v>
      </c>
      <c r="W6499">
        <f t="shared" si="405"/>
        <v>1</v>
      </c>
      <c r="X6499" t="str">
        <f t="shared" si="406"/>
        <v>49+ Months</v>
      </c>
      <c r="Y6499" s="1" t="str">
        <f t="shared" si="407"/>
        <v>High</v>
      </c>
    </row>
    <row r="6500" spans="1:25" x14ac:dyDescent="0.2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 t="shared" si="404"/>
        <v>1</v>
      </c>
      <c r="W6500">
        <f t="shared" si="405"/>
        <v>0</v>
      </c>
      <c r="X6500" t="str">
        <f t="shared" si="406"/>
        <v>0-12 Months</v>
      </c>
      <c r="Y6500" s="1" t="str">
        <f t="shared" si="407"/>
        <v>High</v>
      </c>
    </row>
    <row r="6501" spans="1:25" x14ac:dyDescent="0.2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 t="shared" si="404"/>
        <v>0</v>
      </c>
      <c r="W6501">
        <f t="shared" si="405"/>
        <v>1</v>
      </c>
      <c r="X6501" t="str">
        <f t="shared" si="406"/>
        <v>0-12 Months</v>
      </c>
      <c r="Y6501" s="1" t="str">
        <f t="shared" si="407"/>
        <v>Low</v>
      </c>
    </row>
    <row r="6502" spans="1:25" x14ac:dyDescent="0.2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 t="shared" si="404"/>
        <v>0</v>
      </c>
      <c r="W6502">
        <f t="shared" si="405"/>
        <v>1</v>
      </c>
      <c r="X6502" t="str">
        <f t="shared" si="406"/>
        <v>13-24 Months</v>
      </c>
      <c r="Y6502" s="1" t="str">
        <f t="shared" si="407"/>
        <v>Low</v>
      </c>
    </row>
    <row r="6503" spans="1:25" x14ac:dyDescent="0.2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 t="shared" si="404"/>
        <v>0</v>
      </c>
      <c r="W6503">
        <f t="shared" si="405"/>
        <v>1</v>
      </c>
      <c r="X6503" t="str">
        <f t="shared" si="406"/>
        <v>49+ Months</v>
      </c>
      <c r="Y6503" s="1" t="str">
        <f t="shared" si="407"/>
        <v>High</v>
      </c>
    </row>
    <row r="6504" spans="1:25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 t="shared" si="404"/>
        <v>0</v>
      </c>
      <c r="W6504">
        <f t="shared" si="405"/>
        <v>1</v>
      </c>
      <c r="X6504" t="str">
        <f t="shared" si="406"/>
        <v>25-48 Months</v>
      </c>
      <c r="Y6504" s="1" t="str">
        <f t="shared" si="407"/>
        <v>Medium</v>
      </c>
    </row>
    <row r="6505" spans="1:25" x14ac:dyDescent="0.2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 t="shared" si="404"/>
        <v>0</v>
      </c>
      <c r="W6505">
        <f t="shared" si="405"/>
        <v>1</v>
      </c>
      <c r="X6505" t="str">
        <f t="shared" si="406"/>
        <v>49+ Months</v>
      </c>
      <c r="Y6505" s="1" t="str">
        <f t="shared" si="407"/>
        <v>Medium</v>
      </c>
    </row>
    <row r="6506" spans="1:25" x14ac:dyDescent="0.2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 t="shared" si="404"/>
        <v>1</v>
      </c>
      <c r="W6506">
        <f t="shared" si="405"/>
        <v>0</v>
      </c>
      <c r="X6506" t="str">
        <f t="shared" si="406"/>
        <v>0-12 Months</v>
      </c>
      <c r="Y6506" s="1" t="str">
        <f t="shared" si="407"/>
        <v>Medium</v>
      </c>
    </row>
    <row r="6507" spans="1:25" x14ac:dyDescent="0.2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 t="shared" si="404"/>
        <v>0</v>
      </c>
      <c r="W6507">
        <f t="shared" si="405"/>
        <v>1</v>
      </c>
      <c r="X6507" t="str">
        <f t="shared" si="406"/>
        <v>49+ Months</v>
      </c>
      <c r="Y6507" s="1" t="str">
        <f t="shared" si="407"/>
        <v>Medium</v>
      </c>
    </row>
    <row r="6508" spans="1:25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 t="shared" si="404"/>
        <v>1</v>
      </c>
      <c r="W6508">
        <f t="shared" si="405"/>
        <v>0</v>
      </c>
      <c r="X6508" t="str">
        <f t="shared" si="406"/>
        <v>13-24 Months</v>
      </c>
      <c r="Y6508" s="1" t="str">
        <f t="shared" si="407"/>
        <v>High</v>
      </c>
    </row>
    <row r="6509" spans="1:25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 t="shared" si="404"/>
        <v>1</v>
      </c>
      <c r="W6509">
        <f t="shared" si="405"/>
        <v>0</v>
      </c>
      <c r="X6509" t="str">
        <f t="shared" si="406"/>
        <v>49+ Months</v>
      </c>
      <c r="Y6509" s="1" t="str">
        <f t="shared" si="407"/>
        <v>High</v>
      </c>
    </row>
    <row r="6510" spans="1:25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 t="shared" si="404"/>
        <v>1</v>
      </c>
      <c r="W6510">
        <f t="shared" si="405"/>
        <v>0</v>
      </c>
      <c r="X6510" t="str">
        <f t="shared" si="406"/>
        <v>25-48 Months</v>
      </c>
      <c r="Y6510" s="1" t="str">
        <f t="shared" si="407"/>
        <v>High</v>
      </c>
    </row>
    <row r="6511" spans="1:25" x14ac:dyDescent="0.2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 t="shared" si="404"/>
        <v>1</v>
      </c>
      <c r="W6511">
        <f t="shared" si="405"/>
        <v>0</v>
      </c>
      <c r="X6511" t="str">
        <f t="shared" si="406"/>
        <v>0-12 Months</v>
      </c>
      <c r="Y6511" s="1" t="str">
        <f t="shared" si="407"/>
        <v>Low</v>
      </c>
    </row>
    <row r="6512" spans="1:25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 t="shared" si="404"/>
        <v>0</v>
      </c>
      <c r="W6512">
        <f t="shared" si="405"/>
        <v>1</v>
      </c>
      <c r="X6512" t="str">
        <f t="shared" si="406"/>
        <v>25-48 Months</v>
      </c>
      <c r="Y6512" s="1" t="str">
        <f t="shared" si="407"/>
        <v>High</v>
      </c>
    </row>
    <row r="6513" spans="1:25" x14ac:dyDescent="0.2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 t="shared" si="404"/>
        <v>0</v>
      </c>
      <c r="W6513">
        <f t="shared" si="405"/>
        <v>1</v>
      </c>
      <c r="X6513" t="str">
        <f t="shared" si="406"/>
        <v>49+ Months</v>
      </c>
      <c r="Y6513" s="1" t="str">
        <f t="shared" si="407"/>
        <v>Medium</v>
      </c>
    </row>
    <row r="6514" spans="1:25" x14ac:dyDescent="0.2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 t="shared" si="404"/>
        <v>0</v>
      </c>
      <c r="W6514">
        <f t="shared" si="405"/>
        <v>1</v>
      </c>
      <c r="X6514" t="str">
        <f t="shared" si="406"/>
        <v>0-12 Months</v>
      </c>
      <c r="Y6514" s="1" t="str">
        <f t="shared" si="407"/>
        <v>Medium</v>
      </c>
    </row>
    <row r="6515" spans="1:25" x14ac:dyDescent="0.2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 t="shared" si="404"/>
        <v>0</v>
      </c>
      <c r="W6515">
        <f t="shared" si="405"/>
        <v>1</v>
      </c>
      <c r="X6515" t="str">
        <f t="shared" si="406"/>
        <v>13-24 Months</v>
      </c>
      <c r="Y6515" s="1" t="str">
        <f t="shared" si="407"/>
        <v>Medium</v>
      </c>
    </row>
    <row r="6516" spans="1:25" x14ac:dyDescent="0.2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 t="shared" si="404"/>
        <v>0</v>
      </c>
      <c r="W6516">
        <f t="shared" si="405"/>
        <v>1</v>
      </c>
      <c r="X6516" t="str">
        <f t="shared" si="406"/>
        <v>49+ Months</v>
      </c>
      <c r="Y6516" s="1" t="str">
        <f t="shared" si="407"/>
        <v>Medium</v>
      </c>
    </row>
    <row r="6517" spans="1:25" x14ac:dyDescent="0.2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 t="shared" si="404"/>
        <v>1</v>
      </c>
      <c r="W6517">
        <f t="shared" si="405"/>
        <v>0</v>
      </c>
      <c r="X6517" t="str">
        <f t="shared" si="406"/>
        <v>25-48 Months</v>
      </c>
      <c r="Y6517" s="1" t="str">
        <f t="shared" si="407"/>
        <v>Low</v>
      </c>
    </row>
    <row r="6518" spans="1:25" x14ac:dyDescent="0.2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 t="shared" si="404"/>
        <v>1</v>
      </c>
      <c r="W6518">
        <f t="shared" si="405"/>
        <v>0</v>
      </c>
      <c r="X6518" t="str">
        <f t="shared" si="406"/>
        <v>0-12 Months</v>
      </c>
      <c r="Y6518" s="1" t="str">
        <f t="shared" si="407"/>
        <v>Low</v>
      </c>
    </row>
    <row r="6519" spans="1:25" x14ac:dyDescent="0.2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 t="shared" si="404"/>
        <v>0</v>
      </c>
      <c r="W6519">
        <f t="shared" si="405"/>
        <v>1</v>
      </c>
      <c r="X6519" t="str">
        <f t="shared" si="406"/>
        <v>0-12 Months</v>
      </c>
      <c r="Y6519" s="1" t="str">
        <f t="shared" si="407"/>
        <v>Medium</v>
      </c>
    </row>
    <row r="6520" spans="1:25" x14ac:dyDescent="0.2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 t="shared" si="404"/>
        <v>1</v>
      </c>
      <c r="W6520">
        <f t="shared" si="405"/>
        <v>0</v>
      </c>
      <c r="X6520" t="str">
        <f t="shared" si="406"/>
        <v>0-12 Months</v>
      </c>
      <c r="Y6520" s="1" t="str">
        <f t="shared" si="407"/>
        <v>Low</v>
      </c>
    </row>
    <row r="6521" spans="1:25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 t="shared" si="404"/>
        <v>0</v>
      </c>
      <c r="W6521">
        <f t="shared" si="405"/>
        <v>1</v>
      </c>
      <c r="X6521" t="str">
        <f t="shared" si="406"/>
        <v>49+ Months</v>
      </c>
      <c r="Y6521" s="1" t="str">
        <f t="shared" si="407"/>
        <v>High</v>
      </c>
    </row>
    <row r="6522" spans="1:25" x14ac:dyDescent="0.2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 t="shared" si="404"/>
        <v>1</v>
      </c>
      <c r="W6522">
        <f t="shared" si="405"/>
        <v>0</v>
      </c>
      <c r="X6522" t="str">
        <f t="shared" si="406"/>
        <v>0-12 Months</v>
      </c>
      <c r="Y6522" s="1" t="str">
        <f t="shared" si="407"/>
        <v>High</v>
      </c>
    </row>
    <row r="6523" spans="1:25" x14ac:dyDescent="0.2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 t="shared" si="404"/>
        <v>0</v>
      </c>
      <c r="W6523">
        <f t="shared" si="405"/>
        <v>1</v>
      </c>
      <c r="X6523" t="str">
        <f t="shared" si="406"/>
        <v>13-24 Months</v>
      </c>
      <c r="Y6523" s="1" t="str">
        <f t="shared" si="407"/>
        <v>Low</v>
      </c>
    </row>
    <row r="6524" spans="1:25" x14ac:dyDescent="0.2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 t="shared" si="404"/>
        <v>0</v>
      </c>
      <c r="W6524">
        <f t="shared" si="405"/>
        <v>1</v>
      </c>
      <c r="X6524" t="str">
        <f t="shared" si="406"/>
        <v>25-48 Months</v>
      </c>
      <c r="Y6524" s="1" t="str">
        <f t="shared" si="407"/>
        <v>Low</v>
      </c>
    </row>
    <row r="6525" spans="1:25" x14ac:dyDescent="0.2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 t="shared" si="404"/>
        <v>0</v>
      </c>
      <c r="W6525">
        <f t="shared" si="405"/>
        <v>1</v>
      </c>
      <c r="X6525" t="str">
        <f t="shared" si="406"/>
        <v>13-24 Months</v>
      </c>
      <c r="Y6525" s="1" t="str">
        <f t="shared" si="407"/>
        <v>Low</v>
      </c>
    </row>
    <row r="6526" spans="1:25" x14ac:dyDescent="0.2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 t="shared" si="404"/>
        <v>1</v>
      </c>
      <c r="W6526">
        <f t="shared" si="405"/>
        <v>0</v>
      </c>
      <c r="X6526" t="str">
        <f t="shared" si="406"/>
        <v>0-12 Months</v>
      </c>
      <c r="Y6526" s="1" t="str">
        <f t="shared" si="407"/>
        <v>High</v>
      </c>
    </row>
    <row r="6527" spans="1:25" x14ac:dyDescent="0.2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 t="shared" si="404"/>
        <v>0</v>
      </c>
      <c r="W6527">
        <f t="shared" si="405"/>
        <v>1</v>
      </c>
      <c r="X6527" t="str">
        <f t="shared" si="406"/>
        <v>49+ Months</v>
      </c>
      <c r="Y6527" s="1" t="str">
        <f t="shared" si="407"/>
        <v>Low</v>
      </c>
    </row>
    <row r="6528" spans="1:25" x14ac:dyDescent="0.2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 t="shared" si="404"/>
        <v>1</v>
      </c>
      <c r="W6528">
        <f t="shared" si="405"/>
        <v>0</v>
      </c>
      <c r="X6528" t="str">
        <f t="shared" si="406"/>
        <v>49+ Months</v>
      </c>
      <c r="Y6528" s="1" t="str">
        <f t="shared" si="407"/>
        <v>High</v>
      </c>
    </row>
    <row r="6529" spans="1:25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 t="shared" si="404"/>
        <v>1</v>
      </c>
      <c r="W6529">
        <f t="shared" si="405"/>
        <v>0</v>
      </c>
      <c r="X6529" t="str">
        <f t="shared" si="406"/>
        <v>0-12 Months</v>
      </c>
      <c r="Y6529" s="1" t="str">
        <f t="shared" si="407"/>
        <v>Medium</v>
      </c>
    </row>
    <row r="6530" spans="1:25" x14ac:dyDescent="0.2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 t="shared" ref="V6530:V6593" si="408">IF(U6530="Yes",1,0)</f>
        <v>0</v>
      </c>
      <c r="W6530">
        <f t="shared" ref="W6530:W6593" si="409">IF(U6530="No",1,0)</f>
        <v>1</v>
      </c>
      <c r="X6530" t="str">
        <f t="shared" ref="X6530:X6593" si="410">IF(F6530&lt;=12,"0-12 Months",IF(F6530&lt;=24,"13-24 Months",IF(F6530&lt;=48,"25-48 Months","49+ Months")))</f>
        <v>49+ Months</v>
      </c>
      <c r="Y6530" s="1" t="str">
        <f t="shared" ref="Y6530:Y6593" si="411">IF(S6530&lt;50,"Low",IF(S6530&lt;80,"Medium","High"))</f>
        <v>Low</v>
      </c>
    </row>
    <row r="6531" spans="1:25" x14ac:dyDescent="0.2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 t="shared" si="408"/>
        <v>1</v>
      </c>
      <c r="W6531">
        <f t="shared" si="409"/>
        <v>0</v>
      </c>
      <c r="X6531" t="str">
        <f t="shared" si="410"/>
        <v>0-12 Months</v>
      </c>
      <c r="Y6531" s="1" t="str">
        <f t="shared" si="411"/>
        <v>Medium</v>
      </c>
    </row>
    <row r="6532" spans="1:25" x14ac:dyDescent="0.2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 t="shared" si="408"/>
        <v>0</v>
      </c>
      <c r="W6532">
        <f t="shared" si="409"/>
        <v>1</v>
      </c>
      <c r="X6532" t="str">
        <f t="shared" si="410"/>
        <v>49+ Months</v>
      </c>
      <c r="Y6532" s="1" t="str">
        <f t="shared" si="411"/>
        <v>Low</v>
      </c>
    </row>
    <row r="6533" spans="1:25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 t="shared" si="408"/>
        <v>0</v>
      </c>
      <c r="W6533">
        <f t="shared" si="409"/>
        <v>1</v>
      </c>
      <c r="X6533" t="str">
        <f t="shared" si="410"/>
        <v>25-48 Months</v>
      </c>
      <c r="Y6533" s="1" t="str">
        <f t="shared" si="411"/>
        <v>Medium</v>
      </c>
    </row>
    <row r="6534" spans="1:25" x14ac:dyDescent="0.2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 t="shared" si="408"/>
        <v>0</v>
      </c>
      <c r="W6534">
        <f t="shared" si="409"/>
        <v>1</v>
      </c>
      <c r="X6534" t="str">
        <f t="shared" si="410"/>
        <v>13-24 Months</v>
      </c>
      <c r="Y6534" s="1" t="str">
        <f t="shared" si="411"/>
        <v>Low</v>
      </c>
    </row>
    <row r="6535" spans="1:25" x14ac:dyDescent="0.2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 t="shared" si="408"/>
        <v>0</v>
      </c>
      <c r="W6535">
        <f t="shared" si="409"/>
        <v>1</v>
      </c>
      <c r="X6535" t="str">
        <f t="shared" si="410"/>
        <v>25-48 Months</v>
      </c>
      <c r="Y6535" s="1" t="str">
        <f t="shared" si="411"/>
        <v>High</v>
      </c>
    </row>
    <row r="6536" spans="1:25" x14ac:dyDescent="0.2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 t="shared" si="408"/>
        <v>0</v>
      </c>
      <c r="W6536">
        <f t="shared" si="409"/>
        <v>1</v>
      </c>
      <c r="X6536" t="str">
        <f t="shared" si="410"/>
        <v>49+ Months</v>
      </c>
      <c r="Y6536" s="1" t="str">
        <f t="shared" si="411"/>
        <v>High</v>
      </c>
    </row>
    <row r="6537" spans="1:25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 t="shared" si="408"/>
        <v>1</v>
      </c>
      <c r="W6537">
        <f t="shared" si="409"/>
        <v>0</v>
      </c>
      <c r="X6537" t="str">
        <f t="shared" si="410"/>
        <v>25-48 Months</v>
      </c>
      <c r="Y6537" s="1" t="str">
        <f t="shared" si="411"/>
        <v>High</v>
      </c>
    </row>
    <row r="6538" spans="1:25" x14ac:dyDescent="0.2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 t="shared" si="408"/>
        <v>0</v>
      </c>
      <c r="W6538">
        <f t="shared" si="409"/>
        <v>1</v>
      </c>
      <c r="X6538" t="str">
        <f t="shared" si="410"/>
        <v>0-12 Months</v>
      </c>
      <c r="Y6538" s="1" t="str">
        <f t="shared" si="411"/>
        <v>Low</v>
      </c>
    </row>
    <row r="6539" spans="1:25" x14ac:dyDescent="0.2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 t="shared" si="408"/>
        <v>1</v>
      </c>
      <c r="W6539">
        <f t="shared" si="409"/>
        <v>0</v>
      </c>
      <c r="X6539" t="str">
        <f t="shared" si="410"/>
        <v>49+ Months</v>
      </c>
      <c r="Y6539" s="1" t="str">
        <f t="shared" si="411"/>
        <v>High</v>
      </c>
    </row>
    <row r="6540" spans="1:25" x14ac:dyDescent="0.2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 t="shared" si="408"/>
        <v>1</v>
      </c>
      <c r="W6540">
        <f t="shared" si="409"/>
        <v>0</v>
      </c>
      <c r="X6540" t="str">
        <f t="shared" si="410"/>
        <v>0-12 Months</v>
      </c>
      <c r="Y6540" s="1" t="str">
        <f t="shared" si="411"/>
        <v>Medium</v>
      </c>
    </row>
    <row r="6541" spans="1:25" x14ac:dyDescent="0.2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 t="shared" si="408"/>
        <v>0</v>
      </c>
      <c r="W6541">
        <f t="shared" si="409"/>
        <v>1</v>
      </c>
      <c r="X6541" t="str">
        <f t="shared" si="410"/>
        <v>25-48 Months</v>
      </c>
      <c r="Y6541" s="1" t="str">
        <f t="shared" si="411"/>
        <v>Medium</v>
      </c>
    </row>
    <row r="6542" spans="1:25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 t="shared" si="408"/>
        <v>0</v>
      </c>
      <c r="W6542">
        <f t="shared" si="409"/>
        <v>1</v>
      </c>
      <c r="X6542" t="str">
        <f t="shared" si="410"/>
        <v>25-48 Months</v>
      </c>
      <c r="Y6542" s="1" t="str">
        <f t="shared" si="411"/>
        <v>Medium</v>
      </c>
    </row>
    <row r="6543" spans="1:25" x14ac:dyDescent="0.2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 t="shared" si="408"/>
        <v>0</v>
      </c>
      <c r="W6543">
        <f t="shared" si="409"/>
        <v>1</v>
      </c>
      <c r="X6543" t="str">
        <f t="shared" si="410"/>
        <v>13-24 Months</v>
      </c>
      <c r="Y6543" s="1" t="str">
        <f t="shared" si="411"/>
        <v>Low</v>
      </c>
    </row>
    <row r="6544" spans="1:25" x14ac:dyDescent="0.2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 t="shared" si="408"/>
        <v>1</v>
      </c>
      <c r="W6544">
        <f t="shared" si="409"/>
        <v>0</v>
      </c>
      <c r="X6544" t="str">
        <f t="shared" si="410"/>
        <v>13-24 Months</v>
      </c>
      <c r="Y6544" s="1" t="str">
        <f t="shared" si="411"/>
        <v>Medium</v>
      </c>
    </row>
    <row r="6545" spans="1:25" x14ac:dyDescent="0.2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 t="shared" si="408"/>
        <v>0</v>
      </c>
      <c r="W6545">
        <f t="shared" si="409"/>
        <v>1</v>
      </c>
      <c r="X6545" t="str">
        <f t="shared" si="410"/>
        <v>49+ Months</v>
      </c>
      <c r="Y6545" s="1" t="str">
        <f t="shared" si="411"/>
        <v>Medium</v>
      </c>
    </row>
    <row r="6546" spans="1:25" x14ac:dyDescent="0.2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 t="shared" si="408"/>
        <v>1</v>
      </c>
      <c r="W6546">
        <f t="shared" si="409"/>
        <v>0</v>
      </c>
      <c r="X6546" t="str">
        <f t="shared" si="410"/>
        <v>25-48 Months</v>
      </c>
      <c r="Y6546" s="1" t="str">
        <f t="shared" si="411"/>
        <v>High</v>
      </c>
    </row>
    <row r="6547" spans="1:25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 t="shared" si="408"/>
        <v>1</v>
      </c>
      <c r="W6547">
        <f t="shared" si="409"/>
        <v>0</v>
      </c>
      <c r="X6547" t="str">
        <f t="shared" si="410"/>
        <v>0-12 Months</v>
      </c>
      <c r="Y6547" s="1" t="str">
        <f t="shared" si="411"/>
        <v>Medium</v>
      </c>
    </row>
    <row r="6548" spans="1:25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 t="shared" si="408"/>
        <v>0</v>
      </c>
      <c r="W6548">
        <f t="shared" si="409"/>
        <v>1</v>
      </c>
      <c r="X6548" t="str">
        <f t="shared" si="410"/>
        <v>13-24 Months</v>
      </c>
      <c r="Y6548" s="1" t="str">
        <f t="shared" si="411"/>
        <v>Medium</v>
      </c>
    </row>
    <row r="6549" spans="1:25" x14ac:dyDescent="0.2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 t="shared" si="408"/>
        <v>0</v>
      </c>
      <c r="W6549">
        <f t="shared" si="409"/>
        <v>1</v>
      </c>
      <c r="X6549" t="str">
        <f t="shared" si="410"/>
        <v>49+ Months</v>
      </c>
      <c r="Y6549" s="1" t="str">
        <f t="shared" si="411"/>
        <v>Low</v>
      </c>
    </row>
    <row r="6550" spans="1:25" x14ac:dyDescent="0.2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 t="shared" si="408"/>
        <v>0</v>
      </c>
      <c r="W6550">
        <f t="shared" si="409"/>
        <v>1</v>
      </c>
      <c r="X6550" t="str">
        <f t="shared" si="410"/>
        <v>25-48 Months</v>
      </c>
      <c r="Y6550" s="1" t="str">
        <f t="shared" si="411"/>
        <v>Medium</v>
      </c>
    </row>
    <row r="6551" spans="1:25" x14ac:dyDescent="0.2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 t="shared" si="408"/>
        <v>1</v>
      </c>
      <c r="W6551">
        <f t="shared" si="409"/>
        <v>0</v>
      </c>
      <c r="X6551" t="str">
        <f t="shared" si="410"/>
        <v>0-12 Months</v>
      </c>
      <c r="Y6551" s="1" t="str">
        <f t="shared" si="411"/>
        <v>Medium</v>
      </c>
    </row>
    <row r="6552" spans="1:25" x14ac:dyDescent="0.2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 t="shared" si="408"/>
        <v>1</v>
      </c>
      <c r="W6552">
        <f t="shared" si="409"/>
        <v>0</v>
      </c>
      <c r="X6552" t="str">
        <f t="shared" si="410"/>
        <v>13-24 Months</v>
      </c>
      <c r="Y6552" s="1" t="str">
        <f t="shared" si="411"/>
        <v>High</v>
      </c>
    </row>
    <row r="6553" spans="1:25" x14ac:dyDescent="0.2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 t="shared" si="408"/>
        <v>0</v>
      </c>
      <c r="W6553">
        <f t="shared" si="409"/>
        <v>1</v>
      </c>
      <c r="X6553" t="str">
        <f t="shared" si="410"/>
        <v>49+ Months</v>
      </c>
      <c r="Y6553" s="1" t="str">
        <f t="shared" si="411"/>
        <v>High</v>
      </c>
    </row>
    <row r="6554" spans="1:25" x14ac:dyDescent="0.2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 t="shared" si="408"/>
        <v>1</v>
      </c>
      <c r="W6554">
        <f t="shared" si="409"/>
        <v>0</v>
      </c>
      <c r="X6554" t="str">
        <f t="shared" si="410"/>
        <v>0-12 Months</v>
      </c>
      <c r="Y6554" s="1" t="str">
        <f t="shared" si="411"/>
        <v>Medium</v>
      </c>
    </row>
    <row r="6555" spans="1:25" x14ac:dyDescent="0.2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 t="shared" si="408"/>
        <v>0</v>
      </c>
      <c r="W6555">
        <f t="shared" si="409"/>
        <v>1</v>
      </c>
      <c r="X6555" t="str">
        <f t="shared" si="410"/>
        <v>49+ Months</v>
      </c>
      <c r="Y6555" s="1" t="str">
        <f t="shared" si="411"/>
        <v>Medium</v>
      </c>
    </row>
    <row r="6556" spans="1:25" x14ac:dyDescent="0.2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 t="shared" si="408"/>
        <v>1</v>
      </c>
      <c r="W6556">
        <f t="shared" si="409"/>
        <v>0</v>
      </c>
      <c r="X6556" t="str">
        <f t="shared" si="410"/>
        <v>0-12 Months</v>
      </c>
      <c r="Y6556" s="1" t="str">
        <f t="shared" si="411"/>
        <v>Medium</v>
      </c>
    </row>
    <row r="6557" spans="1:25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 t="shared" si="408"/>
        <v>0</v>
      </c>
      <c r="W6557">
        <f t="shared" si="409"/>
        <v>1</v>
      </c>
      <c r="X6557" t="str">
        <f t="shared" si="410"/>
        <v>13-24 Months</v>
      </c>
      <c r="Y6557" s="1" t="str">
        <f t="shared" si="411"/>
        <v>Low</v>
      </c>
    </row>
    <row r="6558" spans="1:25" x14ac:dyDescent="0.2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 t="shared" si="408"/>
        <v>0</v>
      </c>
      <c r="W6558">
        <f t="shared" si="409"/>
        <v>1</v>
      </c>
      <c r="X6558" t="str">
        <f t="shared" si="410"/>
        <v>0-12 Months</v>
      </c>
      <c r="Y6558" s="1" t="str">
        <f t="shared" si="411"/>
        <v>Low</v>
      </c>
    </row>
    <row r="6559" spans="1:25" x14ac:dyDescent="0.2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 t="shared" si="408"/>
        <v>0</v>
      </c>
      <c r="W6559">
        <f t="shared" si="409"/>
        <v>1</v>
      </c>
      <c r="X6559" t="str">
        <f t="shared" si="410"/>
        <v>25-48 Months</v>
      </c>
      <c r="Y6559" s="1" t="str">
        <f t="shared" si="411"/>
        <v>High</v>
      </c>
    </row>
    <row r="6560" spans="1:25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 t="shared" si="408"/>
        <v>1</v>
      </c>
      <c r="W6560">
        <f t="shared" si="409"/>
        <v>0</v>
      </c>
      <c r="X6560" t="str">
        <f t="shared" si="410"/>
        <v>13-24 Months</v>
      </c>
      <c r="Y6560" s="1" t="str">
        <f t="shared" si="411"/>
        <v>Low</v>
      </c>
    </row>
    <row r="6561" spans="1:25" x14ac:dyDescent="0.2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 t="shared" si="408"/>
        <v>0</v>
      </c>
      <c r="W6561">
        <f t="shared" si="409"/>
        <v>1</v>
      </c>
      <c r="X6561" t="str">
        <f t="shared" si="410"/>
        <v>49+ Months</v>
      </c>
      <c r="Y6561" s="1" t="str">
        <f t="shared" si="411"/>
        <v>High</v>
      </c>
    </row>
    <row r="6562" spans="1:25" x14ac:dyDescent="0.2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 t="shared" si="408"/>
        <v>0</v>
      </c>
      <c r="W6562">
        <f t="shared" si="409"/>
        <v>1</v>
      </c>
      <c r="X6562" t="str">
        <f t="shared" si="410"/>
        <v>13-24 Months</v>
      </c>
      <c r="Y6562" s="1" t="str">
        <f t="shared" si="411"/>
        <v>Low</v>
      </c>
    </row>
    <row r="6563" spans="1:25" x14ac:dyDescent="0.2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 t="shared" si="408"/>
        <v>0</v>
      </c>
      <c r="W6563">
        <f t="shared" si="409"/>
        <v>1</v>
      </c>
      <c r="X6563" t="str">
        <f t="shared" si="410"/>
        <v>0-12 Months</v>
      </c>
      <c r="Y6563" s="1" t="str">
        <f t="shared" si="411"/>
        <v>Medium</v>
      </c>
    </row>
    <row r="6564" spans="1:25" x14ac:dyDescent="0.2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 t="shared" si="408"/>
        <v>1</v>
      </c>
      <c r="W6564">
        <f t="shared" si="409"/>
        <v>0</v>
      </c>
      <c r="X6564" t="str">
        <f t="shared" si="410"/>
        <v>13-24 Months</v>
      </c>
      <c r="Y6564" s="1" t="str">
        <f t="shared" si="411"/>
        <v>High</v>
      </c>
    </row>
    <row r="6565" spans="1:25" x14ac:dyDescent="0.2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 t="shared" si="408"/>
        <v>1</v>
      </c>
      <c r="W6565">
        <f t="shared" si="409"/>
        <v>0</v>
      </c>
      <c r="X6565" t="str">
        <f t="shared" si="410"/>
        <v>13-24 Months</v>
      </c>
      <c r="Y6565" s="1" t="str">
        <f t="shared" si="411"/>
        <v>Medium</v>
      </c>
    </row>
    <row r="6566" spans="1:25" x14ac:dyDescent="0.2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 t="shared" si="408"/>
        <v>0</v>
      </c>
      <c r="W6566">
        <f t="shared" si="409"/>
        <v>1</v>
      </c>
      <c r="X6566" t="str">
        <f t="shared" si="410"/>
        <v>0-12 Months</v>
      </c>
      <c r="Y6566" s="1" t="str">
        <f t="shared" si="411"/>
        <v>Low</v>
      </c>
    </row>
    <row r="6567" spans="1:25" x14ac:dyDescent="0.2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 t="shared" si="408"/>
        <v>0</v>
      </c>
      <c r="W6567">
        <f t="shared" si="409"/>
        <v>1</v>
      </c>
      <c r="X6567" t="str">
        <f t="shared" si="410"/>
        <v>49+ Months</v>
      </c>
      <c r="Y6567" s="1" t="str">
        <f t="shared" si="411"/>
        <v>High</v>
      </c>
    </row>
    <row r="6568" spans="1:25" x14ac:dyDescent="0.2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 t="shared" si="408"/>
        <v>0</v>
      </c>
      <c r="W6568">
        <f t="shared" si="409"/>
        <v>1</v>
      </c>
      <c r="X6568" t="str">
        <f t="shared" si="410"/>
        <v>49+ Months</v>
      </c>
      <c r="Y6568" s="1" t="str">
        <f t="shared" si="411"/>
        <v>High</v>
      </c>
    </row>
    <row r="6569" spans="1:25" x14ac:dyDescent="0.2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 t="shared" si="408"/>
        <v>0</v>
      </c>
      <c r="W6569">
        <f t="shared" si="409"/>
        <v>1</v>
      </c>
      <c r="X6569" t="str">
        <f t="shared" si="410"/>
        <v>13-24 Months</v>
      </c>
      <c r="Y6569" s="1" t="str">
        <f t="shared" si="411"/>
        <v>High</v>
      </c>
    </row>
    <row r="6570" spans="1:25" x14ac:dyDescent="0.2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 t="shared" si="408"/>
        <v>0</v>
      </c>
      <c r="W6570">
        <f t="shared" si="409"/>
        <v>1</v>
      </c>
      <c r="X6570" t="str">
        <f t="shared" si="410"/>
        <v>0-12 Months</v>
      </c>
      <c r="Y6570" s="1" t="str">
        <f t="shared" si="411"/>
        <v>Low</v>
      </c>
    </row>
    <row r="6571" spans="1:25" x14ac:dyDescent="0.2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 t="shared" si="408"/>
        <v>0</v>
      </c>
      <c r="W6571">
        <f t="shared" si="409"/>
        <v>1</v>
      </c>
      <c r="X6571" t="str">
        <f t="shared" si="410"/>
        <v>0-12 Months</v>
      </c>
      <c r="Y6571" s="1" t="str">
        <f t="shared" si="411"/>
        <v>Low</v>
      </c>
    </row>
    <row r="6572" spans="1:25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 t="shared" si="408"/>
        <v>0</v>
      </c>
      <c r="W6572">
        <f t="shared" si="409"/>
        <v>1</v>
      </c>
      <c r="X6572" t="str">
        <f t="shared" si="410"/>
        <v>0-12 Months</v>
      </c>
      <c r="Y6572" s="1" t="str">
        <f t="shared" si="411"/>
        <v>Low</v>
      </c>
    </row>
    <row r="6573" spans="1:25" x14ac:dyDescent="0.2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 t="shared" si="408"/>
        <v>0</v>
      </c>
      <c r="W6573">
        <f t="shared" si="409"/>
        <v>1</v>
      </c>
      <c r="X6573" t="str">
        <f t="shared" si="410"/>
        <v>25-48 Months</v>
      </c>
      <c r="Y6573" s="1" t="str">
        <f t="shared" si="411"/>
        <v>Medium</v>
      </c>
    </row>
    <row r="6574" spans="1:25" x14ac:dyDescent="0.2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 t="shared" si="408"/>
        <v>0</v>
      </c>
      <c r="W6574">
        <f t="shared" si="409"/>
        <v>1</v>
      </c>
      <c r="X6574" t="str">
        <f t="shared" si="410"/>
        <v>49+ Months</v>
      </c>
      <c r="Y6574" s="1" t="str">
        <f t="shared" si="411"/>
        <v>High</v>
      </c>
    </row>
    <row r="6575" spans="1:25" x14ac:dyDescent="0.2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 t="shared" si="408"/>
        <v>0</v>
      </c>
      <c r="W6575">
        <f t="shared" si="409"/>
        <v>1</v>
      </c>
      <c r="X6575" t="str">
        <f t="shared" si="410"/>
        <v>25-48 Months</v>
      </c>
      <c r="Y6575" s="1" t="str">
        <f t="shared" si="411"/>
        <v>Medium</v>
      </c>
    </row>
    <row r="6576" spans="1:25" x14ac:dyDescent="0.2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 t="shared" si="408"/>
        <v>0</v>
      </c>
      <c r="W6576">
        <f t="shared" si="409"/>
        <v>1</v>
      </c>
      <c r="X6576" t="str">
        <f t="shared" si="410"/>
        <v>0-12 Months</v>
      </c>
      <c r="Y6576" s="1" t="str">
        <f t="shared" si="411"/>
        <v>High</v>
      </c>
    </row>
    <row r="6577" spans="1:25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 t="shared" si="408"/>
        <v>0</v>
      </c>
      <c r="W6577">
        <f t="shared" si="409"/>
        <v>1</v>
      </c>
      <c r="X6577" t="str">
        <f t="shared" si="410"/>
        <v>13-24 Months</v>
      </c>
      <c r="Y6577" s="1" t="str">
        <f t="shared" si="411"/>
        <v>Medium</v>
      </c>
    </row>
    <row r="6578" spans="1:25" x14ac:dyDescent="0.2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 t="shared" si="408"/>
        <v>0</v>
      </c>
      <c r="W6578">
        <f t="shared" si="409"/>
        <v>1</v>
      </c>
      <c r="X6578" t="str">
        <f t="shared" si="410"/>
        <v>0-12 Months</v>
      </c>
      <c r="Y6578" s="1" t="str">
        <f t="shared" si="411"/>
        <v>Low</v>
      </c>
    </row>
    <row r="6579" spans="1:25" x14ac:dyDescent="0.2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 t="shared" si="408"/>
        <v>0</v>
      </c>
      <c r="W6579">
        <f t="shared" si="409"/>
        <v>1</v>
      </c>
      <c r="X6579" t="str">
        <f t="shared" si="410"/>
        <v>49+ Months</v>
      </c>
      <c r="Y6579" s="1" t="str">
        <f t="shared" si="411"/>
        <v>Medium</v>
      </c>
    </row>
    <row r="6580" spans="1:25" x14ac:dyDescent="0.2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 t="shared" si="408"/>
        <v>0</v>
      </c>
      <c r="W6580">
        <f t="shared" si="409"/>
        <v>1</v>
      </c>
      <c r="X6580" t="str">
        <f t="shared" si="410"/>
        <v>0-12 Months</v>
      </c>
      <c r="Y6580" s="1" t="str">
        <f t="shared" si="411"/>
        <v>Medium</v>
      </c>
    </row>
    <row r="6581" spans="1:25" x14ac:dyDescent="0.2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 t="shared" si="408"/>
        <v>0</v>
      </c>
      <c r="W6581">
        <f t="shared" si="409"/>
        <v>1</v>
      </c>
      <c r="X6581" t="str">
        <f t="shared" si="410"/>
        <v>49+ Months</v>
      </c>
      <c r="Y6581" s="1" t="str">
        <f t="shared" si="411"/>
        <v>High</v>
      </c>
    </row>
    <row r="6582" spans="1:25" x14ac:dyDescent="0.2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 t="shared" si="408"/>
        <v>0</v>
      </c>
      <c r="W6582">
        <f t="shared" si="409"/>
        <v>1</v>
      </c>
      <c r="X6582" t="str">
        <f t="shared" si="410"/>
        <v>49+ Months</v>
      </c>
      <c r="Y6582" s="1" t="str">
        <f t="shared" si="411"/>
        <v>Medium</v>
      </c>
    </row>
    <row r="6583" spans="1:25" x14ac:dyDescent="0.2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 t="shared" si="408"/>
        <v>0</v>
      </c>
      <c r="W6583">
        <f t="shared" si="409"/>
        <v>1</v>
      </c>
      <c r="X6583" t="str">
        <f t="shared" si="410"/>
        <v>49+ Months</v>
      </c>
      <c r="Y6583" s="1" t="str">
        <f t="shared" si="411"/>
        <v>Medium</v>
      </c>
    </row>
    <row r="6584" spans="1:25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 t="shared" si="408"/>
        <v>0</v>
      </c>
      <c r="W6584">
        <f t="shared" si="409"/>
        <v>1</v>
      </c>
      <c r="X6584" t="str">
        <f t="shared" si="410"/>
        <v>49+ Months</v>
      </c>
      <c r="Y6584" s="1" t="str">
        <f t="shared" si="411"/>
        <v>High</v>
      </c>
    </row>
    <row r="6585" spans="1:25" x14ac:dyDescent="0.2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 t="shared" si="408"/>
        <v>0</v>
      </c>
      <c r="W6585">
        <f t="shared" si="409"/>
        <v>1</v>
      </c>
      <c r="X6585" t="str">
        <f t="shared" si="410"/>
        <v>13-24 Months</v>
      </c>
      <c r="Y6585" s="1" t="str">
        <f t="shared" si="411"/>
        <v>Low</v>
      </c>
    </row>
    <row r="6586" spans="1:25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 t="shared" si="408"/>
        <v>0</v>
      </c>
      <c r="W6586">
        <f t="shared" si="409"/>
        <v>1</v>
      </c>
      <c r="X6586" t="str">
        <f t="shared" si="410"/>
        <v>49+ Months</v>
      </c>
      <c r="Y6586" s="1" t="str">
        <f t="shared" si="411"/>
        <v>Low</v>
      </c>
    </row>
    <row r="6587" spans="1:25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 t="shared" si="408"/>
        <v>0</v>
      </c>
      <c r="W6587">
        <f t="shared" si="409"/>
        <v>1</v>
      </c>
      <c r="X6587" t="str">
        <f t="shared" si="410"/>
        <v>25-48 Months</v>
      </c>
      <c r="Y6587" s="1" t="str">
        <f t="shared" si="411"/>
        <v>Low</v>
      </c>
    </row>
    <row r="6588" spans="1:25" x14ac:dyDescent="0.2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 t="shared" si="408"/>
        <v>0</v>
      </c>
      <c r="W6588">
        <f t="shared" si="409"/>
        <v>1</v>
      </c>
      <c r="X6588" t="str">
        <f t="shared" si="410"/>
        <v>25-48 Months</v>
      </c>
      <c r="Y6588" s="1" t="str">
        <f t="shared" si="411"/>
        <v>Low</v>
      </c>
    </row>
    <row r="6589" spans="1:25" x14ac:dyDescent="0.2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 t="shared" si="408"/>
        <v>0</v>
      </c>
      <c r="W6589">
        <f t="shared" si="409"/>
        <v>1</v>
      </c>
      <c r="X6589" t="str">
        <f t="shared" si="410"/>
        <v>49+ Months</v>
      </c>
      <c r="Y6589" s="1" t="str">
        <f t="shared" si="411"/>
        <v>High</v>
      </c>
    </row>
    <row r="6590" spans="1:25" x14ac:dyDescent="0.2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 t="shared" si="408"/>
        <v>0</v>
      </c>
      <c r="W6590">
        <f t="shared" si="409"/>
        <v>1</v>
      </c>
      <c r="X6590" t="str">
        <f t="shared" si="410"/>
        <v>13-24 Months</v>
      </c>
      <c r="Y6590" s="1" t="str">
        <f t="shared" si="411"/>
        <v>Low</v>
      </c>
    </row>
    <row r="6591" spans="1:25" x14ac:dyDescent="0.2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 t="shared" si="408"/>
        <v>0</v>
      </c>
      <c r="W6591">
        <f t="shared" si="409"/>
        <v>1</v>
      </c>
      <c r="X6591" t="str">
        <f t="shared" si="410"/>
        <v>49+ Months</v>
      </c>
      <c r="Y6591" s="1" t="str">
        <f t="shared" si="411"/>
        <v>Low</v>
      </c>
    </row>
    <row r="6592" spans="1:25" x14ac:dyDescent="0.2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 t="shared" si="408"/>
        <v>1</v>
      </c>
      <c r="W6592">
        <f t="shared" si="409"/>
        <v>0</v>
      </c>
      <c r="X6592" t="str">
        <f t="shared" si="410"/>
        <v>0-12 Months</v>
      </c>
      <c r="Y6592" s="1" t="str">
        <f t="shared" si="411"/>
        <v>Medium</v>
      </c>
    </row>
    <row r="6593" spans="1:25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 t="shared" si="408"/>
        <v>1</v>
      </c>
      <c r="W6593">
        <f t="shared" si="409"/>
        <v>0</v>
      </c>
      <c r="X6593" t="str">
        <f t="shared" si="410"/>
        <v>0-12 Months</v>
      </c>
      <c r="Y6593" s="1" t="str">
        <f t="shared" si="411"/>
        <v>Medium</v>
      </c>
    </row>
    <row r="6594" spans="1:25" x14ac:dyDescent="0.2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 t="shared" ref="V6594:V6657" si="412">IF(U6594="Yes",1,0)</f>
        <v>0</v>
      </c>
      <c r="W6594">
        <f t="shared" ref="W6594:W6657" si="413">IF(U6594="No",1,0)</f>
        <v>1</v>
      </c>
      <c r="X6594" t="str">
        <f t="shared" ref="X6594:X6657" si="414">IF(F6594&lt;=12,"0-12 Months",IF(F6594&lt;=24,"13-24 Months",IF(F6594&lt;=48,"25-48 Months","49+ Months")))</f>
        <v>25-48 Months</v>
      </c>
      <c r="Y6594" s="1" t="str">
        <f t="shared" ref="Y6594:Y6657" si="415">IF(S6594&lt;50,"Low",IF(S6594&lt;80,"Medium","High"))</f>
        <v>Medium</v>
      </c>
    </row>
    <row r="6595" spans="1:25" x14ac:dyDescent="0.2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 t="shared" si="412"/>
        <v>1</v>
      </c>
      <c r="W6595">
        <f t="shared" si="413"/>
        <v>0</v>
      </c>
      <c r="X6595" t="str">
        <f t="shared" si="414"/>
        <v>49+ Months</v>
      </c>
      <c r="Y6595" s="1" t="str">
        <f t="shared" si="415"/>
        <v>Medium</v>
      </c>
    </row>
    <row r="6596" spans="1:25" x14ac:dyDescent="0.2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 t="shared" si="412"/>
        <v>0</v>
      </c>
      <c r="W6596">
        <f t="shared" si="413"/>
        <v>1</v>
      </c>
      <c r="X6596" t="str">
        <f t="shared" si="414"/>
        <v>13-24 Months</v>
      </c>
      <c r="Y6596" s="1" t="str">
        <f t="shared" si="415"/>
        <v>Low</v>
      </c>
    </row>
    <row r="6597" spans="1:25" x14ac:dyDescent="0.2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 t="shared" si="412"/>
        <v>0</v>
      </c>
      <c r="W6597">
        <f t="shared" si="413"/>
        <v>1</v>
      </c>
      <c r="X6597" t="str">
        <f t="shared" si="414"/>
        <v>49+ Months</v>
      </c>
      <c r="Y6597" s="1" t="str">
        <f t="shared" si="415"/>
        <v>High</v>
      </c>
    </row>
    <row r="6598" spans="1:25" x14ac:dyDescent="0.2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 t="shared" si="412"/>
        <v>0</v>
      </c>
      <c r="W6598">
        <f t="shared" si="413"/>
        <v>1</v>
      </c>
      <c r="X6598" t="str">
        <f t="shared" si="414"/>
        <v>49+ Months</v>
      </c>
      <c r="Y6598" s="1" t="str">
        <f t="shared" si="415"/>
        <v>High</v>
      </c>
    </row>
    <row r="6599" spans="1:25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 t="shared" si="412"/>
        <v>1</v>
      </c>
      <c r="W6599">
        <f t="shared" si="413"/>
        <v>0</v>
      </c>
      <c r="X6599" t="str">
        <f t="shared" si="414"/>
        <v>0-12 Months</v>
      </c>
      <c r="Y6599" s="1" t="str">
        <f t="shared" si="415"/>
        <v>Medium</v>
      </c>
    </row>
    <row r="6600" spans="1:25" x14ac:dyDescent="0.2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 t="shared" si="412"/>
        <v>0</v>
      </c>
      <c r="W6600">
        <f t="shared" si="413"/>
        <v>1</v>
      </c>
      <c r="X6600" t="str">
        <f t="shared" si="414"/>
        <v>49+ Months</v>
      </c>
      <c r="Y6600" s="1" t="str">
        <f t="shared" si="415"/>
        <v>Medium</v>
      </c>
    </row>
    <row r="6601" spans="1:25" x14ac:dyDescent="0.2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 t="shared" si="412"/>
        <v>1</v>
      </c>
      <c r="W6601">
        <f t="shared" si="413"/>
        <v>0</v>
      </c>
      <c r="X6601" t="str">
        <f t="shared" si="414"/>
        <v>13-24 Months</v>
      </c>
      <c r="Y6601" s="1" t="str">
        <f t="shared" si="415"/>
        <v>High</v>
      </c>
    </row>
    <row r="6602" spans="1:25" x14ac:dyDescent="0.2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 t="shared" si="412"/>
        <v>1</v>
      </c>
      <c r="W6602">
        <f t="shared" si="413"/>
        <v>0</v>
      </c>
      <c r="X6602" t="str">
        <f t="shared" si="414"/>
        <v>0-12 Months</v>
      </c>
      <c r="Y6602" s="1" t="str">
        <f t="shared" si="415"/>
        <v>Low</v>
      </c>
    </row>
    <row r="6603" spans="1:25" x14ac:dyDescent="0.2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 t="shared" si="412"/>
        <v>0</v>
      </c>
      <c r="W6603">
        <f t="shared" si="413"/>
        <v>1</v>
      </c>
      <c r="X6603" t="str">
        <f t="shared" si="414"/>
        <v>49+ Months</v>
      </c>
      <c r="Y6603" s="1" t="str">
        <f t="shared" si="415"/>
        <v>High</v>
      </c>
    </row>
    <row r="6604" spans="1:25" x14ac:dyDescent="0.2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 t="shared" si="412"/>
        <v>0</v>
      </c>
      <c r="W6604">
        <f t="shared" si="413"/>
        <v>1</v>
      </c>
      <c r="X6604" t="str">
        <f t="shared" si="414"/>
        <v>25-48 Months</v>
      </c>
      <c r="Y6604" s="1" t="str">
        <f t="shared" si="415"/>
        <v>High</v>
      </c>
    </row>
    <row r="6605" spans="1:25" x14ac:dyDescent="0.2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 t="shared" si="412"/>
        <v>0</v>
      </c>
      <c r="W6605">
        <f t="shared" si="413"/>
        <v>1</v>
      </c>
      <c r="X6605" t="str">
        <f t="shared" si="414"/>
        <v>13-24 Months</v>
      </c>
      <c r="Y6605" s="1" t="str">
        <f t="shared" si="415"/>
        <v>Medium</v>
      </c>
    </row>
    <row r="6606" spans="1:25" x14ac:dyDescent="0.2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 t="shared" si="412"/>
        <v>0</v>
      </c>
      <c r="W6606">
        <f t="shared" si="413"/>
        <v>1</v>
      </c>
      <c r="X6606" t="str">
        <f t="shared" si="414"/>
        <v>0-12 Months</v>
      </c>
      <c r="Y6606" s="1" t="str">
        <f t="shared" si="415"/>
        <v>Low</v>
      </c>
    </row>
    <row r="6607" spans="1:25" x14ac:dyDescent="0.2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 t="shared" si="412"/>
        <v>1</v>
      </c>
      <c r="W6607">
        <f t="shared" si="413"/>
        <v>0</v>
      </c>
      <c r="X6607" t="str">
        <f t="shared" si="414"/>
        <v>49+ Months</v>
      </c>
      <c r="Y6607" s="1" t="str">
        <f t="shared" si="415"/>
        <v>High</v>
      </c>
    </row>
    <row r="6608" spans="1:25" x14ac:dyDescent="0.2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 t="shared" si="412"/>
        <v>1</v>
      </c>
      <c r="W6608">
        <f t="shared" si="413"/>
        <v>0</v>
      </c>
      <c r="X6608" t="str">
        <f t="shared" si="414"/>
        <v>25-48 Months</v>
      </c>
      <c r="Y6608" s="1" t="str">
        <f t="shared" si="415"/>
        <v>High</v>
      </c>
    </row>
    <row r="6609" spans="1:25" x14ac:dyDescent="0.2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 t="shared" si="412"/>
        <v>1</v>
      </c>
      <c r="W6609">
        <f t="shared" si="413"/>
        <v>0</v>
      </c>
      <c r="X6609" t="str">
        <f t="shared" si="414"/>
        <v>0-12 Months</v>
      </c>
      <c r="Y6609" s="1" t="str">
        <f t="shared" si="415"/>
        <v>Low</v>
      </c>
    </row>
    <row r="6610" spans="1:25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 t="shared" si="412"/>
        <v>1</v>
      </c>
      <c r="W6610">
        <f t="shared" si="413"/>
        <v>0</v>
      </c>
      <c r="X6610" t="str">
        <f t="shared" si="414"/>
        <v>13-24 Months</v>
      </c>
      <c r="Y6610" s="1" t="str">
        <f t="shared" si="415"/>
        <v>Medium</v>
      </c>
    </row>
    <row r="6611" spans="1:25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 t="shared" si="412"/>
        <v>1</v>
      </c>
      <c r="W6611">
        <f t="shared" si="413"/>
        <v>0</v>
      </c>
      <c r="X6611" t="str">
        <f t="shared" si="414"/>
        <v>0-12 Months</v>
      </c>
      <c r="Y6611" s="1" t="str">
        <f t="shared" si="415"/>
        <v>Low</v>
      </c>
    </row>
    <row r="6612" spans="1:25" x14ac:dyDescent="0.2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 t="shared" si="412"/>
        <v>0</v>
      </c>
      <c r="W6612">
        <f t="shared" si="413"/>
        <v>1</v>
      </c>
      <c r="X6612" t="str">
        <f t="shared" si="414"/>
        <v>0-12 Months</v>
      </c>
      <c r="Y6612" s="1" t="str">
        <f t="shared" si="415"/>
        <v>High</v>
      </c>
    </row>
    <row r="6613" spans="1:25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 t="shared" si="412"/>
        <v>0</v>
      </c>
      <c r="W6613">
        <f t="shared" si="413"/>
        <v>1</v>
      </c>
      <c r="X6613" t="str">
        <f t="shared" si="414"/>
        <v>25-48 Months</v>
      </c>
      <c r="Y6613" s="1" t="str">
        <f t="shared" si="415"/>
        <v>Medium</v>
      </c>
    </row>
    <row r="6614" spans="1:25" x14ac:dyDescent="0.2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 t="shared" si="412"/>
        <v>1</v>
      </c>
      <c r="W6614">
        <f t="shared" si="413"/>
        <v>0</v>
      </c>
      <c r="X6614" t="str">
        <f t="shared" si="414"/>
        <v>0-12 Months</v>
      </c>
      <c r="Y6614" s="1" t="str">
        <f t="shared" si="415"/>
        <v>Medium</v>
      </c>
    </row>
    <row r="6615" spans="1:25" x14ac:dyDescent="0.2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 t="shared" si="412"/>
        <v>0</v>
      </c>
      <c r="W6615">
        <f t="shared" si="413"/>
        <v>1</v>
      </c>
      <c r="X6615" t="str">
        <f t="shared" si="414"/>
        <v>0-12 Months</v>
      </c>
      <c r="Y6615" s="1" t="str">
        <f t="shared" si="415"/>
        <v>Low</v>
      </c>
    </row>
    <row r="6616" spans="1:25" x14ac:dyDescent="0.2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 t="shared" si="412"/>
        <v>0</v>
      </c>
      <c r="W6616">
        <f t="shared" si="413"/>
        <v>1</v>
      </c>
      <c r="X6616" t="str">
        <f t="shared" si="414"/>
        <v>49+ Months</v>
      </c>
      <c r="Y6616" s="1" t="str">
        <f t="shared" si="415"/>
        <v>Low</v>
      </c>
    </row>
    <row r="6617" spans="1:25" x14ac:dyDescent="0.2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 t="shared" si="412"/>
        <v>0</v>
      </c>
      <c r="W6617">
        <f t="shared" si="413"/>
        <v>1</v>
      </c>
      <c r="X6617" t="str">
        <f t="shared" si="414"/>
        <v>0-12 Months</v>
      </c>
      <c r="Y6617" s="1" t="str">
        <f t="shared" si="415"/>
        <v>Medium</v>
      </c>
    </row>
    <row r="6618" spans="1:25" x14ac:dyDescent="0.2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 t="shared" si="412"/>
        <v>1</v>
      </c>
      <c r="W6618">
        <f t="shared" si="413"/>
        <v>0</v>
      </c>
      <c r="X6618" t="str">
        <f t="shared" si="414"/>
        <v>25-48 Months</v>
      </c>
      <c r="Y6618" s="1" t="str">
        <f t="shared" si="415"/>
        <v>High</v>
      </c>
    </row>
    <row r="6619" spans="1:25" x14ac:dyDescent="0.2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 t="shared" si="412"/>
        <v>0</v>
      </c>
      <c r="W6619">
        <f t="shared" si="413"/>
        <v>1</v>
      </c>
      <c r="X6619" t="str">
        <f t="shared" si="414"/>
        <v>25-48 Months</v>
      </c>
      <c r="Y6619" s="1" t="str">
        <f t="shared" si="415"/>
        <v>High</v>
      </c>
    </row>
    <row r="6620" spans="1:25" x14ac:dyDescent="0.2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 t="shared" si="412"/>
        <v>0</v>
      </c>
      <c r="W6620">
        <f t="shared" si="413"/>
        <v>1</v>
      </c>
      <c r="X6620" t="str">
        <f t="shared" si="414"/>
        <v>25-48 Months</v>
      </c>
      <c r="Y6620" s="1" t="str">
        <f t="shared" si="415"/>
        <v>High</v>
      </c>
    </row>
    <row r="6621" spans="1:25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 t="shared" si="412"/>
        <v>0</v>
      </c>
      <c r="W6621">
        <f t="shared" si="413"/>
        <v>1</v>
      </c>
      <c r="X6621" t="str">
        <f t="shared" si="414"/>
        <v>0-12 Months</v>
      </c>
      <c r="Y6621" s="1" t="str">
        <f t="shared" si="415"/>
        <v>Low</v>
      </c>
    </row>
    <row r="6622" spans="1:25" x14ac:dyDescent="0.2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 t="shared" si="412"/>
        <v>1</v>
      </c>
      <c r="W6622">
        <f t="shared" si="413"/>
        <v>0</v>
      </c>
      <c r="X6622" t="str">
        <f t="shared" si="414"/>
        <v>0-12 Months</v>
      </c>
      <c r="Y6622" s="1" t="str">
        <f t="shared" si="415"/>
        <v>High</v>
      </c>
    </row>
    <row r="6623" spans="1:25" x14ac:dyDescent="0.2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 t="shared" si="412"/>
        <v>0</v>
      </c>
      <c r="W6623">
        <f t="shared" si="413"/>
        <v>1</v>
      </c>
      <c r="X6623" t="str">
        <f t="shared" si="414"/>
        <v>25-48 Months</v>
      </c>
      <c r="Y6623" s="1" t="str">
        <f t="shared" si="415"/>
        <v>Low</v>
      </c>
    </row>
    <row r="6624" spans="1:25" x14ac:dyDescent="0.2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 t="shared" si="412"/>
        <v>1</v>
      </c>
      <c r="W6624">
        <f t="shared" si="413"/>
        <v>0</v>
      </c>
      <c r="X6624" t="str">
        <f t="shared" si="414"/>
        <v>0-12 Months</v>
      </c>
      <c r="Y6624" s="1" t="str">
        <f t="shared" si="415"/>
        <v>Medium</v>
      </c>
    </row>
    <row r="6625" spans="1:25" x14ac:dyDescent="0.2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 t="shared" si="412"/>
        <v>1</v>
      </c>
      <c r="W6625">
        <f t="shared" si="413"/>
        <v>0</v>
      </c>
      <c r="X6625" t="str">
        <f t="shared" si="414"/>
        <v>0-12 Months</v>
      </c>
      <c r="Y6625" s="1" t="str">
        <f t="shared" si="415"/>
        <v>Medium</v>
      </c>
    </row>
    <row r="6626" spans="1:25" x14ac:dyDescent="0.2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 t="shared" si="412"/>
        <v>0</v>
      </c>
      <c r="W6626">
        <f t="shared" si="413"/>
        <v>1</v>
      </c>
      <c r="X6626" t="str">
        <f t="shared" si="414"/>
        <v>49+ Months</v>
      </c>
      <c r="Y6626" s="1" t="str">
        <f t="shared" si="415"/>
        <v>Medium</v>
      </c>
    </row>
    <row r="6627" spans="1:25" x14ac:dyDescent="0.2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 t="shared" si="412"/>
        <v>1</v>
      </c>
      <c r="W6627">
        <f t="shared" si="413"/>
        <v>0</v>
      </c>
      <c r="X6627" t="str">
        <f t="shared" si="414"/>
        <v>0-12 Months</v>
      </c>
      <c r="Y6627" s="1" t="str">
        <f t="shared" si="415"/>
        <v>High</v>
      </c>
    </row>
    <row r="6628" spans="1:25" x14ac:dyDescent="0.2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 t="shared" si="412"/>
        <v>1</v>
      </c>
      <c r="W6628">
        <f t="shared" si="413"/>
        <v>0</v>
      </c>
      <c r="X6628" t="str">
        <f t="shared" si="414"/>
        <v>0-12 Months</v>
      </c>
      <c r="Y6628" s="1" t="str">
        <f t="shared" si="415"/>
        <v>High</v>
      </c>
    </row>
    <row r="6629" spans="1:25" x14ac:dyDescent="0.2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 t="shared" si="412"/>
        <v>0</v>
      </c>
      <c r="W6629">
        <f t="shared" si="413"/>
        <v>1</v>
      </c>
      <c r="X6629" t="str">
        <f t="shared" si="414"/>
        <v>49+ Months</v>
      </c>
      <c r="Y6629" s="1" t="str">
        <f t="shared" si="415"/>
        <v>Low</v>
      </c>
    </row>
    <row r="6630" spans="1:25" x14ac:dyDescent="0.2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 t="shared" si="412"/>
        <v>0</v>
      </c>
      <c r="W6630">
        <f t="shared" si="413"/>
        <v>1</v>
      </c>
      <c r="X6630" t="str">
        <f t="shared" si="414"/>
        <v>0-12 Months</v>
      </c>
      <c r="Y6630" s="1" t="str">
        <f t="shared" si="415"/>
        <v>High</v>
      </c>
    </row>
    <row r="6631" spans="1:25" x14ac:dyDescent="0.2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 t="shared" si="412"/>
        <v>0</v>
      </c>
      <c r="W6631">
        <f t="shared" si="413"/>
        <v>1</v>
      </c>
      <c r="X6631" t="str">
        <f t="shared" si="414"/>
        <v>49+ Months</v>
      </c>
      <c r="Y6631" s="1" t="str">
        <f t="shared" si="415"/>
        <v>High</v>
      </c>
    </row>
    <row r="6632" spans="1:25" x14ac:dyDescent="0.2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 t="shared" si="412"/>
        <v>0</v>
      </c>
      <c r="W6632">
        <f t="shared" si="413"/>
        <v>1</v>
      </c>
      <c r="X6632" t="str">
        <f t="shared" si="414"/>
        <v>13-24 Months</v>
      </c>
      <c r="Y6632" s="1" t="str">
        <f t="shared" si="415"/>
        <v>Medium</v>
      </c>
    </row>
    <row r="6633" spans="1:25" x14ac:dyDescent="0.2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 t="shared" si="412"/>
        <v>0</v>
      </c>
      <c r="W6633">
        <f t="shared" si="413"/>
        <v>1</v>
      </c>
      <c r="X6633" t="str">
        <f t="shared" si="414"/>
        <v>25-48 Months</v>
      </c>
      <c r="Y6633" s="1" t="str">
        <f t="shared" si="415"/>
        <v>Medium</v>
      </c>
    </row>
    <row r="6634" spans="1:25" x14ac:dyDescent="0.2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 t="shared" si="412"/>
        <v>1</v>
      </c>
      <c r="W6634">
        <f t="shared" si="413"/>
        <v>0</v>
      </c>
      <c r="X6634" t="str">
        <f t="shared" si="414"/>
        <v>25-48 Months</v>
      </c>
      <c r="Y6634" s="1" t="str">
        <f t="shared" si="415"/>
        <v>Medium</v>
      </c>
    </row>
    <row r="6635" spans="1:25" x14ac:dyDescent="0.2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 t="shared" si="412"/>
        <v>1</v>
      </c>
      <c r="W6635">
        <f t="shared" si="413"/>
        <v>0</v>
      </c>
      <c r="X6635" t="str">
        <f t="shared" si="414"/>
        <v>0-12 Months</v>
      </c>
      <c r="Y6635" s="1" t="str">
        <f t="shared" si="415"/>
        <v>Medium</v>
      </c>
    </row>
    <row r="6636" spans="1:25" x14ac:dyDescent="0.2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 t="shared" si="412"/>
        <v>1</v>
      </c>
      <c r="W6636">
        <f t="shared" si="413"/>
        <v>0</v>
      </c>
      <c r="X6636" t="str">
        <f t="shared" si="414"/>
        <v>0-12 Months</v>
      </c>
      <c r="Y6636" s="1" t="str">
        <f t="shared" si="415"/>
        <v>High</v>
      </c>
    </row>
    <row r="6637" spans="1:25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 t="shared" si="412"/>
        <v>0</v>
      </c>
      <c r="W6637">
        <f t="shared" si="413"/>
        <v>1</v>
      </c>
      <c r="X6637" t="str">
        <f t="shared" si="414"/>
        <v>13-24 Months</v>
      </c>
      <c r="Y6637" s="1" t="str">
        <f t="shared" si="415"/>
        <v>Low</v>
      </c>
    </row>
    <row r="6638" spans="1:25" x14ac:dyDescent="0.2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 t="shared" si="412"/>
        <v>0</v>
      </c>
      <c r="W6638">
        <f t="shared" si="413"/>
        <v>1</v>
      </c>
      <c r="X6638" t="str">
        <f t="shared" si="414"/>
        <v>0-12 Months</v>
      </c>
      <c r="Y6638" s="1" t="str">
        <f t="shared" si="415"/>
        <v>Medium</v>
      </c>
    </row>
    <row r="6639" spans="1:25" x14ac:dyDescent="0.2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 t="shared" si="412"/>
        <v>0</v>
      </c>
      <c r="W6639">
        <f t="shared" si="413"/>
        <v>1</v>
      </c>
      <c r="X6639" t="str">
        <f t="shared" si="414"/>
        <v>49+ Months</v>
      </c>
      <c r="Y6639" s="1" t="str">
        <f t="shared" si="415"/>
        <v>Medium</v>
      </c>
    </row>
    <row r="6640" spans="1:25" x14ac:dyDescent="0.2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 t="shared" si="412"/>
        <v>0</v>
      </c>
      <c r="W6640">
        <f t="shared" si="413"/>
        <v>1</v>
      </c>
      <c r="X6640" t="str">
        <f t="shared" si="414"/>
        <v>49+ Months</v>
      </c>
      <c r="Y6640" s="1" t="str">
        <f t="shared" si="415"/>
        <v>Low</v>
      </c>
    </row>
    <row r="6641" spans="1:25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 t="shared" si="412"/>
        <v>0</v>
      </c>
      <c r="W6641">
        <f t="shared" si="413"/>
        <v>1</v>
      </c>
      <c r="X6641" t="str">
        <f t="shared" si="414"/>
        <v>49+ Months</v>
      </c>
      <c r="Y6641" s="1" t="str">
        <f t="shared" si="415"/>
        <v>High</v>
      </c>
    </row>
    <row r="6642" spans="1:25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 t="shared" si="412"/>
        <v>0</v>
      </c>
      <c r="W6642">
        <f t="shared" si="413"/>
        <v>1</v>
      </c>
      <c r="X6642" t="str">
        <f t="shared" si="414"/>
        <v>25-48 Months</v>
      </c>
      <c r="Y6642" s="1" t="str">
        <f t="shared" si="415"/>
        <v>Medium</v>
      </c>
    </row>
    <row r="6643" spans="1:25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 t="shared" si="412"/>
        <v>1</v>
      </c>
      <c r="W6643">
        <f t="shared" si="413"/>
        <v>0</v>
      </c>
      <c r="X6643" t="str">
        <f t="shared" si="414"/>
        <v>13-24 Months</v>
      </c>
      <c r="Y6643" s="1" t="str">
        <f t="shared" si="415"/>
        <v>Medium</v>
      </c>
    </row>
    <row r="6644" spans="1:25" x14ac:dyDescent="0.2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 t="shared" si="412"/>
        <v>0</v>
      </c>
      <c r="W6644">
        <f t="shared" si="413"/>
        <v>1</v>
      </c>
      <c r="X6644" t="str">
        <f t="shared" si="414"/>
        <v>25-48 Months</v>
      </c>
      <c r="Y6644" s="1" t="str">
        <f t="shared" si="415"/>
        <v>Medium</v>
      </c>
    </row>
    <row r="6645" spans="1:25" x14ac:dyDescent="0.2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 t="shared" si="412"/>
        <v>0</v>
      </c>
      <c r="W6645">
        <f t="shared" si="413"/>
        <v>1</v>
      </c>
      <c r="X6645" t="str">
        <f t="shared" si="414"/>
        <v>0-12 Months</v>
      </c>
      <c r="Y6645" s="1" t="str">
        <f t="shared" si="415"/>
        <v>Medium</v>
      </c>
    </row>
    <row r="6646" spans="1:25" x14ac:dyDescent="0.2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 t="shared" si="412"/>
        <v>0</v>
      </c>
      <c r="W6646">
        <f t="shared" si="413"/>
        <v>1</v>
      </c>
      <c r="X6646" t="str">
        <f t="shared" si="414"/>
        <v>49+ Months</v>
      </c>
      <c r="Y6646" s="1" t="str">
        <f t="shared" si="415"/>
        <v>High</v>
      </c>
    </row>
    <row r="6647" spans="1:25" x14ac:dyDescent="0.2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 t="shared" si="412"/>
        <v>0</v>
      </c>
      <c r="W6647">
        <f t="shared" si="413"/>
        <v>1</v>
      </c>
      <c r="X6647" t="str">
        <f t="shared" si="414"/>
        <v>0-12 Months</v>
      </c>
      <c r="Y6647" s="1" t="str">
        <f t="shared" si="415"/>
        <v>Low</v>
      </c>
    </row>
    <row r="6648" spans="1:25" x14ac:dyDescent="0.2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 t="shared" si="412"/>
        <v>0</v>
      </c>
      <c r="W6648">
        <f t="shared" si="413"/>
        <v>1</v>
      </c>
      <c r="X6648" t="str">
        <f t="shared" si="414"/>
        <v>49+ Months</v>
      </c>
      <c r="Y6648" s="1" t="str">
        <f t="shared" si="415"/>
        <v>Low</v>
      </c>
    </row>
    <row r="6649" spans="1:25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 t="shared" si="412"/>
        <v>0</v>
      </c>
      <c r="W6649">
        <f t="shared" si="413"/>
        <v>1</v>
      </c>
      <c r="X6649" t="str">
        <f t="shared" si="414"/>
        <v>49+ Months</v>
      </c>
      <c r="Y6649" s="1" t="str">
        <f t="shared" si="415"/>
        <v>Medium</v>
      </c>
    </row>
    <row r="6650" spans="1:25" x14ac:dyDescent="0.2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 t="shared" si="412"/>
        <v>0</v>
      </c>
      <c r="W6650">
        <f t="shared" si="413"/>
        <v>1</v>
      </c>
      <c r="X6650" t="str">
        <f t="shared" si="414"/>
        <v>13-24 Months</v>
      </c>
      <c r="Y6650" s="1" t="str">
        <f t="shared" si="415"/>
        <v>Low</v>
      </c>
    </row>
    <row r="6651" spans="1:25" x14ac:dyDescent="0.2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 t="shared" si="412"/>
        <v>0</v>
      </c>
      <c r="W6651">
        <f t="shared" si="413"/>
        <v>1</v>
      </c>
      <c r="X6651" t="str">
        <f t="shared" si="414"/>
        <v>0-12 Months</v>
      </c>
      <c r="Y6651" s="1" t="str">
        <f t="shared" si="415"/>
        <v>Low</v>
      </c>
    </row>
    <row r="6652" spans="1:25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 t="shared" si="412"/>
        <v>0</v>
      </c>
      <c r="W6652">
        <f t="shared" si="413"/>
        <v>1</v>
      </c>
      <c r="X6652" t="str">
        <f t="shared" si="414"/>
        <v>0-12 Months</v>
      </c>
      <c r="Y6652" s="1" t="str">
        <f t="shared" si="415"/>
        <v>Low</v>
      </c>
    </row>
    <row r="6653" spans="1:25" x14ac:dyDescent="0.2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 t="shared" si="412"/>
        <v>0</v>
      </c>
      <c r="W6653">
        <f t="shared" si="413"/>
        <v>1</v>
      </c>
      <c r="X6653" t="str">
        <f t="shared" si="414"/>
        <v>25-48 Months</v>
      </c>
      <c r="Y6653" s="1" t="str">
        <f t="shared" si="415"/>
        <v>Medium</v>
      </c>
    </row>
    <row r="6654" spans="1:25" x14ac:dyDescent="0.2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 t="shared" si="412"/>
        <v>0</v>
      </c>
      <c r="W6654">
        <f t="shared" si="413"/>
        <v>1</v>
      </c>
      <c r="X6654" t="str">
        <f t="shared" si="414"/>
        <v>25-48 Months</v>
      </c>
      <c r="Y6654" s="1" t="str">
        <f t="shared" si="415"/>
        <v>Low</v>
      </c>
    </row>
    <row r="6655" spans="1:25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 t="shared" si="412"/>
        <v>0</v>
      </c>
      <c r="W6655">
        <f t="shared" si="413"/>
        <v>1</v>
      </c>
      <c r="X6655" t="str">
        <f t="shared" si="414"/>
        <v>25-48 Months</v>
      </c>
      <c r="Y6655" s="1" t="str">
        <f t="shared" si="415"/>
        <v>Low</v>
      </c>
    </row>
    <row r="6656" spans="1:25" x14ac:dyDescent="0.2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 t="shared" si="412"/>
        <v>1</v>
      </c>
      <c r="W6656">
        <f t="shared" si="413"/>
        <v>0</v>
      </c>
      <c r="X6656" t="str">
        <f t="shared" si="414"/>
        <v>0-12 Months</v>
      </c>
      <c r="Y6656" s="1" t="str">
        <f t="shared" si="415"/>
        <v>High</v>
      </c>
    </row>
    <row r="6657" spans="1:25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 t="shared" si="412"/>
        <v>0</v>
      </c>
      <c r="W6657">
        <f t="shared" si="413"/>
        <v>1</v>
      </c>
      <c r="X6657" t="str">
        <f t="shared" si="414"/>
        <v>49+ Months</v>
      </c>
      <c r="Y6657" s="1" t="str">
        <f t="shared" si="415"/>
        <v>Low</v>
      </c>
    </row>
    <row r="6658" spans="1:25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 t="shared" ref="V6658:V6721" si="416">IF(U6658="Yes",1,0)</f>
        <v>0</v>
      </c>
      <c r="W6658">
        <f t="shared" ref="W6658:W6721" si="417">IF(U6658="No",1,0)</f>
        <v>1</v>
      </c>
      <c r="X6658" t="str">
        <f t="shared" ref="X6658:X6721" si="418">IF(F6658&lt;=12,"0-12 Months",IF(F6658&lt;=24,"13-24 Months",IF(F6658&lt;=48,"25-48 Months","49+ Months")))</f>
        <v>25-48 Months</v>
      </c>
      <c r="Y6658" s="1" t="str">
        <f t="shared" ref="Y6658:Y6721" si="419">IF(S6658&lt;50,"Low",IF(S6658&lt;80,"Medium","High"))</f>
        <v>Low</v>
      </c>
    </row>
    <row r="6659" spans="1:25" x14ac:dyDescent="0.2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 t="shared" si="416"/>
        <v>0</v>
      </c>
      <c r="W6659">
        <f t="shared" si="417"/>
        <v>1</v>
      </c>
      <c r="X6659" t="str">
        <f t="shared" si="418"/>
        <v>49+ Months</v>
      </c>
      <c r="Y6659" s="1" t="str">
        <f t="shared" si="419"/>
        <v>Low</v>
      </c>
    </row>
    <row r="6660" spans="1:25" x14ac:dyDescent="0.2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 t="shared" si="416"/>
        <v>1</v>
      </c>
      <c r="W6660">
        <f t="shared" si="417"/>
        <v>0</v>
      </c>
      <c r="X6660" t="str">
        <f t="shared" si="418"/>
        <v>25-48 Months</v>
      </c>
      <c r="Y6660" s="1" t="str">
        <f t="shared" si="419"/>
        <v>High</v>
      </c>
    </row>
    <row r="6661" spans="1:25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 t="shared" si="416"/>
        <v>0</v>
      </c>
      <c r="W6661">
        <f t="shared" si="417"/>
        <v>1</v>
      </c>
      <c r="X6661" t="str">
        <f t="shared" si="418"/>
        <v>49+ Months</v>
      </c>
      <c r="Y6661" s="1" t="str">
        <f t="shared" si="419"/>
        <v>High</v>
      </c>
    </row>
    <row r="6662" spans="1:25" x14ac:dyDescent="0.2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 t="shared" si="416"/>
        <v>1</v>
      </c>
      <c r="W6662">
        <f t="shared" si="417"/>
        <v>0</v>
      </c>
      <c r="X6662" t="str">
        <f t="shared" si="418"/>
        <v>0-12 Months</v>
      </c>
      <c r="Y6662" s="1" t="str">
        <f t="shared" si="419"/>
        <v>Medium</v>
      </c>
    </row>
    <row r="6663" spans="1:25" x14ac:dyDescent="0.2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 t="shared" si="416"/>
        <v>0</v>
      </c>
      <c r="W6663">
        <f t="shared" si="417"/>
        <v>1</v>
      </c>
      <c r="X6663" t="str">
        <f t="shared" si="418"/>
        <v>49+ Months</v>
      </c>
      <c r="Y6663" s="1" t="str">
        <f t="shared" si="419"/>
        <v>Medium</v>
      </c>
    </row>
    <row r="6664" spans="1:25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 t="shared" si="416"/>
        <v>0</v>
      </c>
      <c r="W6664">
        <f t="shared" si="417"/>
        <v>1</v>
      </c>
      <c r="X6664" t="str">
        <f t="shared" si="418"/>
        <v>25-48 Months</v>
      </c>
      <c r="Y6664" s="1" t="str">
        <f t="shared" si="419"/>
        <v>Low</v>
      </c>
    </row>
    <row r="6665" spans="1:25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 t="shared" si="416"/>
        <v>0</v>
      </c>
      <c r="W6665">
        <f t="shared" si="417"/>
        <v>1</v>
      </c>
      <c r="X6665" t="str">
        <f t="shared" si="418"/>
        <v>0-12 Months</v>
      </c>
      <c r="Y6665" s="1" t="str">
        <f t="shared" si="419"/>
        <v>Medium</v>
      </c>
    </row>
    <row r="6666" spans="1:25" x14ac:dyDescent="0.2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 t="shared" si="416"/>
        <v>0</v>
      </c>
      <c r="W6666">
        <f t="shared" si="417"/>
        <v>1</v>
      </c>
      <c r="X6666" t="str">
        <f t="shared" si="418"/>
        <v>25-48 Months</v>
      </c>
      <c r="Y6666" s="1" t="str">
        <f t="shared" si="419"/>
        <v>High</v>
      </c>
    </row>
    <row r="6667" spans="1:25" x14ac:dyDescent="0.2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 t="shared" si="416"/>
        <v>0</v>
      </c>
      <c r="W6667">
        <f t="shared" si="417"/>
        <v>1</v>
      </c>
      <c r="X6667" t="str">
        <f t="shared" si="418"/>
        <v>25-48 Months</v>
      </c>
      <c r="Y6667" s="1" t="str">
        <f t="shared" si="419"/>
        <v>Low</v>
      </c>
    </row>
    <row r="6668" spans="1:25" x14ac:dyDescent="0.2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 t="shared" si="416"/>
        <v>0</v>
      </c>
      <c r="W6668">
        <f t="shared" si="417"/>
        <v>1</v>
      </c>
      <c r="X6668" t="str">
        <f t="shared" si="418"/>
        <v>25-48 Months</v>
      </c>
      <c r="Y6668" s="1" t="str">
        <f t="shared" si="419"/>
        <v>High</v>
      </c>
    </row>
    <row r="6669" spans="1:25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 t="shared" si="416"/>
        <v>1</v>
      </c>
      <c r="W6669">
        <f t="shared" si="417"/>
        <v>0</v>
      </c>
      <c r="X6669" t="str">
        <f t="shared" si="418"/>
        <v>0-12 Months</v>
      </c>
      <c r="Y6669" s="1" t="str">
        <f t="shared" si="419"/>
        <v>Medium</v>
      </c>
    </row>
    <row r="6670" spans="1:25" x14ac:dyDescent="0.2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 t="shared" si="416"/>
        <v>0</v>
      </c>
      <c r="W6670">
        <f t="shared" si="417"/>
        <v>1</v>
      </c>
      <c r="X6670" t="str">
        <f t="shared" si="418"/>
        <v>25-48 Months</v>
      </c>
      <c r="Y6670" s="1" t="str">
        <f t="shared" si="419"/>
        <v>High</v>
      </c>
    </row>
    <row r="6671" spans="1:25" x14ac:dyDescent="0.2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 t="shared" si="416"/>
        <v>0</v>
      </c>
      <c r="W6671">
        <f t="shared" si="417"/>
        <v>1</v>
      </c>
      <c r="X6671" t="str">
        <f t="shared" si="418"/>
        <v>25-48 Months</v>
      </c>
      <c r="Y6671" s="1" t="str">
        <f t="shared" si="419"/>
        <v>High</v>
      </c>
    </row>
    <row r="6672" spans="1:25" x14ac:dyDescent="0.2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>
        <f t="shared" si="416"/>
        <v>0</v>
      </c>
      <c r="W6672">
        <f t="shared" si="417"/>
        <v>1</v>
      </c>
      <c r="X6672" t="str">
        <f t="shared" si="418"/>
        <v>0-12 Months</v>
      </c>
      <c r="Y6672" s="1" t="str">
        <f t="shared" si="419"/>
        <v>Medium</v>
      </c>
    </row>
    <row r="6673" spans="1:25" x14ac:dyDescent="0.2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 t="shared" si="416"/>
        <v>0</v>
      </c>
      <c r="W6673">
        <f t="shared" si="417"/>
        <v>1</v>
      </c>
      <c r="X6673" t="str">
        <f t="shared" si="418"/>
        <v>49+ Months</v>
      </c>
      <c r="Y6673" s="1" t="str">
        <f t="shared" si="419"/>
        <v>High</v>
      </c>
    </row>
    <row r="6674" spans="1:25" x14ac:dyDescent="0.2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 t="shared" si="416"/>
        <v>0</v>
      </c>
      <c r="W6674">
        <f t="shared" si="417"/>
        <v>1</v>
      </c>
      <c r="X6674" t="str">
        <f t="shared" si="418"/>
        <v>25-48 Months</v>
      </c>
      <c r="Y6674" s="1" t="str">
        <f t="shared" si="419"/>
        <v>Low</v>
      </c>
    </row>
    <row r="6675" spans="1:25" x14ac:dyDescent="0.2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 t="shared" si="416"/>
        <v>0</v>
      </c>
      <c r="W6675">
        <f t="shared" si="417"/>
        <v>1</v>
      </c>
      <c r="X6675" t="str">
        <f t="shared" si="418"/>
        <v>0-12 Months</v>
      </c>
      <c r="Y6675" s="1" t="str">
        <f t="shared" si="419"/>
        <v>Low</v>
      </c>
    </row>
    <row r="6676" spans="1:25" x14ac:dyDescent="0.2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 t="shared" si="416"/>
        <v>0</v>
      </c>
      <c r="W6676">
        <f t="shared" si="417"/>
        <v>1</v>
      </c>
      <c r="X6676" t="str">
        <f t="shared" si="418"/>
        <v>0-12 Months</v>
      </c>
      <c r="Y6676" s="1" t="str">
        <f t="shared" si="419"/>
        <v>Low</v>
      </c>
    </row>
    <row r="6677" spans="1:25" x14ac:dyDescent="0.2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 t="shared" si="416"/>
        <v>0</v>
      </c>
      <c r="W6677">
        <f t="shared" si="417"/>
        <v>1</v>
      </c>
      <c r="X6677" t="str">
        <f t="shared" si="418"/>
        <v>25-48 Months</v>
      </c>
      <c r="Y6677" s="1" t="str">
        <f t="shared" si="419"/>
        <v>Medium</v>
      </c>
    </row>
    <row r="6678" spans="1:25" x14ac:dyDescent="0.2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 t="shared" si="416"/>
        <v>0</v>
      </c>
      <c r="W6678">
        <f t="shared" si="417"/>
        <v>1</v>
      </c>
      <c r="X6678" t="str">
        <f t="shared" si="418"/>
        <v>25-48 Months</v>
      </c>
      <c r="Y6678" s="1" t="str">
        <f t="shared" si="419"/>
        <v>High</v>
      </c>
    </row>
    <row r="6679" spans="1:25" x14ac:dyDescent="0.2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 t="shared" si="416"/>
        <v>0</v>
      </c>
      <c r="W6679">
        <f t="shared" si="417"/>
        <v>1</v>
      </c>
      <c r="X6679" t="str">
        <f t="shared" si="418"/>
        <v>13-24 Months</v>
      </c>
      <c r="Y6679" s="1" t="str">
        <f t="shared" si="419"/>
        <v>Low</v>
      </c>
    </row>
    <row r="6680" spans="1:25" x14ac:dyDescent="0.2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 t="shared" si="416"/>
        <v>0</v>
      </c>
      <c r="W6680">
        <f t="shared" si="417"/>
        <v>1</v>
      </c>
      <c r="X6680" t="str">
        <f t="shared" si="418"/>
        <v>13-24 Months</v>
      </c>
      <c r="Y6680" s="1" t="str">
        <f t="shared" si="419"/>
        <v>Low</v>
      </c>
    </row>
    <row r="6681" spans="1:25" x14ac:dyDescent="0.2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 t="shared" si="416"/>
        <v>0</v>
      </c>
      <c r="W6681">
        <f t="shared" si="417"/>
        <v>1</v>
      </c>
      <c r="X6681" t="str">
        <f t="shared" si="418"/>
        <v>49+ Months</v>
      </c>
      <c r="Y6681" s="1" t="str">
        <f t="shared" si="419"/>
        <v>Low</v>
      </c>
    </row>
    <row r="6682" spans="1:25" x14ac:dyDescent="0.2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 t="shared" si="416"/>
        <v>1</v>
      </c>
      <c r="W6682">
        <f t="shared" si="417"/>
        <v>0</v>
      </c>
      <c r="X6682" t="str">
        <f t="shared" si="418"/>
        <v>25-48 Months</v>
      </c>
      <c r="Y6682" s="1" t="str">
        <f t="shared" si="419"/>
        <v>High</v>
      </c>
    </row>
    <row r="6683" spans="1:25" x14ac:dyDescent="0.2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 t="shared" si="416"/>
        <v>1</v>
      </c>
      <c r="W6683">
        <f t="shared" si="417"/>
        <v>0</v>
      </c>
      <c r="X6683" t="str">
        <f t="shared" si="418"/>
        <v>0-12 Months</v>
      </c>
      <c r="Y6683" s="1" t="str">
        <f t="shared" si="419"/>
        <v>High</v>
      </c>
    </row>
    <row r="6684" spans="1:25" x14ac:dyDescent="0.2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 t="shared" si="416"/>
        <v>0</v>
      </c>
      <c r="W6684">
        <f t="shared" si="417"/>
        <v>1</v>
      </c>
      <c r="X6684" t="str">
        <f t="shared" si="418"/>
        <v>49+ Months</v>
      </c>
      <c r="Y6684" s="1" t="str">
        <f t="shared" si="419"/>
        <v>High</v>
      </c>
    </row>
    <row r="6685" spans="1:25" x14ac:dyDescent="0.2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 t="shared" si="416"/>
        <v>0</v>
      </c>
      <c r="W6685">
        <f t="shared" si="417"/>
        <v>1</v>
      </c>
      <c r="X6685" t="str">
        <f t="shared" si="418"/>
        <v>25-48 Months</v>
      </c>
      <c r="Y6685" s="1" t="str">
        <f t="shared" si="419"/>
        <v>Low</v>
      </c>
    </row>
    <row r="6686" spans="1:25" x14ac:dyDescent="0.2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 t="shared" si="416"/>
        <v>0</v>
      </c>
      <c r="W6686">
        <f t="shared" si="417"/>
        <v>1</v>
      </c>
      <c r="X6686" t="str">
        <f t="shared" si="418"/>
        <v>0-12 Months</v>
      </c>
      <c r="Y6686" s="1" t="str">
        <f t="shared" si="419"/>
        <v>Low</v>
      </c>
    </row>
    <row r="6687" spans="1:25" x14ac:dyDescent="0.2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 t="shared" si="416"/>
        <v>0</v>
      </c>
      <c r="W6687">
        <f t="shared" si="417"/>
        <v>1</v>
      </c>
      <c r="X6687" t="str">
        <f t="shared" si="418"/>
        <v>25-48 Months</v>
      </c>
      <c r="Y6687" s="1" t="str">
        <f t="shared" si="419"/>
        <v>Medium</v>
      </c>
    </row>
    <row r="6688" spans="1:25" x14ac:dyDescent="0.2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 t="shared" si="416"/>
        <v>0</v>
      </c>
      <c r="W6688">
        <f t="shared" si="417"/>
        <v>1</v>
      </c>
      <c r="X6688" t="str">
        <f t="shared" si="418"/>
        <v>49+ Months</v>
      </c>
      <c r="Y6688" s="1" t="str">
        <f t="shared" si="419"/>
        <v>High</v>
      </c>
    </row>
    <row r="6689" spans="1:25" x14ac:dyDescent="0.2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 t="shared" si="416"/>
        <v>1</v>
      </c>
      <c r="W6689">
        <f t="shared" si="417"/>
        <v>0</v>
      </c>
      <c r="X6689" t="str">
        <f t="shared" si="418"/>
        <v>0-12 Months</v>
      </c>
      <c r="Y6689" s="1" t="str">
        <f t="shared" si="419"/>
        <v>Medium</v>
      </c>
    </row>
    <row r="6690" spans="1:25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 t="shared" si="416"/>
        <v>0</v>
      </c>
      <c r="W6690">
        <f t="shared" si="417"/>
        <v>1</v>
      </c>
      <c r="X6690" t="str">
        <f t="shared" si="418"/>
        <v>0-12 Months</v>
      </c>
      <c r="Y6690" s="1" t="str">
        <f t="shared" si="419"/>
        <v>Low</v>
      </c>
    </row>
    <row r="6691" spans="1:25" x14ac:dyDescent="0.2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 t="shared" si="416"/>
        <v>0</v>
      </c>
      <c r="W6691">
        <f t="shared" si="417"/>
        <v>1</v>
      </c>
      <c r="X6691" t="str">
        <f t="shared" si="418"/>
        <v>49+ Months</v>
      </c>
      <c r="Y6691" s="1" t="str">
        <f t="shared" si="419"/>
        <v>High</v>
      </c>
    </row>
    <row r="6692" spans="1:25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 t="shared" si="416"/>
        <v>0</v>
      </c>
      <c r="W6692">
        <f t="shared" si="417"/>
        <v>1</v>
      </c>
      <c r="X6692" t="str">
        <f t="shared" si="418"/>
        <v>25-48 Months</v>
      </c>
      <c r="Y6692" s="1" t="str">
        <f t="shared" si="419"/>
        <v>High</v>
      </c>
    </row>
    <row r="6693" spans="1:25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 t="shared" si="416"/>
        <v>0</v>
      </c>
      <c r="W6693">
        <f t="shared" si="417"/>
        <v>1</v>
      </c>
      <c r="X6693" t="str">
        <f t="shared" si="418"/>
        <v>25-48 Months</v>
      </c>
      <c r="Y6693" s="1" t="str">
        <f t="shared" si="419"/>
        <v>Low</v>
      </c>
    </row>
    <row r="6694" spans="1:25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 t="shared" si="416"/>
        <v>0</v>
      </c>
      <c r="W6694">
        <f t="shared" si="417"/>
        <v>1</v>
      </c>
      <c r="X6694" t="str">
        <f t="shared" si="418"/>
        <v>25-48 Months</v>
      </c>
      <c r="Y6694" s="1" t="str">
        <f t="shared" si="419"/>
        <v>Medium</v>
      </c>
    </row>
    <row r="6695" spans="1:25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 t="shared" si="416"/>
        <v>0</v>
      </c>
      <c r="W6695">
        <f t="shared" si="417"/>
        <v>1</v>
      </c>
      <c r="X6695" t="str">
        <f t="shared" si="418"/>
        <v>25-48 Months</v>
      </c>
      <c r="Y6695" s="1" t="str">
        <f t="shared" si="419"/>
        <v>Low</v>
      </c>
    </row>
    <row r="6696" spans="1:25" x14ac:dyDescent="0.2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 t="shared" si="416"/>
        <v>0</v>
      </c>
      <c r="W6696">
        <f t="shared" si="417"/>
        <v>1</v>
      </c>
      <c r="X6696" t="str">
        <f t="shared" si="418"/>
        <v>0-12 Months</v>
      </c>
      <c r="Y6696" s="1" t="str">
        <f t="shared" si="419"/>
        <v>Medium</v>
      </c>
    </row>
    <row r="6697" spans="1:25" x14ac:dyDescent="0.2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 t="shared" si="416"/>
        <v>0</v>
      </c>
      <c r="W6697">
        <f t="shared" si="417"/>
        <v>1</v>
      </c>
      <c r="X6697" t="str">
        <f t="shared" si="418"/>
        <v>49+ Months</v>
      </c>
      <c r="Y6697" s="1" t="str">
        <f t="shared" si="419"/>
        <v>Medium</v>
      </c>
    </row>
    <row r="6698" spans="1:25" x14ac:dyDescent="0.2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 t="shared" si="416"/>
        <v>0</v>
      </c>
      <c r="W6698">
        <f t="shared" si="417"/>
        <v>1</v>
      </c>
      <c r="X6698" t="str">
        <f t="shared" si="418"/>
        <v>0-12 Months</v>
      </c>
      <c r="Y6698" s="1" t="str">
        <f t="shared" si="419"/>
        <v>High</v>
      </c>
    </row>
    <row r="6699" spans="1:25" x14ac:dyDescent="0.2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 t="shared" si="416"/>
        <v>0</v>
      </c>
      <c r="W6699">
        <f t="shared" si="417"/>
        <v>1</v>
      </c>
      <c r="X6699" t="str">
        <f t="shared" si="418"/>
        <v>25-48 Months</v>
      </c>
      <c r="Y6699" s="1" t="str">
        <f t="shared" si="419"/>
        <v>Medium</v>
      </c>
    </row>
    <row r="6700" spans="1:25" x14ac:dyDescent="0.2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 t="shared" si="416"/>
        <v>0</v>
      </c>
      <c r="W6700">
        <f t="shared" si="417"/>
        <v>1</v>
      </c>
      <c r="X6700" t="str">
        <f t="shared" si="418"/>
        <v>25-48 Months</v>
      </c>
      <c r="Y6700" s="1" t="str">
        <f t="shared" si="419"/>
        <v>High</v>
      </c>
    </row>
    <row r="6701" spans="1:25" x14ac:dyDescent="0.2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 t="shared" si="416"/>
        <v>0</v>
      </c>
      <c r="W6701">
        <f t="shared" si="417"/>
        <v>1</v>
      </c>
      <c r="X6701" t="str">
        <f t="shared" si="418"/>
        <v>49+ Months</v>
      </c>
      <c r="Y6701" s="1" t="str">
        <f t="shared" si="419"/>
        <v>Low</v>
      </c>
    </row>
    <row r="6702" spans="1:25" x14ac:dyDescent="0.2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 t="shared" si="416"/>
        <v>0</v>
      </c>
      <c r="W6702">
        <f t="shared" si="417"/>
        <v>1</v>
      </c>
      <c r="X6702" t="str">
        <f t="shared" si="418"/>
        <v>49+ Months</v>
      </c>
      <c r="Y6702" s="1" t="str">
        <f t="shared" si="419"/>
        <v>High</v>
      </c>
    </row>
    <row r="6703" spans="1:25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 t="shared" si="416"/>
        <v>0</v>
      </c>
      <c r="W6703">
        <f t="shared" si="417"/>
        <v>1</v>
      </c>
      <c r="X6703" t="str">
        <f t="shared" si="418"/>
        <v>25-48 Months</v>
      </c>
      <c r="Y6703" s="1" t="str">
        <f t="shared" si="419"/>
        <v>High</v>
      </c>
    </row>
    <row r="6704" spans="1:25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 t="shared" si="416"/>
        <v>0</v>
      </c>
      <c r="W6704">
        <f t="shared" si="417"/>
        <v>1</v>
      </c>
      <c r="X6704" t="str">
        <f t="shared" si="418"/>
        <v>13-24 Months</v>
      </c>
      <c r="Y6704" s="1" t="str">
        <f t="shared" si="419"/>
        <v>High</v>
      </c>
    </row>
    <row r="6705" spans="1:25" x14ac:dyDescent="0.2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 t="shared" si="416"/>
        <v>1</v>
      </c>
      <c r="W6705">
        <f t="shared" si="417"/>
        <v>0</v>
      </c>
      <c r="X6705" t="str">
        <f t="shared" si="418"/>
        <v>0-12 Months</v>
      </c>
      <c r="Y6705" s="1" t="str">
        <f t="shared" si="419"/>
        <v>Low</v>
      </c>
    </row>
    <row r="6706" spans="1:25" x14ac:dyDescent="0.2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 t="shared" si="416"/>
        <v>0</v>
      </c>
      <c r="W6706">
        <f t="shared" si="417"/>
        <v>1</v>
      </c>
      <c r="X6706" t="str">
        <f t="shared" si="418"/>
        <v>49+ Months</v>
      </c>
      <c r="Y6706" s="1" t="str">
        <f t="shared" si="419"/>
        <v>High</v>
      </c>
    </row>
    <row r="6707" spans="1:25" x14ac:dyDescent="0.2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 t="shared" si="416"/>
        <v>0</v>
      </c>
      <c r="W6707">
        <f t="shared" si="417"/>
        <v>1</v>
      </c>
      <c r="X6707" t="str">
        <f t="shared" si="418"/>
        <v>13-24 Months</v>
      </c>
      <c r="Y6707" s="1" t="str">
        <f t="shared" si="419"/>
        <v>Medium</v>
      </c>
    </row>
    <row r="6708" spans="1:25" x14ac:dyDescent="0.2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 t="shared" si="416"/>
        <v>0</v>
      </c>
      <c r="W6708">
        <f t="shared" si="417"/>
        <v>1</v>
      </c>
      <c r="X6708" t="str">
        <f t="shared" si="418"/>
        <v>0-12 Months</v>
      </c>
      <c r="Y6708" s="1" t="str">
        <f t="shared" si="419"/>
        <v>Low</v>
      </c>
    </row>
    <row r="6709" spans="1:25" x14ac:dyDescent="0.2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 t="shared" si="416"/>
        <v>0</v>
      </c>
      <c r="W6709">
        <f t="shared" si="417"/>
        <v>1</v>
      </c>
      <c r="X6709" t="str">
        <f t="shared" si="418"/>
        <v>49+ Months</v>
      </c>
      <c r="Y6709" s="1" t="str">
        <f t="shared" si="419"/>
        <v>Low</v>
      </c>
    </row>
    <row r="6710" spans="1:25" x14ac:dyDescent="0.2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 t="shared" si="416"/>
        <v>1</v>
      </c>
      <c r="W6710">
        <f t="shared" si="417"/>
        <v>0</v>
      </c>
      <c r="X6710" t="str">
        <f t="shared" si="418"/>
        <v>13-24 Months</v>
      </c>
      <c r="Y6710" s="1" t="str">
        <f t="shared" si="419"/>
        <v>Medium</v>
      </c>
    </row>
    <row r="6711" spans="1:25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 t="shared" si="416"/>
        <v>0</v>
      </c>
      <c r="W6711">
        <f t="shared" si="417"/>
        <v>1</v>
      </c>
      <c r="X6711" t="str">
        <f t="shared" si="418"/>
        <v>49+ Months</v>
      </c>
      <c r="Y6711" s="1" t="str">
        <f t="shared" si="419"/>
        <v>High</v>
      </c>
    </row>
    <row r="6712" spans="1:25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 t="shared" si="416"/>
        <v>0</v>
      </c>
      <c r="W6712">
        <f t="shared" si="417"/>
        <v>1</v>
      </c>
      <c r="X6712" t="str">
        <f t="shared" si="418"/>
        <v>25-48 Months</v>
      </c>
      <c r="Y6712" s="1" t="str">
        <f t="shared" si="419"/>
        <v>Medium</v>
      </c>
    </row>
    <row r="6713" spans="1:25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 t="shared" si="416"/>
        <v>0</v>
      </c>
      <c r="W6713">
        <f t="shared" si="417"/>
        <v>1</v>
      </c>
      <c r="X6713" t="str">
        <f t="shared" si="418"/>
        <v>49+ Months</v>
      </c>
      <c r="Y6713" s="1" t="str">
        <f t="shared" si="419"/>
        <v>High</v>
      </c>
    </row>
    <row r="6714" spans="1:25" x14ac:dyDescent="0.2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 t="shared" si="416"/>
        <v>0</v>
      </c>
      <c r="W6714">
        <f t="shared" si="417"/>
        <v>1</v>
      </c>
      <c r="X6714" t="str">
        <f t="shared" si="418"/>
        <v>25-48 Months</v>
      </c>
      <c r="Y6714" s="1" t="str">
        <f t="shared" si="419"/>
        <v>High</v>
      </c>
    </row>
    <row r="6715" spans="1:25" x14ac:dyDescent="0.2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 t="shared" si="416"/>
        <v>0</v>
      </c>
      <c r="W6715">
        <f t="shared" si="417"/>
        <v>1</v>
      </c>
      <c r="X6715" t="str">
        <f t="shared" si="418"/>
        <v>49+ Months</v>
      </c>
      <c r="Y6715" s="1" t="str">
        <f t="shared" si="419"/>
        <v>High</v>
      </c>
    </row>
    <row r="6716" spans="1:25" x14ac:dyDescent="0.2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 t="shared" si="416"/>
        <v>0</v>
      </c>
      <c r="W6716">
        <f t="shared" si="417"/>
        <v>1</v>
      </c>
      <c r="X6716" t="str">
        <f t="shared" si="418"/>
        <v>13-24 Months</v>
      </c>
      <c r="Y6716" s="1" t="str">
        <f t="shared" si="419"/>
        <v>High</v>
      </c>
    </row>
    <row r="6717" spans="1:25" x14ac:dyDescent="0.2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 t="shared" si="416"/>
        <v>0</v>
      </c>
      <c r="W6717">
        <f t="shared" si="417"/>
        <v>1</v>
      </c>
      <c r="X6717" t="str">
        <f t="shared" si="418"/>
        <v>0-12 Months</v>
      </c>
      <c r="Y6717" s="1" t="str">
        <f t="shared" si="419"/>
        <v>High</v>
      </c>
    </row>
    <row r="6718" spans="1:25" x14ac:dyDescent="0.2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 t="shared" si="416"/>
        <v>1</v>
      </c>
      <c r="W6718">
        <f t="shared" si="417"/>
        <v>0</v>
      </c>
      <c r="X6718" t="str">
        <f t="shared" si="418"/>
        <v>0-12 Months</v>
      </c>
      <c r="Y6718" s="1" t="str">
        <f t="shared" si="419"/>
        <v>Medium</v>
      </c>
    </row>
    <row r="6719" spans="1:25" x14ac:dyDescent="0.2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 t="shared" si="416"/>
        <v>1</v>
      </c>
      <c r="W6719">
        <f t="shared" si="417"/>
        <v>0</v>
      </c>
      <c r="X6719" t="str">
        <f t="shared" si="418"/>
        <v>49+ Months</v>
      </c>
      <c r="Y6719" s="1" t="str">
        <f t="shared" si="419"/>
        <v>High</v>
      </c>
    </row>
    <row r="6720" spans="1:25" x14ac:dyDescent="0.2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 t="shared" si="416"/>
        <v>1</v>
      </c>
      <c r="W6720">
        <f t="shared" si="417"/>
        <v>0</v>
      </c>
      <c r="X6720" t="str">
        <f t="shared" si="418"/>
        <v>0-12 Months</v>
      </c>
      <c r="Y6720" s="1" t="str">
        <f t="shared" si="419"/>
        <v>Medium</v>
      </c>
    </row>
    <row r="6721" spans="1:25" x14ac:dyDescent="0.2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 t="shared" si="416"/>
        <v>0</v>
      </c>
      <c r="W6721">
        <f t="shared" si="417"/>
        <v>1</v>
      </c>
      <c r="X6721" t="str">
        <f t="shared" si="418"/>
        <v>49+ Months</v>
      </c>
      <c r="Y6721" s="1" t="str">
        <f t="shared" si="419"/>
        <v>Low</v>
      </c>
    </row>
    <row r="6722" spans="1:25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 t="shared" ref="V6722:V6785" si="420">IF(U6722="Yes",1,0)</f>
        <v>0</v>
      </c>
      <c r="W6722">
        <f t="shared" ref="W6722:W6785" si="421">IF(U6722="No",1,0)</f>
        <v>1</v>
      </c>
      <c r="X6722" t="str">
        <f t="shared" ref="X6722:X6785" si="422">IF(F6722&lt;=12,"0-12 Months",IF(F6722&lt;=24,"13-24 Months",IF(F6722&lt;=48,"25-48 Months","49+ Months")))</f>
        <v>49+ Months</v>
      </c>
      <c r="Y6722" s="1" t="str">
        <f t="shared" ref="Y6722:Y6785" si="423">IF(S6722&lt;50,"Low",IF(S6722&lt;80,"Medium","High"))</f>
        <v>High</v>
      </c>
    </row>
    <row r="6723" spans="1:25" x14ac:dyDescent="0.2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 t="shared" si="420"/>
        <v>0</v>
      </c>
      <c r="W6723">
        <f t="shared" si="421"/>
        <v>1</v>
      </c>
      <c r="X6723" t="str">
        <f t="shared" si="422"/>
        <v>49+ Months</v>
      </c>
      <c r="Y6723" s="1" t="str">
        <f t="shared" si="423"/>
        <v>Medium</v>
      </c>
    </row>
    <row r="6724" spans="1:25" x14ac:dyDescent="0.2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 t="shared" si="420"/>
        <v>0</v>
      </c>
      <c r="W6724">
        <f t="shared" si="421"/>
        <v>1</v>
      </c>
      <c r="X6724" t="str">
        <f t="shared" si="422"/>
        <v>49+ Months</v>
      </c>
      <c r="Y6724" s="1" t="str">
        <f t="shared" si="423"/>
        <v>High</v>
      </c>
    </row>
    <row r="6725" spans="1:25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 t="shared" si="420"/>
        <v>0</v>
      </c>
      <c r="W6725">
        <f t="shared" si="421"/>
        <v>1</v>
      </c>
      <c r="X6725" t="str">
        <f t="shared" si="422"/>
        <v>25-48 Months</v>
      </c>
      <c r="Y6725" s="1" t="str">
        <f t="shared" si="423"/>
        <v>Low</v>
      </c>
    </row>
    <row r="6726" spans="1:25" x14ac:dyDescent="0.2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 t="shared" si="420"/>
        <v>1</v>
      </c>
      <c r="W6726">
        <f t="shared" si="421"/>
        <v>0</v>
      </c>
      <c r="X6726" t="str">
        <f t="shared" si="422"/>
        <v>49+ Months</v>
      </c>
      <c r="Y6726" s="1" t="str">
        <f t="shared" si="423"/>
        <v>Medium</v>
      </c>
    </row>
    <row r="6727" spans="1:25" x14ac:dyDescent="0.2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 t="shared" si="420"/>
        <v>0</v>
      </c>
      <c r="W6727">
        <f t="shared" si="421"/>
        <v>1</v>
      </c>
      <c r="X6727" t="str">
        <f t="shared" si="422"/>
        <v>25-48 Months</v>
      </c>
      <c r="Y6727" s="1" t="str">
        <f t="shared" si="423"/>
        <v>Low</v>
      </c>
    </row>
    <row r="6728" spans="1:25" x14ac:dyDescent="0.2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 t="shared" si="420"/>
        <v>1</v>
      </c>
      <c r="W6728">
        <f t="shared" si="421"/>
        <v>0</v>
      </c>
      <c r="X6728" t="str">
        <f t="shared" si="422"/>
        <v>0-12 Months</v>
      </c>
      <c r="Y6728" s="1" t="str">
        <f t="shared" si="423"/>
        <v>Medium</v>
      </c>
    </row>
    <row r="6729" spans="1:25" x14ac:dyDescent="0.2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 t="shared" si="420"/>
        <v>0</v>
      </c>
      <c r="W6729">
        <f t="shared" si="421"/>
        <v>1</v>
      </c>
      <c r="X6729" t="str">
        <f t="shared" si="422"/>
        <v>13-24 Months</v>
      </c>
      <c r="Y6729" s="1" t="str">
        <f t="shared" si="423"/>
        <v>Low</v>
      </c>
    </row>
    <row r="6730" spans="1:25" x14ac:dyDescent="0.2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 t="shared" si="420"/>
        <v>0</v>
      </c>
      <c r="W6730">
        <f t="shared" si="421"/>
        <v>1</v>
      </c>
      <c r="X6730" t="str">
        <f t="shared" si="422"/>
        <v>49+ Months</v>
      </c>
      <c r="Y6730" s="1" t="str">
        <f t="shared" si="423"/>
        <v>High</v>
      </c>
    </row>
    <row r="6731" spans="1:25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 t="shared" si="420"/>
        <v>0</v>
      </c>
      <c r="W6731">
        <f t="shared" si="421"/>
        <v>1</v>
      </c>
      <c r="X6731" t="str">
        <f t="shared" si="422"/>
        <v>49+ Months</v>
      </c>
      <c r="Y6731" s="1" t="str">
        <f t="shared" si="423"/>
        <v>Medium</v>
      </c>
    </row>
    <row r="6732" spans="1:25" x14ac:dyDescent="0.2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 t="shared" si="420"/>
        <v>0</v>
      </c>
      <c r="W6732">
        <f t="shared" si="421"/>
        <v>1</v>
      </c>
      <c r="X6732" t="str">
        <f t="shared" si="422"/>
        <v>13-24 Months</v>
      </c>
      <c r="Y6732" s="1" t="str">
        <f t="shared" si="423"/>
        <v>Low</v>
      </c>
    </row>
    <row r="6733" spans="1:25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 t="shared" si="420"/>
        <v>0</v>
      </c>
      <c r="W6733">
        <f t="shared" si="421"/>
        <v>1</v>
      </c>
      <c r="X6733" t="str">
        <f t="shared" si="422"/>
        <v>13-24 Months</v>
      </c>
      <c r="Y6733" s="1" t="str">
        <f t="shared" si="423"/>
        <v>Low</v>
      </c>
    </row>
    <row r="6734" spans="1:25" x14ac:dyDescent="0.2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 t="shared" si="420"/>
        <v>0</v>
      </c>
      <c r="W6734">
        <f t="shared" si="421"/>
        <v>1</v>
      </c>
      <c r="X6734" t="str">
        <f t="shared" si="422"/>
        <v>13-24 Months</v>
      </c>
      <c r="Y6734" s="1" t="str">
        <f t="shared" si="423"/>
        <v>High</v>
      </c>
    </row>
    <row r="6735" spans="1:25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 t="shared" si="420"/>
        <v>0</v>
      </c>
      <c r="W6735">
        <f t="shared" si="421"/>
        <v>1</v>
      </c>
      <c r="X6735" t="str">
        <f t="shared" si="422"/>
        <v>25-48 Months</v>
      </c>
      <c r="Y6735" s="1" t="str">
        <f t="shared" si="423"/>
        <v>Medium</v>
      </c>
    </row>
    <row r="6736" spans="1:25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 t="shared" si="420"/>
        <v>1</v>
      </c>
      <c r="W6736">
        <f t="shared" si="421"/>
        <v>0</v>
      </c>
      <c r="X6736" t="str">
        <f t="shared" si="422"/>
        <v>0-12 Months</v>
      </c>
      <c r="Y6736" s="1" t="str">
        <f t="shared" si="423"/>
        <v>Medium</v>
      </c>
    </row>
    <row r="6737" spans="1:25" x14ac:dyDescent="0.2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 t="shared" si="420"/>
        <v>0</v>
      </c>
      <c r="W6737">
        <f t="shared" si="421"/>
        <v>1</v>
      </c>
      <c r="X6737" t="str">
        <f t="shared" si="422"/>
        <v>49+ Months</v>
      </c>
      <c r="Y6737" s="1" t="str">
        <f t="shared" si="423"/>
        <v>High</v>
      </c>
    </row>
    <row r="6738" spans="1:25" x14ac:dyDescent="0.2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 t="shared" si="420"/>
        <v>0</v>
      </c>
      <c r="W6738">
        <f t="shared" si="421"/>
        <v>1</v>
      </c>
      <c r="X6738" t="str">
        <f t="shared" si="422"/>
        <v>49+ Months</v>
      </c>
      <c r="Y6738" s="1" t="str">
        <f t="shared" si="423"/>
        <v>Low</v>
      </c>
    </row>
    <row r="6739" spans="1:25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 t="shared" si="420"/>
        <v>0</v>
      </c>
      <c r="W6739">
        <f t="shared" si="421"/>
        <v>1</v>
      </c>
      <c r="X6739" t="str">
        <f t="shared" si="422"/>
        <v>49+ Months</v>
      </c>
      <c r="Y6739" s="1" t="str">
        <f t="shared" si="423"/>
        <v>High</v>
      </c>
    </row>
    <row r="6740" spans="1:25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 t="shared" si="420"/>
        <v>0</v>
      </c>
      <c r="W6740">
        <f t="shared" si="421"/>
        <v>1</v>
      </c>
      <c r="X6740" t="str">
        <f t="shared" si="422"/>
        <v>0-12 Months</v>
      </c>
      <c r="Y6740" s="1" t="str">
        <f t="shared" si="423"/>
        <v>Low</v>
      </c>
    </row>
    <row r="6741" spans="1:25" x14ac:dyDescent="0.2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 t="shared" si="420"/>
        <v>0</v>
      </c>
      <c r="W6741">
        <f t="shared" si="421"/>
        <v>1</v>
      </c>
      <c r="X6741" t="str">
        <f t="shared" si="422"/>
        <v>0-12 Months</v>
      </c>
      <c r="Y6741" s="1" t="str">
        <f t="shared" si="423"/>
        <v>Medium</v>
      </c>
    </row>
    <row r="6742" spans="1:25" x14ac:dyDescent="0.2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 t="shared" si="420"/>
        <v>1</v>
      </c>
      <c r="W6742">
        <f t="shared" si="421"/>
        <v>0</v>
      </c>
      <c r="X6742" t="str">
        <f t="shared" si="422"/>
        <v>25-48 Months</v>
      </c>
      <c r="Y6742" s="1" t="str">
        <f t="shared" si="423"/>
        <v>Medium</v>
      </c>
    </row>
    <row r="6743" spans="1:25" x14ac:dyDescent="0.2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 t="shared" si="420"/>
        <v>1</v>
      </c>
      <c r="W6743">
        <f t="shared" si="421"/>
        <v>0</v>
      </c>
      <c r="X6743" t="str">
        <f t="shared" si="422"/>
        <v>0-12 Months</v>
      </c>
      <c r="Y6743" s="1" t="str">
        <f t="shared" si="423"/>
        <v>High</v>
      </c>
    </row>
    <row r="6744" spans="1:25" x14ac:dyDescent="0.2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 t="shared" si="420"/>
        <v>0</v>
      </c>
      <c r="W6744">
        <f t="shared" si="421"/>
        <v>1</v>
      </c>
      <c r="X6744" t="str">
        <f t="shared" si="422"/>
        <v>49+ Months</v>
      </c>
      <c r="Y6744" s="1" t="str">
        <f t="shared" si="423"/>
        <v>Medium</v>
      </c>
    </row>
    <row r="6745" spans="1:25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 t="shared" si="420"/>
        <v>0</v>
      </c>
      <c r="W6745">
        <f t="shared" si="421"/>
        <v>1</v>
      </c>
      <c r="X6745" t="str">
        <f t="shared" si="422"/>
        <v>0-12 Months</v>
      </c>
      <c r="Y6745" s="1" t="str">
        <f t="shared" si="423"/>
        <v>Low</v>
      </c>
    </row>
    <row r="6746" spans="1:25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 t="shared" si="420"/>
        <v>0</v>
      </c>
      <c r="W6746">
        <f t="shared" si="421"/>
        <v>1</v>
      </c>
      <c r="X6746" t="str">
        <f t="shared" si="422"/>
        <v>49+ Months</v>
      </c>
      <c r="Y6746" s="1" t="str">
        <f t="shared" si="423"/>
        <v>High</v>
      </c>
    </row>
    <row r="6747" spans="1:25" x14ac:dyDescent="0.2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 t="shared" si="420"/>
        <v>1</v>
      </c>
      <c r="W6747">
        <f t="shared" si="421"/>
        <v>0</v>
      </c>
      <c r="X6747" t="str">
        <f t="shared" si="422"/>
        <v>49+ Months</v>
      </c>
      <c r="Y6747" s="1" t="str">
        <f t="shared" si="423"/>
        <v>High</v>
      </c>
    </row>
    <row r="6748" spans="1:25" x14ac:dyDescent="0.2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 t="shared" si="420"/>
        <v>1</v>
      </c>
      <c r="W6748">
        <f t="shared" si="421"/>
        <v>0</v>
      </c>
      <c r="X6748" t="str">
        <f t="shared" si="422"/>
        <v>0-12 Months</v>
      </c>
      <c r="Y6748" s="1" t="str">
        <f t="shared" si="423"/>
        <v>Medium</v>
      </c>
    </row>
    <row r="6749" spans="1:25" x14ac:dyDescent="0.2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 t="shared" si="420"/>
        <v>0</v>
      </c>
      <c r="W6749">
        <f t="shared" si="421"/>
        <v>1</v>
      </c>
      <c r="X6749" t="str">
        <f t="shared" si="422"/>
        <v>49+ Months</v>
      </c>
      <c r="Y6749" s="1" t="str">
        <f t="shared" si="423"/>
        <v>Low</v>
      </c>
    </row>
    <row r="6750" spans="1:25" x14ac:dyDescent="0.2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 t="shared" si="420"/>
        <v>1</v>
      </c>
      <c r="W6750">
        <f t="shared" si="421"/>
        <v>0</v>
      </c>
      <c r="X6750" t="str">
        <f t="shared" si="422"/>
        <v>0-12 Months</v>
      </c>
      <c r="Y6750" s="1" t="str">
        <f t="shared" si="423"/>
        <v>High</v>
      </c>
    </row>
    <row r="6751" spans="1:25" x14ac:dyDescent="0.2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 t="shared" si="420"/>
        <v>0</v>
      </c>
      <c r="W6751">
        <f t="shared" si="421"/>
        <v>1</v>
      </c>
      <c r="X6751" t="str">
        <f t="shared" si="422"/>
        <v>49+ Months</v>
      </c>
      <c r="Y6751" s="1" t="str">
        <f t="shared" si="423"/>
        <v>Medium</v>
      </c>
    </row>
    <row r="6752" spans="1:25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 t="shared" si="420"/>
        <v>0</v>
      </c>
      <c r="W6752">
        <f t="shared" si="421"/>
        <v>1</v>
      </c>
      <c r="X6752" t="str">
        <f t="shared" si="422"/>
        <v>25-48 Months</v>
      </c>
      <c r="Y6752" s="1" t="str">
        <f t="shared" si="423"/>
        <v>Low</v>
      </c>
    </row>
    <row r="6753" spans="1:25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 t="shared" si="420"/>
        <v>0</v>
      </c>
      <c r="W6753">
        <f t="shared" si="421"/>
        <v>1</v>
      </c>
      <c r="X6753" t="str">
        <f t="shared" si="422"/>
        <v>49+ Months</v>
      </c>
      <c r="Y6753" s="1" t="str">
        <f t="shared" si="423"/>
        <v>Low</v>
      </c>
    </row>
    <row r="6754" spans="1:25" x14ac:dyDescent="0.2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 t="shared" si="420"/>
        <v>0</v>
      </c>
      <c r="W6754">
        <f t="shared" si="421"/>
        <v>1</v>
      </c>
      <c r="X6754" t="str">
        <f t="shared" si="422"/>
        <v>0-12 Months</v>
      </c>
      <c r="Y6754" s="1" t="str">
        <f t="shared" si="423"/>
        <v>Low</v>
      </c>
    </row>
    <row r="6755" spans="1:25" x14ac:dyDescent="0.2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 t="shared" si="420"/>
        <v>0</v>
      </c>
      <c r="W6755">
        <f t="shared" si="421"/>
        <v>1</v>
      </c>
      <c r="X6755" t="str">
        <f t="shared" si="422"/>
        <v>49+ Months</v>
      </c>
      <c r="Y6755" s="1" t="str">
        <f t="shared" si="423"/>
        <v>Medium</v>
      </c>
    </row>
    <row r="6756" spans="1:25" x14ac:dyDescent="0.2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>
        <f t="shared" si="420"/>
        <v>0</v>
      </c>
      <c r="W6756">
        <f t="shared" si="421"/>
        <v>1</v>
      </c>
      <c r="X6756" t="str">
        <f t="shared" si="422"/>
        <v>0-12 Months</v>
      </c>
      <c r="Y6756" s="1" t="str">
        <f t="shared" si="423"/>
        <v>Medium</v>
      </c>
    </row>
    <row r="6757" spans="1:25" x14ac:dyDescent="0.2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 t="shared" si="420"/>
        <v>0</v>
      </c>
      <c r="W6757">
        <f t="shared" si="421"/>
        <v>1</v>
      </c>
      <c r="X6757" t="str">
        <f t="shared" si="422"/>
        <v>25-48 Months</v>
      </c>
      <c r="Y6757" s="1" t="str">
        <f t="shared" si="423"/>
        <v>Medium</v>
      </c>
    </row>
    <row r="6758" spans="1:25" x14ac:dyDescent="0.2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 t="shared" si="420"/>
        <v>0</v>
      </c>
      <c r="W6758">
        <f t="shared" si="421"/>
        <v>1</v>
      </c>
      <c r="X6758" t="str">
        <f t="shared" si="422"/>
        <v>13-24 Months</v>
      </c>
      <c r="Y6758" s="1" t="str">
        <f t="shared" si="423"/>
        <v>High</v>
      </c>
    </row>
    <row r="6759" spans="1:25" x14ac:dyDescent="0.2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 t="shared" si="420"/>
        <v>1</v>
      </c>
      <c r="W6759">
        <f t="shared" si="421"/>
        <v>0</v>
      </c>
      <c r="X6759" t="str">
        <f t="shared" si="422"/>
        <v>49+ Months</v>
      </c>
      <c r="Y6759" s="1" t="str">
        <f t="shared" si="423"/>
        <v>Medium</v>
      </c>
    </row>
    <row r="6760" spans="1:25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 t="shared" si="420"/>
        <v>0</v>
      </c>
      <c r="W6760">
        <f t="shared" si="421"/>
        <v>1</v>
      </c>
      <c r="X6760" t="str">
        <f t="shared" si="422"/>
        <v>25-48 Months</v>
      </c>
      <c r="Y6760" s="1" t="str">
        <f t="shared" si="423"/>
        <v>Low</v>
      </c>
    </row>
    <row r="6761" spans="1:25" x14ac:dyDescent="0.2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 t="shared" si="420"/>
        <v>0</v>
      </c>
      <c r="W6761">
        <f t="shared" si="421"/>
        <v>1</v>
      </c>
      <c r="X6761" t="str">
        <f t="shared" si="422"/>
        <v>49+ Months</v>
      </c>
      <c r="Y6761" s="1" t="str">
        <f t="shared" si="423"/>
        <v>High</v>
      </c>
    </row>
    <row r="6762" spans="1:25" x14ac:dyDescent="0.2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 t="shared" si="420"/>
        <v>1</v>
      </c>
      <c r="W6762">
        <f t="shared" si="421"/>
        <v>0</v>
      </c>
      <c r="X6762" t="str">
        <f t="shared" si="422"/>
        <v>0-12 Months</v>
      </c>
      <c r="Y6762" s="1" t="str">
        <f t="shared" si="423"/>
        <v>Low</v>
      </c>
    </row>
    <row r="6763" spans="1:25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 t="shared" si="420"/>
        <v>0</v>
      </c>
      <c r="W6763">
        <f t="shared" si="421"/>
        <v>1</v>
      </c>
      <c r="X6763" t="str">
        <f t="shared" si="422"/>
        <v>0-12 Months</v>
      </c>
      <c r="Y6763" s="1" t="str">
        <f t="shared" si="423"/>
        <v>Low</v>
      </c>
    </row>
    <row r="6764" spans="1:25" x14ac:dyDescent="0.2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 t="shared" si="420"/>
        <v>1</v>
      </c>
      <c r="W6764">
        <f t="shared" si="421"/>
        <v>0</v>
      </c>
      <c r="X6764" t="str">
        <f t="shared" si="422"/>
        <v>25-48 Months</v>
      </c>
      <c r="Y6764" s="1" t="str">
        <f t="shared" si="423"/>
        <v>Medium</v>
      </c>
    </row>
    <row r="6765" spans="1:25" x14ac:dyDescent="0.2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 t="shared" si="420"/>
        <v>0</v>
      </c>
      <c r="W6765">
        <f t="shared" si="421"/>
        <v>1</v>
      </c>
      <c r="X6765" t="str">
        <f t="shared" si="422"/>
        <v>49+ Months</v>
      </c>
      <c r="Y6765" s="1" t="str">
        <f t="shared" si="423"/>
        <v>Medium</v>
      </c>
    </row>
    <row r="6766" spans="1:25" x14ac:dyDescent="0.2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 t="shared" si="420"/>
        <v>1</v>
      </c>
      <c r="W6766">
        <f t="shared" si="421"/>
        <v>0</v>
      </c>
      <c r="X6766" t="str">
        <f t="shared" si="422"/>
        <v>0-12 Months</v>
      </c>
      <c r="Y6766" s="1" t="str">
        <f t="shared" si="423"/>
        <v>Medium</v>
      </c>
    </row>
    <row r="6767" spans="1:25" x14ac:dyDescent="0.2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 t="shared" si="420"/>
        <v>0</v>
      </c>
      <c r="W6767">
        <f t="shared" si="421"/>
        <v>1</v>
      </c>
      <c r="X6767" t="str">
        <f t="shared" si="422"/>
        <v>49+ Months</v>
      </c>
      <c r="Y6767" s="1" t="str">
        <f t="shared" si="423"/>
        <v>Low</v>
      </c>
    </row>
    <row r="6768" spans="1:25" x14ac:dyDescent="0.2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 t="shared" si="420"/>
        <v>0</v>
      </c>
      <c r="W6768">
        <f t="shared" si="421"/>
        <v>1</v>
      </c>
      <c r="X6768" t="str">
        <f t="shared" si="422"/>
        <v>13-24 Months</v>
      </c>
      <c r="Y6768" s="1" t="str">
        <f t="shared" si="423"/>
        <v>Low</v>
      </c>
    </row>
    <row r="6769" spans="1:25" x14ac:dyDescent="0.2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 t="shared" si="420"/>
        <v>0</v>
      </c>
      <c r="W6769">
        <f t="shared" si="421"/>
        <v>1</v>
      </c>
      <c r="X6769" t="str">
        <f t="shared" si="422"/>
        <v>49+ Months</v>
      </c>
      <c r="Y6769" s="1" t="str">
        <f t="shared" si="423"/>
        <v>Medium</v>
      </c>
    </row>
    <row r="6770" spans="1:25" x14ac:dyDescent="0.2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 t="shared" si="420"/>
        <v>0</v>
      </c>
      <c r="W6770">
        <f t="shared" si="421"/>
        <v>1</v>
      </c>
      <c r="X6770" t="str">
        <f t="shared" si="422"/>
        <v>49+ Months</v>
      </c>
      <c r="Y6770" s="1" t="str">
        <f t="shared" si="423"/>
        <v>High</v>
      </c>
    </row>
    <row r="6771" spans="1:25" x14ac:dyDescent="0.2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 t="shared" si="420"/>
        <v>0</v>
      </c>
      <c r="W6771">
        <f t="shared" si="421"/>
        <v>1</v>
      </c>
      <c r="X6771" t="str">
        <f t="shared" si="422"/>
        <v>25-48 Months</v>
      </c>
      <c r="Y6771" s="1" t="str">
        <f t="shared" si="423"/>
        <v>Low</v>
      </c>
    </row>
    <row r="6772" spans="1:25" x14ac:dyDescent="0.2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 t="shared" si="420"/>
        <v>0</v>
      </c>
      <c r="W6772">
        <f t="shared" si="421"/>
        <v>1</v>
      </c>
      <c r="X6772" t="str">
        <f t="shared" si="422"/>
        <v>0-12 Months</v>
      </c>
      <c r="Y6772" s="1" t="str">
        <f t="shared" si="423"/>
        <v>Medium</v>
      </c>
    </row>
    <row r="6773" spans="1:25" x14ac:dyDescent="0.2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 t="shared" si="420"/>
        <v>0</v>
      </c>
      <c r="W6773">
        <f t="shared" si="421"/>
        <v>1</v>
      </c>
      <c r="X6773" t="str">
        <f t="shared" si="422"/>
        <v>25-48 Months</v>
      </c>
      <c r="Y6773" s="1" t="str">
        <f t="shared" si="423"/>
        <v>Low</v>
      </c>
    </row>
    <row r="6774" spans="1:25" x14ac:dyDescent="0.2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 t="shared" si="420"/>
        <v>1</v>
      </c>
      <c r="W6774">
        <f t="shared" si="421"/>
        <v>0</v>
      </c>
      <c r="X6774" t="str">
        <f t="shared" si="422"/>
        <v>25-48 Months</v>
      </c>
      <c r="Y6774" s="1" t="str">
        <f t="shared" si="423"/>
        <v>Medium</v>
      </c>
    </row>
    <row r="6775" spans="1:25" x14ac:dyDescent="0.2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 t="shared" si="420"/>
        <v>1</v>
      </c>
      <c r="W6775">
        <f t="shared" si="421"/>
        <v>0</v>
      </c>
      <c r="X6775" t="str">
        <f t="shared" si="422"/>
        <v>25-48 Months</v>
      </c>
      <c r="Y6775" s="1" t="str">
        <f t="shared" si="423"/>
        <v>High</v>
      </c>
    </row>
    <row r="6776" spans="1:25" x14ac:dyDescent="0.2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 t="shared" si="420"/>
        <v>0</v>
      </c>
      <c r="W6776">
        <f t="shared" si="421"/>
        <v>1</v>
      </c>
      <c r="X6776" t="str">
        <f t="shared" si="422"/>
        <v>0-12 Months</v>
      </c>
      <c r="Y6776" s="1" t="str">
        <f t="shared" si="423"/>
        <v>Low</v>
      </c>
    </row>
    <row r="6777" spans="1:25" x14ac:dyDescent="0.2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 t="shared" si="420"/>
        <v>0</v>
      </c>
      <c r="W6777">
        <f t="shared" si="421"/>
        <v>1</v>
      </c>
      <c r="X6777" t="str">
        <f t="shared" si="422"/>
        <v>49+ Months</v>
      </c>
      <c r="Y6777" s="1" t="str">
        <f t="shared" si="423"/>
        <v>Medium</v>
      </c>
    </row>
    <row r="6778" spans="1:25" x14ac:dyDescent="0.2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 t="shared" si="420"/>
        <v>0</v>
      </c>
      <c r="W6778">
        <f t="shared" si="421"/>
        <v>1</v>
      </c>
      <c r="X6778" t="str">
        <f t="shared" si="422"/>
        <v>49+ Months</v>
      </c>
      <c r="Y6778" s="1" t="str">
        <f t="shared" si="423"/>
        <v>Medium</v>
      </c>
    </row>
    <row r="6779" spans="1:25" x14ac:dyDescent="0.2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 t="shared" si="420"/>
        <v>0</v>
      </c>
      <c r="W6779">
        <f t="shared" si="421"/>
        <v>1</v>
      </c>
      <c r="X6779" t="str">
        <f t="shared" si="422"/>
        <v>0-12 Months</v>
      </c>
      <c r="Y6779" s="1" t="str">
        <f t="shared" si="423"/>
        <v>Low</v>
      </c>
    </row>
    <row r="6780" spans="1:25" x14ac:dyDescent="0.2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 t="shared" si="420"/>
        <v>0</v>
      </c>
      <c r="W6780">
        <f t="shared" si="421"/>
        <v>1</v>
      </c>
      <c r="X6780" t="str">
        <f t="shared" si="422"/>
        <v>49+ Months</v>
      </c>
      <c r="Y6780" s="1" t="str">
        <f t="shared" si="423"/>
        <v>Low</v>
      </c>
    </row>
    <row r="6781" spans="1:25" x14ac:dyDescent="0.2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 t="shared" si="420"/>
        <v>0</v>
      </c>
      <c r="W6781">
        <f t="shared" si="421"/>
        <v>1</v>
      </c>
      <c r="X6781" t="str">
        <f t="shared" si="422"/>
        <v>25-48 Months</v>
      </c>
      <c r="Y6781" s="1" t="str">
        <f t="shared" si="423"/>
        <v>Low</v>
      </c>
    </row>
    <row r="6782" spans="1:25" x14ac:dyDescent="0.2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 t="shared" si="420"/>
        <v>0</v>
      </c>
      <c r="W6782">
        <f t="shared" si="421"/>
        <v>1</v>
      </c>
      <c r="X6782" t="str">
        <f t="shared" si="422"/>
        <v>13-24 Months</v>
      </c>
      <c r="Y6782" s="1" t="str">
        <f t="shared" si="423"/>
        <v>Low</v>
      </c>
    </row>
    <row r="6783" spans="1:25" x14ac:dyDescent="0.2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 t="shared" si="420"/>
        <v>1</v>
      </c>
      <c r="W6783">
        <f t="shared" si="421"/>
        <v>0</v>
      </c>
      <c r="X6783" t="str">
        <f t="shared" si="422"/>
        <v>0-12 Months</v>
      </c>
      <c r="Y6783" s="1" t="str">
        <f t="shared" si="423"/>
        <v>Medium</v>
      </c>
    </row>
    <row r="6784" spans="1:25" x14ac:dyDescent="0.2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 t="shared" si="420"/>
        <v>0</v>
      </c>
      <c r="W6784">
        <f t="shared" si="421"/>
        <v>1</v>
      </c>
      <c r="X6784" t="str">
        <f t="shared" si="422"/>
        <v>0-12 Months</v>
      </c>
      <c r="Y6784" s="1" t="str">
        <f t="shared" si="423"/>
        <v>Medium</v>
      </c>
    </row>
    <row r="6785" spans="1:25" x14ac:dyDescent="0.2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 t="shared" si="420"/>
        <v>0</v>
      </c>
      <c r="W6785">
        <f t="shared" si="421"/>
        <v>1</v>
      </c>
      <c r="X6785" t="str">
        <f t="shared" si="422"/>
        <v>13-24 Months</v>
      </c>
      <c r="Y6785" s="1" t="str">
        <f t="shared" si="423"/>
        <v>Medium</v>
      </c>
    </row>
    <row r="6786" spans="1:25" x14ac:dyDescent="0.2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 t="shared" ref="V6786:V6849" si="424">IF(U6786="Yes",1,0)</f>
        <v>0</v>
      </c>
      <c r="W6786">
        <f t="shared" ref="W6786:W6849" si="425">IF(U6786="No",1,0)</f>
        <v>1</v>
      </c>
      <c r="X6786" t="str">
        <f t="shared" ref="X6786:X6849" si="426">IF(F6786&lt;=12,"0-12 Months",IF(F6786&lt;=24,"13-24 Months",IF(F6786&lt;=48,"25-48 Months","49+ Months")))</f>
        <v>13-24 Months</v>
      </c>
      <c r="Y6786" s="1" t="str">
        <f t="shared" ref="Y6786:Y6849" si="427">IF(S6786&lt;50,"Low",IF(S6786&lt;80,"Medium","High"))</f>
        <v>Low</v>
      </c>
    </row>
    <row r="6787" spans="1:25" x14ac:dyDescent="0.2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 t="shared" si="424"/>
        <v>1</v>
      </c>
      <c r="W6787">
        <f t="shared" si="425"/>
        <v>0</v>
      </c>
      <c r="X6787" t="str">
        <f t="shared" si="426"/>
        <v>49+ Months</v>
      </c>
      <c r="Y6787" s="1" t="str">
        <f t="shared" si="427"/>
        <v>High</v>
      </c>
    </row>
    <row r="6788" spans="1:25" x14ac:dyDescent="0.2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 t="shared" si="424"/>
        <v>1</v>
      </c>
      <c r="W6788">
        <f t="shared" si="425"/>
        <v>0</v>
      </c>
      <c r="X6788" t="str">
        <f t="shared" si="426"/>
        <v>0-12 Months</v>
      </c>
      <c r="Y6788" s="1" t="str">
        <f t="shared" si="427"/>
        <v>Low</v>
      </c>
    </row>
    <row r="6789" spans="1:25" x14ac:dyDescent="0.2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 t="shared" si="424"/>
        <v>0</v>
      </c>
      <c r="W6789">
        <f t="shared" si="425"/>
        <v>1</v>
      </c>
      <c r="X6789" t="str">
        <f t="shared" si="426"/>
        <v>25-48 Months</v>
      </c>
      <c r="Y6789" s="1" t="str">
        <f t="shared" si="427"/>
        <v>High</v>
      </c>
    </row>
    <row r="6790" spans="1:25" x14ac:dyDescent="0.2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 t="shared" si="424"/>
        <v>0</v>
      </c>
      <c r="W6790">
        <f t="shared" si="425"/>
        <v>1</v>
      </c>
      <c r="X6790" t="str">
        <f t="shared" si="426"/>
        <v>25-48 Months</v>
      </c>
      <c r="Y6790" s="1" t="str">
        <f t="shared" si="427"/>
        <v>Low</v>
      </c>
    </row>
    <row r="6791" spans="1:25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 t="shared" si="424"/>
        <v>1</v>
      </c>
      <c r="W6791">
        <f t="shared" si="425"/>
        <v>0</v>
      </c>
      <c r="X6791" t="str">
        <f t="shared" si="426"/>
        <v>0-12 Months</v>
      </c>
      <c r="Y6791" s="1" t="str">
        <f t="shared" si="427"/>
        <v>Low</v>
      </c>
    </row>
    <row r="6792" spans="1:25" x14ac:dyDescent="0.2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 t="shared" si="424"/>
        <v>0</v>
      </c>
      <c r="W6792">
        <f t="shared" si="425"/>
        <v>1</v>
      </c>
      <c r="X6792" t="str">
        <f t="shared" si="426"/>
        <v>49+ Months</v>
      </c>
      <c r="Y6792" s="1" t="str">
        <f t="shared" si="427"/>
        <v>Low</v>
      </c>
    </row>
    <row r="6793" spans="1:25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 t="shared" si="424"/>
        <v>1</v>
      </c>
      <c r="W6793">
        <f t="shared" si="425"/>
        <v>0</v>
      </c>
      <c r="X6793" t="str">
        <f t="shared" si="426"/>
        <v>13-24 Months</v>
      </c>
      <c r="Y6793" s="1" t="str">
        <f t="shared" si="427"/>
        <v>Low</v>
      </c>
    </row>
    <row r="6794" spans="1:25" x14ac:dyDescent="0.2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 t="shared" si="424"/>
        <v>1</v>
      </c>
      <c r="W6794">
        <f t="shared" si="425"/>
        <v>0</v>
      </c>
      <c r="X6794" t="str">
        <f t="shared" si="426"/>
        <v>49+ Months</v>
      </c>
      <c r="Y6794" s="1" t="str">
        <f t="shared" si="427"/>
        <v>Low</v>
      </c>
    </row>
    <row r="6795" spans="1:25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 t="shared" si="424"/>
        <v>0</v>
      </c>
      <c r="W6795">
        <f t="shared" si="425"/>
        <v>1</v>
      </c>
      <c r="X6795" t="str">
        <f t="shared" si="426"/>
        <v>49+ Months</v>
      </c>
      <c r="Y6795" s="1" t="str">
        <f t="shared" si="427"/>
        <v>High</v>
      </c>
    </row>
    <row r="6796" spans="1:25" x14ac:dyDescent="0.2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 t="shared" si="424"/>
        <v>0</v>
      </c>
      <c r="W6796">
        <f t="shared" si="425"/>
        <v>1</v>
      </c>
      <c r="X6796" t="str">
        <f t="shared" si="426"/>
        <v>25-48 Months</v>
      </c>
      <c r="Y6796" s="1" t="str">
        <f t="shared" si="427"/>
        <v>Low</v>
      </c>
    </row>
    <row r="6797" spans="1:25" x14ac:dyDescent="0.2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 t="shared" si="424"/>
        <v>0</v>
      </c>
      <c r="W6797">
        <f t="shared" si="425"/>
        <v>1</v>
      </c>
      <c r="X6797" t="str">
        <f t="shared" si="426"/>
        <v>49+ Months</v>
      </c>
      <c r="Y6797" s="1" t="str">
        <f t="shared" si="427"/>
        <v>High</v>
      </c>
    </row>
    <row r="6798" spans="1:25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 t="shared" si="424"/>
        <v>1</v>
      </c>
      <c r="W6798">
        <f t="shared" si="425"/>
        <v>0</v>
      </c>
      <c r="X6798" t="str">
        <f t="shared" si="426"/>
        <v>0-12 Months</v>
      </c>
      <c r="Y6798" s="1" t="str">
        <f t="shared" si="427"/>
        <v>Medium</v>
      </c>
    </row>
    <row r="6799" spans="1:25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 t="shared" si="424"/>
        <v>0</v>
      </c>
      <c r="W6799">
        <f t="shared" si="425"/>
        <v>1</v>
      </c>
      <c r="X6799" t="str">
        <f t="shared" si="426"/>
        <v>25-48 Months</v>
      </c>
      <c r="Y6799" s="1" t="str">
        <f t="shared" si="427"/>
        <v>Medium</v>
      </c>
    </row>
    <row r="6800" spans="1:25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 t="shared" si="424"/>
        <v>0</v>
      </c>
      <c r="W6800">
        <f t="shared" si="425"/>
        <v>1</v>
      </c>
      <c r="X6800" t="str">
        <f t="shared" si="426"/>
        <v>13-24 Months</v>
      </c>
      <c r="Y6800" s="1" t="str">
        <f t="shared" si="427"/>
        <v>Medium</v>
      </c>
    </row>
    <row r="6801" spans="1:25" x14ac:dyDescent="0.2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 t="shared" si="424"/>
        <v>0</v>
      </c>
      <c r="W6801">
        <f t="shared" si="425"/>
        <v>1</v>
      </c>
      <c r="X6801" t="str">
        <f t="shared" si="426"/>
        <v>49+ Months</v>
      </c>
      <c r="Y6801" s="1" t="str">
        <f t="shared" si="427"/>
        <v>High</v>
      </c>
    </row>
    <row r="6802" spans="1:25" x14ac:dyDescent="0.2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 t="shared" si="424"/>
        <v>1</v>
      </c>
      <c r="W6802">
        <f t="shared" si="425"/>
        <v>0</v>
      </c>
      <c r="X6802" t="str">
        <f t="shared" si="426"/>
        <v>13-24 Months</v>
      </c>
      <c r="Y6802" s="1" t="str">
        <f t="shared" si="427"/>
        <v>High</v>
      </c>
    </row>
    <row r="6803" spans="1:25" x14ac:dyDescent="0.2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 t="shared" si="424"/>
        <v>0</v>
      </c>
      <c r="W6803">
        <f t="shared" si="425"/>
        <v>1</v>
      </c>
      <c r="X6803" t="str">
        <f t="shared" si="426"/>
        <v>13-24 Months</v>
      </c>
      <c r="Y6803" s="1" t="str">
        <f t="shared" si="427"/>
        <v>High</v>
      </c>
    </row>
    <row r="6804" spans="1:25" x14ac:dyDescent="0.2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 t="shared" si="424"/>
        <v>0</v>
      </c>
      <c r="W6804">
        <f t="shared" si="425"/>
        <v>1</v>
      </c>
      <c r="X6804" t="str">
        <f t="shared" si="426"/>
        <v>13-24 Months</v>
      </c>
      <c r="Y6804" s="1" t="str">
        <f t="shared" si="427"/>
        <v>High</v>
      </c>
    </row>
    <row r="6805" spans="1:25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 t="shared" si="424"/>
        <v>0</v>
      </c>
      <c r="W6805">
        <f t="shared" si="425"/>
        <v>1</v>
      </c>
      <c r="X6805" t="str">
        <f t="shared" si="426"/>
        <v>25-48 Months</v>
      </c>
      <c r="Y6805" s="1" t="str">
        <f t="shared" si="427"/>
        <v>High</v>
      </c>
    </row>
    <row r="6806" spans="1:25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 t="shared" si="424"/>
        <v>0</v>
      </c>
      <c r="W6806">
        <f t="shared" si="425"/>
        <v>1</v>
      </c>
      <c r="X6806" t="str">
        <f t="shared" si="426"/>
        <v>0-12 Months</v>
      </c>
      <c r="Y6806" s="1" t="str">
        <f t="shared" si="427"/>
        <v>High</v>
      </c>
    </row>
    <row r="6807" spans="1:25" x14ac:dyDescent="0.2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 t="shared" si="424"/>
        <v>0</v>
      </c>
      <c r="W6807">
        <f t="shared" si="425"/>
        <v>1</v>
      </c>
      <c r="X6807" t="str">
        <f t="shared" si="426"/>
        <v>49+ Months</v>
      </c>
      <c r="Y6807" s="1" t="str">
        <f t="shared" si="427"/>
        <v>High</v>
      </c>
    </row>
    <row r="6808" spans="1:25" x14ac:dyDescent="0.2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 t="shared" si="424"/>
        <v>0</v>
      </c>
      <c r="W6808">
        <f t="shared" si="425"/>
        <v>1</v>
      </c>
      <c r="X6808" t="str">
        <f t="shared" si="426"/>
        <v>25-48 Months</v>
      </c>
      <c r="Y6808" s="1" t="str">
        <f t="shared" si="427"/>
        <v>Low</v>
      </c>
    </row>
    <row r="6809" spans="1:25" x14ac:dyDescent="0.2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 t="shared" si="424"/>
        <v>0</v>
      </c>
      <c r="W6809">
        <f t="shared" si="425"/>
        <v>1</v>
      </c>
      <c r="X6809" t="str">
        <f t="shared" si="426"/>
        <v>0-12 Months</v>
      </c>
      <c r="Y6809" s="1" t="str">
        <f t="shared" si="427"/>
        <v>Low</v>
      </c>
    </row>
    <row r="6810" spans="1:25" x14ac:dyDescent="0.2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 t="shared" si="424"/>
        <v>0</v>
      </c>
      <c r="W6810">
        <f t="shared" si="425"/>
        <v>1</v>
      </c>
      <c r="X6810" t="str">
        <f t="shared" si="426"/>
        <v>25-48 Months</v>
      </c>
      <c r="Y6810" s="1" t="str">
        <f t="shared" si="427"/>
        <v>High</v>
      </c>
    </row>
    <row r="6811" spans="1:25" x14ac:dyDescent="0.2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 t="shared" si="424"/>
        <v>1</v>
      </c>
      <c r="W6811">
        <f t="shared" si="425"/>
        <v>0</v>
      </c>
      <c r="X6811" t="str">
        <f t="shared" si="426"/>
        <v>0-12 Months</v>
      </c>
      <c r="Y6811" s="1" t="str">
        <f t="shared" si="427"/>
        <v>Medium</v>
      </c>
    </row>
    <row r="6812" spans="1:25" x14ac:dyDescent="0.2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 t="shared" si="424"/>
        <v>1</v>
      </c>
      <c r="W6812">
        <f t="shared" si="425"/>
        <v>0</v>
      </c>
      <c r="X6812" t="str">
        <f t="shared" si="426"/>
        <v>13-24 Months</v>
      </c>
      <c r="Y6812" s="1" t="str">
        <f t="shared" si="427"/>
        <v>Low</v>
      </c>
    </row>
    <row r="6813" spans="1:25" x14ac:dyDescent="0.2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 t="shared" si="424"/>
        <v>1</v>
      </c>
      <c r="W6813">
        <f t="shared" si="425"/>
        <v>0</v>
      </c>
      <c r="X6813" t="str">
        <f t="shared" si="426"/>
        <v>0-12 Months</v>
      </c>
      <c r="Y6813" s="1" t="str">
        <f t="shared" si="427"/>
        <v>Medium</v>
      </c>
    </row>
    <row r="6814" spans="1:25" x14ac:dyDescent="0.2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 t="shared" si="424"/>
        <v>0</v>
      </c>
      <c r="W6814">
        <f t="shared" si="425"/>
        <v>1</v>
      </c>
      <c r="X6814" t="str">
        <f t="shared" si="426"/>
        <v>25-48 Months</v>
      </c>
      <c r="Y6814" s="1" t="str">
        <f t="shared" si="427"/>
        <v>High</v>
      </c>
    </row>
    <row r="6815" spans="1:25" x14ac:dyDescent="0.2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 t="shared" si="424"/>
        <v>1</v>
      </c>
      <c r="W6815">
        <f t="shared" si="425"/>
        <v>0</v>
      </c>
      <c r="X6815" t="str">
        <f t="shared" si="426"/>
        <v>49+ Months</v>
      </c>
      <c r="Y6815" s="1" t="str">
        <f t="shared" si="427"/>
        <v>Low</v>
      </c>
    </row>
    <row r="6816" spans="1:25" x14ac:dyDescent="0.2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 t="shared" si="424"/>
        <v>0</v>
      </c>
      <c r="W6816">
        <f t="shared" si="425"/>
        <v>1</v>
      </c>
      <c r="X6816" t="str">
        <f t="shared" si="426"/>
        <v>49+ Months</v>
      </c>
      <c r="Y6816" s="1" t="str">
        <f t="shared" si="427"/>
        <v>High</v>
      </c>
    </row>
    <row r="6817" spans="1:25" x14ac:dyDescent="0.2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 t="shared" si="424"/>
        <v>0</v>
      </c>
      <c r="W6817">
        <f t="shared" si="425"/>
        <v>1</v>
      </c>
      <c r="X6817" t="str">
        <f t="shared" si="426"/>
        <v>49+ Months</v>
      </c>
      <c r="Y6817" s="1" t="str">
        <f t="shared" si="427"/>
        <v>Medium</v>
      </c>
    </row>
    <row r="6818" spans="1:25" x14ac:dyDescent="0.2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 t="shared" si="424"/>
        <v>1</v>
      </c>
      <c r="W6818">
        <f t="shared" si="425"/>
        <v>0</v>
      </c>
      <c r="X6818" t="str">
        <f t="shared" si="426"/>
        <v>0-12 Months</v>
      </c>
      <c r="Y6818" s="1" t="str">
        <f t="shared" si="427"/>
        <v>Medium</v>
      </c>
    </row>
    <row r="6819" spans="1:25" x14ac:dyDescent="0.2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 t="shared" si="424"/>
        <v>0</v>
      </c>
      <c r="W6819">
        <f t="shared" si="425"/>
        <v>1</v>
      </c>
      <c r="X6819" t="str">
        <f t="shared" si="426"/>
        <v>49+ Months</v>
      </c>
      <c r="Y6819" s="1" t="str">
        <f t="shared" si="427"/>
        <v>Low</v>
      </c>
    </row>
    <row r="6820" spans="1:25" x14ac:dyDescent="0.2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 t="shared" si="424"/>
        <v>0</v>
      </c>
      <c r="W6820">
        <f t="shared" si="425"/>
        <v>1</v>
      </c>
      <c r="X6820" t="str">
        <f t="shared" si="426"/>
        <v>0-12 Months</v>
      </c>
      <c r="Y6820" s="1" t="str">
        <f t="shared" si="427"/>
        <v>Medium</v>
      </c>
    </row>
    <row r="6821" spans="1:25" x14ac:dyDescent="0.2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 t="shared" si="424"/>
        <v>1</v>
      </c>
      <c r="W6821">
        <f t="shared" si="425"/>
        <v>0</v>
      </c>
      <c r="X6821" t="str">
        <f t="shared" si="426"/>
        <v>49+ Months</v>
      </c>
      <c r="Y6821" s="1" t="str">
        <f t="shared" si="427"/>
        <v>High</v>
      </c>
    </row>
    <row r="6822" spans="1:25" x14ac:dyDescent="0.2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 t="shared" si="424"/>
        <v>0</v>
      </c>
      <c r="W6822">
        <f t="shared" si="425"/>
        <v>1</v>
      </c>
      <c r="X6822" t="str">
        <f t="shared" si="426"/>
        <v>49+ Months</v>
      </c>
      <c r="Y6822" s="1" t="str">
        <f t="shared" si="427"/>
        <v>High</v>
      </c>
    </row>
    <row r="6823" spans="1:25" x14ac:dyDescent="0.2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 t="shared" si="424"/>
        <v>1</v>
      </c>
      <c r="W6823">
        <f t="shared" si="425"/>
        <v>0</v>
      </c>
      <c r="X6823" t="str">
        <f t="shared" si="426"/>
        <v>13-24 Months</v>
      </c>
      <c r="Y6823" s="1" t="str">
        <f t="shared" si="427"/>
        <v>High</v>
      </c>
    </row>
    <row r="6824" spans="1:25" x14ac:dyDescent="0.2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 t="shared" si="424"/>
        <v>1</v>
      </c>
      <c r="W6824">
        <f t="shared" si="425"/>
        <v>0</v>
      </c>
      <c r="X6824" t="str">
        <f t="shared" si="426"/>
        <v>25-48 Months</v>
      </c>
      <c r="Y6824" s="1" t="str">
        <f t="shared" si="427"/>
        <v>High</v>
      </c>
    </row>
    <row r="6825" spans="1:25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 t="shared" si="424"/>
        <v>0</v>
      </c>
      <c r="W6825">
        <f t="shared" si="425"/>
        <v>1</v>
      </c>
      <c r="X6825" t="str">
        <f t="shared" si="426"/>
        <v>0-12 Months</v>
      </c>
      <c r="Y6825" s="1" t="str">
        <f t="shared" si="427"/>
        <v>Medium</v>
      </c>
    </row>
    <row r="6826" spans="1:25" x14ac:dyDescent="0.2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 t="shared" si="424"/>
        <v>1</v>
      </c>
      <c r="W6826">
        <f t="shared" si="425"/>
        <v>0</v>
      </c>
      <c r="X6826" t="str">
        <f t="shared" si="426"/>
        <v>49+ Months</v>
      </c>
      <c r="Y6826" s="1" t="str">
        <f t="shared" si="427"/>
        <v>High</v>
      </c>
    </row>
    <row r="6827" spans="1:25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 t="shared" si="424"/>
        <v>0</v>
      </c>
      <c r="W6827">
        <f t="shared" si="425"/>
        <v>1</v>
      </c>
      <c r="X6827" t="str">
        <f t="shared" si="426"/>
        <v>25-48 Months</v>
      </c>
      <c r="Y6827" s="1" t="str">
        <f t="shared" si="427"/>
        <v>High</v>
      </c>
    </row>
    <row r="6828" spans="1:25" x14ac:dyDescent="0.2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 t="shared" si="424"/>
        <v>0</v>
      </c>
      <c r="W6828">
        <f t="shared" si="425"/>
        <v>1</v>
      </c>
      <c r="X6828" t="str">
        <f t="shared" si="426"/>
        <v>0-12 Months</v>
      </c>
      <c r="Y6828" s="1" t="str">
        <f t="shared" si="427"/>
        <v>Low</v>
      </c>
    </row>
    <row r="6829" spans="1:25" x14ac:dyDescent="0.2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 t="shared" si="424"/>
        <v>0</v>
      </c>
      <c r="W6829">
        <f t="shared" si="425"/>
        <v>1</v>
      </c>
      <c r="X6829" t="str">
        <f t="shared" si="426"/>
        <v>49+ Months</v>
      </c>
      <c r="Y6829" s="1" t="str">
        <f t="shared" si="427"/>
        <v>Medium</v>
      </c>
    </row>
    <row r="6830" spans="1:25" x14ac:dyDescent="0.2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 t="shared" si="424"/>
        <v>0</v>
      </c>
      <c r="W6830">
        <f t="shared" si="425"/>
        <v>1</v>
      </c>
      <c r="X6830" t="str">
        <f t="shared" si="426"/>
        <v>0-12 Months</v>
      </c>
      <c r="Y6830" s="1" t="str">
        <f t="shared" si="427"/>
        <v>Low</v>
      </c>
    </row>
    <row r="6831" spans="1:25" x14ac:dyDescent="0.2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 t="shared" si="424"/>
        <v>0</v>
      </c>
      <c r="W6831">
        <f t="shared" si="425"/>
        <v>1</v>
      </c>
      <c r="X6831" t="str">
        <f t="shared" si="426"/>
        <v>0-12 Months</v>
      </c>
      <c r="Y6831" s="1" t="str">
        <f t="shared" si="427"/>
        <v>Low</v>
      </c>
    </row>
    <row r="6832" spans="1:25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 t="shared" si="424"/>
        <v>0</v>
      </c>
      <c r="W6832">
        <f t="shared" si="425"/>
        <v>1</v>
      </c>
      <c r="X6832" t="str">
        <f t="shared" si="426"/>
        <v>25-48 Months</v>
      </c>
      <c r="Y6832" s="1" t="str">
        <f t="shared" si="427"/>
        <v>Low</v>
      </c>
    </row>
    <row r="6833" spans="1:25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 t="shared" si="424"/>
        <v>1</v>
      </c>
      <c r="W6833">
        <f t="shared" si="425"/>
        <v>0</v>
      </c>
      <c r="X6833" t="str">
        <f t="shared" si="426"/>
        <v>0-12 Months</v>
      </c>
      <c r="Y6833" s="1" t="str">
        <f t="shared" si="427"/>
        <v>High</v>
      </c>
    </row>
    <row r="6834" spans="1:25" x14ac:dyDescent="0.2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 t="shared" si="424"/>
        <v>0</v>
      </c>
      <c r="W6834">
        <f t="shared" si="425"/>
        <v>1</v>
      </c>
      <c r="X6834" t="str">
        <f t="shared" si="426"/>
        <v>49+ Months</v>
      </c>
      <c r="Y6834" s="1" t="str">
        <f t="shared" si="427"/>
        <v>Low</v>
      </c>
    </row>
    <row r="6835" spans="1:25" x14ac:dyDescent="0.2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 t="shared" si="424"/>
        <v>0</v>
      </c>
      <c r="W6835">
        <f t="shared" si="425"/>
        <v>1</v>
      </c>
      <c r="X6835" t="str">
        <f t="shared" si="426"/>
        <v>13-24 Months</v>
      </c>
      <c r="Y6835" s="1" t="str">
        <f t="shared" si="427"/>
        <v>High</v>
      </c>
    </row>
    <row r="6836" spans="1:25" x14ac:dyDescent="0.2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 t="shared" si="424"/>
        <v>0</v>
      </c>
      <c r="W6836">
        <f t="shared" si="425"/>
        <v>1</v>
      </c>
      <c r="X6836" t="str">
        <f t="shared" si="426"/>
        <v>13-24 Months</v>
      </c>
      <c r="Y6836" s="1" t="str">
        <f t="shared" si="427"/>
        <v>Low</v>
      </c>
    </row>
    <row r="6837" spans="1:25" x14ac:dyDescent="0.2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 t="shared" si="424"/>
        <v>0</v>
      </c>
      <c r="W6837">
        <f t="shared" si="425"/>
        <v>1</v>
      </c>
      <c r="X6837" t="str">
        <f t="shared" si="426"/>
        <v>49+ Months</v>
      </c>
      <c r="Y6837" s="1" t="str">
        <f t="shared" si="427"/>
        <v>High</v>
      </c>
    </row>
    <row r="6838" spans="1:25" x14ac:dyDescent="0.2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 t="shared" si="424"/>
        <v>1</v>
      </c>
      <c r="W6838">
        <f t="shared" si="425"/>
        <v>0</v>
      </c>
      <c r="X6838" t="str">
        <f t="shared" si="426"/>
        <v>0-12 Months</v>
      </c>
      <c r="Y6838" s="1" t="str">
        <f t="shared" si="427"/>
        <v>High</v>
      </c>
    </row>
    <row r="6839" spans="1:25" x14ac:dyDescent="0.2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 t="shared" si="424"/>
        <v>0</v>
      </c>
      <c r="W6839">
        <f t="shared" si="425"/>
        <v>1</v>
      </c>
      <c r="X6839" t="str">
        <f t="shared" si="426"/>
        <v>0-12 Months</v>
      </c>
      <c r="Y6839" s="1" t="str">
        <f t="shared" si="427"/>
        <v>Medium</v>
      </c>
    </row>
    <row r="6840" spans="1:25" x14ac:dyDescent="0.2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 t="shared" si="424"/>
        <v>1</v>
      </c>
      <c r="W6840">
        <f t="shared" si="425"/>
        <v>0</v>
      </c>
      <c r="X6840" t="str">
        <f t="shared" si="426"/>
        <v>13-24 Months</v>
      </c>
      <c r="Y6840" s="1" t="str">
        <f t="shared" si="427"/>
        <v>High</v>
      </c>
    </row>
    <row r="6841" spans="1:25" x14ac:dyDescent="0.2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 t="shared" si="424"/>
        <v>1</v>
      </c>
      <c r="W6841">
        <f t="shared" si="425"/>
        <v>0</v>
      </c>
      <c r="X6841" t="str">
        <f t="shared" si="426"/>
        <v>0-12 Months</v>
      </c>
      <c r="Y6841" s="1" t="str">
        <f t="shared" si="427"/>
        <v>High</v>
      </c>
    </row>
    <row r="6842" spans="1:25" x14ac:dyDescent="0.2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 t="shared" si="424"/>
        <v>0</v>
      </c>
      <c r="W6842">
        <f t="shared" si="425"/>
        <v>1</v>
      </c>
      <c r="X6842" t="str">
        <f t="shared" si="426"/>
        <v>0-12 Months</v>
      </c>
      <c r="Y6842" s="1" t="str">
        <f t="shared" si="427"/>
        <v>Low</v>
      </c>
    </row>
    <row r="6843" spans="1:25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 t="shared" si="424"/>
        <v>0</v>
      </c>
      <c r="W6843">
        <f t="shared" si="425"/>
        <v>1</v>
      </c>
      <c r="X6843" t="str">
        <f t="shared" si="426"/>
        <v>0-12 Months</v>
      </c>
      <c r="Y6843" s="1" t="str">
        <f t="shared" si="427"/>
        <v>Medium</v>
      </c>
    </row>
    <row r="6844" spans="1:25" x14ac:dyDescent="0.2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 t="shared" si="424"/>
        <v>0</v>
      </c>
      <c r="W6844">
        <f t="shared" si="425"/>
        <v>1</v>
      </c>
      <c r="X6844" t="str">
        <f t="shared" si="426"/>
        <v>13-24 Months</v>
      </c>
      <c r="Y6844" s="1" t="str">
        <f t="shared" si="427"/>
        <v>Low</v>
      </c>
    </row>
    <row r="6845" spans="1:25" x14ac:dyDescent="0.2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 t="shared" si="424"/>
        <v>1</v>
      </c>
      <c r="W6845">
        <f t="shared" si="425"/>
        <v>0</v>
      </c>
      <c r="X6845" t="str">
        <f t="shared" si="426"/>
        <v>0-12 Months</v>
      </c>
      <c r="Y6845" s="1" t="str">
        <f t="shared" si="427"/>
        <v>High</v>
      </c>
    </row>
    <row r="6846" spans="1:25" x14ac:dyDescent="0.2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 t="shared" si="424"/>
        <v>0</v>
      </c>
      <c r="W6846">
        <f t="shared" si="425"/>
        <v>1</v>
      </c>
      <c r="X6846" t="str">
        <f t="shared" si="426"/>
        <v>25-48 Months</v>
      </c>
      <c r="Y6846" s="1" t="str">
        <f t="shared" si="427"/>
        <v>High</v>
      </c>
    </row>
    <row r="6847" spans="1:25" x14ac:dyDescent="0.2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 t="shared" si="424"/>
        <v>0</v>
      </c>
      <c r="W6847">
        <f t="shared" si="425"/>
        <v>1</v>
      </c>
      <c r="X6847" t="str">
        <f t="shared" si="426"/>
        <v>0-12 Months</v>
      </c>
      <c r="Y6847" s="1" t="str">
        <f t="shared" si="427"/>
        <v>Low</v>
      </c>
    </row>
    <row r="6848" spans="1:25" x14ac:dyDescent="0.2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 t="shared" si="424"/>
        <v>1</v>
      </c>
      <c r="W6848">
        <f t="shared" si="425"/>
        <v>0</v>
      </c>
      <c r="X6848" t="str">
        <f t="shared" si="426"/>
        <v>0-12 Months</v>
      </c>
      <c r="Y6848" s="1" t="str">
        <f t="shared" si="427"/>
        <v>Medium</v>
      </c>
    </row>
    <row r="6849" spans="1:25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 t="shared" si="424"/>
        <v>0</v>
      </c>
      <c r="W6849">
        <f t="shared" si="425"/>
        <v>1</v>
      </c>
      <c r="X6849" t="str">
        <f t="shared" si="426"/>
        <v>13-24 Months</v>
      </c>
      <c r="Y6849" s="1" t="str">
        <f t="shared" si="427"/>
        <v>Medium</v>
      </c>
    </row>
    <row r="6850" spans="1:25" x14ac:dyDescent="0.2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 t="shared" ref="V6850:V6913" si="428">IF(U6850="Yes",1,0)</f>
        <v>0</v>
      </c>
      <c r="W6850">
        <f t="shared" ref="W6850:W6913" si="429">IF(U6850="No",1,0)</f>
        <v>1</v>
      </c>
      <c r="X6850" t="str">
        <f t="shared" ref="X6850:X6913" si="430">IF(F6850&lt;=12,"0-12 Months",IF(F6850&lt;=24,"13-24 Months",IF(F6850&lt;=48,"25-48 Months","49+ Months")))</f>
        <v>0-12 Months</v>
      </c>
      <c r="Y6850" s="1" t="str">
        <f t="shared" ref="Y6850:Y6913" si="431">IF(S6850&lt;50,"Low",IF(S6850&lt;80,"Medium","High"))</f>
        <v>Medium</v>
      </c>
    </row>
    <row r="6851" spans="1:25" x14ac:dyDescent="0.2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 t="shared" si="428"/>
        <v>0</v>
      </c>
      <c r="W6851">
        <f t="shared" si="429"/>
        <v>1</v>
      </c>
      <c r="X6851" t="str">
        <f t="shared" si="430"/>
        <v>25-48 Months</v>
      </c>
      <c r="Y6851" s="1" t="str">
        <f t="shared" si="431"/>
        <v>High</v>
      </c>
    </row>
    <row r="6852" spans="1:25" x14ac:dyDescent="0.2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 t="shared" si="428"/>
        <v>0</v>
      </c>
      <c r="W6852">
        <f t="shared" si="429"/>
        <v>1</v>
      </c>
      <c r="X6852" t="str">
        <f t="shared" si="430"/>
        <v>49+ Months</v>
      </c>
      <c r="Y6852" s="1" t="str">
        <f t="shared" si="431"/>
        <v>Medium</v>
      </c>
    </row>
    <row r="6853" spans="1:25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 t="shared" si="428"/>
        <v>0</v>
      </c>
      <c r="W6853">
        <f t="shared" si="429"/>
        <v>1</v>
      </c>
      <c r="X6853" t="str">
        <f t="shared" si="430"/>
        <v>25-48 Months</v>
      </c>
      <c r="Y6853" s="1" t="str">
        <f t="shared" si="431"/>
        <v>High</v>
      </c>
    </row>
    <row r="6854" spans="1:25" x14ac:dyDescent="0.2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 t="shared" si="428"/>
        <v>0</v>
      </c>
      <c r="W6854">
        <f t="shared" si="429"/>
        <v>1</v>
      </c>
      <c r="X6854" t="str">
        <f t="shared" si="430"/>
        <v>25-48 Months</v>
      </c>
      <c r="Y6854" s="1" t="str">
        <f t="shared" si="431"/>
        <v>Medium</v>
      </c>
    </row>
    <row r="6855" spans="1:25" x14ac:dyDescent="0.2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 t="shared" si="428"/>
        <v>1</v>
      </c>
      <c r="W6855">
        <f t="shared" si="429"/>
        <v>0</v>
      </c>
      <c r="X6855" t="str">
        <f t="shared" si="430"/>
        <v>49+ Months</v>
      </c>
      <c r="Y6855" s="1" t="str">
        <f t="shared" si="431"/>
        <v>High</v>
      </c>
    </row>
    <row r="6856" spans="1:25" x14ac:dyDescent="0.2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 t="shared" si="428"/>
        <v>0</v>
      </c>
      <c r="W6856">
        <f t="shared" si="429"/>
        <v>1</v>
      </c>
      <c r="X6856" t="str">
        <f t="shared" si="430"/>
        <v>0-12 Months</v>
      </c>
      <c r="Y6856" s="1" t="str">
        <f t="shared" si="431"/>
        <v>Low</v>
      </c>
    </row>
    <row r="6857" spans="1:25" x14ac:dyDescent="0.2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 t="shared" si="428"/>
        <v>0</v>
      </c>
      <c r="W6857">
        <f t="shared" si="429"/>
        <v>1</v>
      </c>
      <c r="X6857" t="str">
        <f t="shared" si="430"/>
        <v>25-48 Months</v>
      </c>
      <c r="Y6857" s="1" t="str">
        <f t="shared" si="431"/>
        <v>Medium</v>
      </c>
    </row>
    <row r="6858" spans="1:25" x14ac:dyDescent="0.2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 t="shared" si="428"/>
        <v>0</v>
      </c>
      <c r="W6858">
        <f t="shared" si="429"/>
        <v>1</v>
      </c>
      <c r="X6858" t="str">
        <f t="shared" si="430"/>
        <v>49+ Months</v>
      </c>
      <c r="Y6858" s="1" t="str">
        <f t="shared" si="431"/>
        <v>Low</v>
      </c>
    </row>
    <row r="6859" spans="1:25" x14ac:dyDescent="0.2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 t="shared" si="428"/>
        <v>0</v>
      </c>
      <c r="W6859">
        <f t="shared" si="429"/>
        <v>1</v>
      </c>
      <c r="X6859" t="str">
        <f t="shared" si="430"/>
        <v>49+ Months</v>
      </c>
      <c r="Y6859" s="1" t="str">
        <f t="shared" si="431"/>
        <v>High</v>
      </c>
    </row>
    <row r="6860" spans="1:25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 t="shared" si="428"/>
        <v>1</v>
      </c>
      <c r="W6860">
        <f t="shared" si="429"/>
        <v>0</v>
      </c>
      <c r="X6860" t="str">
        <f t="shared" si="430"/>
        <v>25-48 Months</v>
      </c>
      <c r="Y6860" s="1" t="str">
        <f t="shared" si="431"/>
        <v>High</v>
      </c>
    </row>
    <row r="6861" spans="1:25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 t="shared" si="428"/>
        <v>0</v>
      </c>
      <c r="W6861">
        <f t="shared" si="429"/>
        <v>1</v>
      </c>
      <c r="X6861" t="str">
        <f t="shared" si="430"/>
        <v>49+ Months</v>
      </c>
      <c r="Y6861" s="1" t="str">
        <f t="shared" si="431"/>
        <v>High</v>
      </c>
    </row>
    <row r="6862" spans="1:25" x14ac:dyDescent="0.2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 t="shared" si="428"/>
        <v>1</v>
      </c>
      <c r="W6862">
        <f t="shared" si="429"/>
        <v>0</v>
      </c>
      <c r="X6862" t="str">
        <f t="shared" si="430"/>
        <v>25-48 Months</v>
      </c>
      <c r="Y6862" s="1" t="str">
        <f t="shared" si="431"/>
        <v>High</v>
      </c>
    </row>
    <row r="6863" spans="1:25" x14ac:dyDescent="0.2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 t="shared" si="428"/>
        <v>1</v>
      </c>
      <c r="W6863">
        <f t="shared" si="429"/>
        <v>0</v>
      </c>
      <c r="X6863" t="str">
        <f t="shared" si="430"/>
        <v>13-24 Months</v>
      </c>
      <c r="Y6863" s="1" t="str">
        <f t="shared" si="431"/>
        <v>High</v>
      </c>
    </row>
    <row r="6864" spans="1:25" x14ac:dyDescent="0.2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 t="shared" si="428"/>
        <v>1</v>
      </c>
      <c r="W6864">
        <f t="shared" si="429"/>
        <v>0</v>
      </c>
      <c r="X6864" t="str">
        <f t="shared" si="430"/>
        <v>0-12 Months</v>
      </c>
      <c r="Y6864" s="1" t="str">
        <f t="shared" si="431"/>
        <v>High</v>
      </c>
    </row>
    <row r="6865" spans="1:25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 t="shared" si="428"/>
        <v>0</v>
      </c>
      <c r="W6865">
        <f t="shared" si="429"/>
        <v>1</v>
      </c>
      <c r="X6865" t="str">
        <f t="shared" si="430"/>
        <v>25-48 Months</v>
      </c>
      <c r="Y6865" s="1" t="str">
        <f t="shared" si="431"/>
        <v>Medium</v>
      </c>
    </row>
    <row r="6866" spans="1:25" x14ac:dyDescent="0.2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 t="shared" si="428"/>
        <v>1</v>
      </c>
      <c r="W6866">
        <f t="shared" si="429"/>
        <v>0</v>
      </c>
      <c r="X6866" t="str">
        <f t="shared" si="430"/>
        <v>0-12 Months</v>
      </c>
      <c r="Y6866" s="1" t="str">
        <f t="shared" si="431"/>
        <v>Low</v>
      </c>
    </row>
    <row r="6867" spans="1:25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 t="shared" si="428"/>
        <v>0</v>
      </c>
      <c r="W6867">
        <f t="shared" si="429"/>
        <v>1</v>
      </c>
      <c r="X6867" t="str">
        <f t="shared" si="430"/>
        <v>0-12 Months</v>
      </c>
      <c r="Y6867" s="1" t="str">
        <f t="shared" si="431"/>
        <v>Medium</v>
      </c>
    </row>
    <row r="6868" spans="1:25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 t="shared" si="428"/>
        <v>1</v>
      </c>
      <c r="W6868">
        <f t="shared" si="429"/>
        <v>0</v>
      </c>
      <c r="X6868" t="str">
        <f t="shared" si="430"/>
        <v>0-12 Months</v>
      </c>
      <c r="Y6868" s="1" t="str">
        <f t="shared" si="431"/>
        <v>High</v>
      </c>
    </row>
    <row r="6869" spans="1:25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 t="shared" si="428"/>
        <v>0</v>
      </c>
      <c r="W6869">
        <f t="shared" si="429"/>
        <v>1</v>
      </c>
      <c r="X6869" t="str">
        <f t="shared" si="430"/>
        <v>49+ Months</v>
      </c>
      <c r="Y6869" s="1" t="str">
        <f t="shared" si="431"/>
        <v>Low</v>
      </c>
    </row>
    <row r="6870" spans="1:25" x14ac:dyDescent="0.2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 t="shared" si="428"/>
        <v>1</v>
      </c>
      <c r="W6870">
        <f t="shared" si="429"/>
        <v>0</v>
      </c>
      <c r="X6870" t="str">
        <f t="shared" si="430"/>
        <v>13-24 Months</v>
      </c>
      <c r="Y6870" s="1" t="str">
        <f t="shared" si="431"/>
        <v>High</v>
      </c>
    </row>
    <row r="6871" spans="1:25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 t="shared" si="428"/>
        <v>1</v>
      </c>
      <c r="W6871">
        <f t="shared" si="429"/>
        <v>0</v>
      </c>
      <c r="X6871" t="str">
        <f t="shared" si="430"/>
        <v>25-48 Months</v>
      </c>
      <c r="Y6871" s="1" t="str">
        <f t="shared" si="431"/>
        <v>Medium</v>
      </c>
    </row>
    <row r="6872" spans="1:25" x14ac:dyDescent="0.2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 t="shared" si="428"/>
        <v>0</v>
      </c>
      <c r="W6872">
        <f t="shared" si="429"/>
        <v>1</v>
      </c>
      <c r="X6872" t="str">
        <f t="shared" si="430"/>
        <v>49+ Months</v>
      </c>
      <c r="Y6872" s="1" t="str">
        <f t="shared" si="431"/>
        <v>Medium</v>
      </c>
    </row>
    <row r="6873" spans="1:25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 t="shared" si="428"/>
        <v>0</v>
      </c>
      <c r="W6873">
        <f t="shared" si="429"/>
        <v>1</v>
      </c>
      <c r="X6873" t="str">
        <f t="shared" si="430"/>
        <v>49+ Months</v>
      </c>
      <c r="Y6873" s="1" t="str">
        <f t="shared" si="431"/>
        <v>High</v>
      </c>
    </row>
    <row r="6874" spans="1:25" x14ac:dyDescent="0.2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 t="shared" si="428"/>
        <v>0</v>
      </c>
      <c r="W6874">
        <f t="shared" si="429"/>
        <v>1</v>
      </c>
      <c r="X6874" t="str">
        <f t="shared" si="430"/>
        <v>49+ Months</v>
      </c>
      <c r="Y6874" s="1" t="str">
        <f t="shared" si="431"/>
        <v>High</v>
      </c>
    </row>
    <row r="6875" spans="1:25" x14ac:dyDescent="0.2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 t="shared" si="428"/>
        <v>0</v>
      </c>
      <c r="W6875">
        <f t="shared" si="429"/>
        <v>1</v>
      </c>
      <c r="X6875" t="str">
        <f t="shared" si="430"/>
        <v>49+ Months</v>
      </c>
      <c r="Y6875" s="1" t="str">
        <f t="shared" si="431"/>
        <v>High</v>
      </c>
    </row>
    <row r="6876" spans="1:25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 t="shared" si="428"/>
        <v>0</v>
      </c>
      <c r="W6876">
        <f t="shared" si="429"/>
        <v>1</v>
      </c>
      <c r="X6876" t="str">
        <f t="shared" si="430"/>
        <v>25-48 Months</v>
      </c>
      <c r="Y6876" s="1" t="str">
        <f t="shared" si="431"/>
        <v>Low</v>
      </c>
    </row>
    <row r="6877" spans="1:25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 t="shared" si="428"/>
        <v>0</v>
      </c>
      <c r="W6877">
        <f t="shared" si="429"/>
        <v>1</v>
      </c>
      <c r="X6877" t="str">
        <f t="shared" si="430"/>
        <v>49+ Months</v>
      </c>
      <c r="Y6877" s="1" t="str">
        <f t="shared" si="431"/>
        <v>Low</v>
      </c>
    </row>
    <row r="6878" spans="1:25" x14ac:dyDescent="0.2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 t="shared" si="428"/>
        <v>0</v>
      </c>
      <c r="W6878">
        <f t="shared" si="429"/>
        <v>1</v>
      </c>
      <c r="X6878" t="str">
        <f t="shared" si="430"/>
        <v>49+ Months</v>
      </c>
      <c r="Y6878" s="1" t="str">
        <f t="shared" si="431"/>
        <v>High</v>
      </c>
    </row>
    <row r="6879" spans="1:25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 t="shared" si="428"/>
        <v>1</v>
      </c>
      <c r="W6879">
        <f t="shared" si="429"/>
        <v>0</v>
      </c>
      <c r="X6879" t="str">
        <f t="shared" si="430"/>
        <v>0-12 Months</v>
      </c>
      <c r="Y6879" s="1" t="str">
        <f t="shared" si="431"/>
        <v>Medium</v>
      </c>
    </row>
    <row r="6880" spans="1:25" x14ac:dyDescent="0.2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 t="shared" si="428"/>
        <v>1</v>
      </c>
      <c r="W6880">
        <f t="shared" si="429"/>
        <v>0</v>
      </c>
      <c r="X6880" t="str">
        <f t="shared" si="430"/>
        <v>0-12 Months</v>
      </c>
      <c r="Y6880" s="1" t="str">
        <f t="shared" si="431"/>
        <v>High</v>
      </c>
    </row>
    <row r="6881" spans="1:25" x14ac:dyDescent="0.2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 t="shared" si="428"/>
        <v>0</v>
      </c>
      <c r="W6881">
        <f t="shared" si="429"/>
        <v>1</v>
      </c>
      <c r="X6881" t="str">
        <f t="shared" si="430"/>
        <v>13-24 Months</v>
      </c>
      <c r="Y6881" s="1" t="str">
        <f t="shared" si="431"/>
        <v>High</v>
      </c>
    </row>
    <row r="6882" spans="1:25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 t="shared" si="428"/>
        <v>0</v>
      </c>
      <c r="W6882">
        <f t="shared" si="429"/>
        <v>1</v>
      </c>
      <c r="X6882" t="str">
        <f t="shared" si="430"/>
        <v>49+ Months</v>
      </c>
      <c r="Y6882" s="1" t="str">
        <f t="shared" si="431"/>
        <v>Low</v>
      </c>
    </row>
    <row r="6883" spans="1:25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 t="shared" si="428"/>
        <v>0</v>
      </c>
      <c r="W6883">
        <f t="shared" si="429"/>
        <v>1</v>
      </c>
      <c r="X6883" t="str">
        <f t="shared" si="430"/>
        <v>25-48 Months</v>
      </c>
      <c r="Y6883" s="1" t="str">
        <f t="shared" si="431"/>
        <v>Low</v>
      </c>
    </row>
    <row r="6884" spans="1:25" x14ac:dyDescent="0.2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 t="shared" si="428"/>
        <v>0</v>
      </c>
      <c r="W6884">
        <f t="shared" si="429"/>
        <v>1</v>
      </c>
      <c r="X6884" t="str">
        <f t="shared" si="430"/>
        <v>49+ Months</v>
      </c>
      <c r="Y6884" s="1" t="str">
        <f t="shared" si="431"/>
        <v>High</v>
      </c>
    </row>
    <row r="6885" spans="1:25" x14ac:dyDescent="0.2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 t="shared" si="428"/>
        <v>0</v>
      </c>
      <c r="W6885">
        <f t="shared" si="429"/>
        <v>1</v>
      </c>
      <c r="X6885" t="str">
        <f t="shared" si="430"/>
        <v>25-48 Months</v>
      </c>
      <c r="Y6885" s="1" t="str">
        <f t="shared" si="431"/>
        <v>High</v>
      </c>
    </row>
    <row r="6886" spans="1:25" x14ac:dyDescent="0.2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 t="shared" si="428"/>
        <v>1</v>
      </c>
      <c r="W6886">
        <f t="shared" si="429"/>
        <v>0</v>
      </c>
      <c r="X6886" t="str">
        <f t="shared" si="430"/>
        <v>0-12 Months</v>
      </c>
      <c r="Y6886" s="1" t="str">
        <f t="shared" si="431"/>
        <v>Low</v>
      </c>
    </row>
    <row r="6887" spans="1:25" x14ac:dyDescent="0.2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 t="shared" si="428"/>
        <v>1</v>
      </c>
      <c r="W6887">
        <f t="shared" si="429"/>
        <v>0</v>
      </c>
      <c r="X6887" t="str">
        <f t="shared" si="430"/>
        <v>0-12 Months</v>
      </c>
      <c r="Y6887" s="1" t="str">
        <f t="shared" si="431"/>
        <v>Medium</v>
      </c>
    </row>
    <row r="6888" spans="1:25" x14ac:dyDescent="0.2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 t="shared" si="428"/>
        <v>1</v>
      </c>
      <c r="W6888">
        <f t="shared" si="429"/>
        <v>0</v>
      </c>
      <c r="X6888" t="str">
        <f t="shared" si="430"/>
        <v>0-12 Months</v>
      </c>
      <c r="Y6888" s="1" t="str">
        <f t="shared" si="431"/>
        <v>High</v>
      </c>
    </row>
    <row r="6889" spans="1:25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 t="shared" si="428"/>
        <v>0</v>
      </c>
      <c r="W6889">
        <f t="shared" si="429"/>
        <v>1</v>
      </c>
      <c r="X6889" t="str">
        <f t="shared" si="430"/>
        <v>25-48 Months</v>
      </c>
      <c r="Y6889" s="1" t="str">
        <f t="shared" si="431"/>
        <v>Low</v>
      </c>
    </row>
    <row r="6890" spans="1:25" x14ac:dyDescent="0.2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 t="shared" si="428"/>
        <v>0</v>
      </c>
      <c r="W6890">
        <f t="shared" si="429"/>
        <v>1</v>
      </c>
      <c r="X6890" t="str">
        <f t="shared" si="430"/>
        <v>0-12 Months</v>
      </c>
      <c r="Y6890" s="1" t="str">
        <f t="shared" si="431"/>
        <v>High</v>
      </c>
    </row>
    <row r="6891" spans="1:25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 t="shared" si="428"/>
        <v>0</v>
      </c>
      <c r="W6891">
        <f t="shared" si="429"/>
        <v>1</v>
      </c>
      <c r="X6891" t="str">
        <f t="shared" si="430"/>
        <v>0-12 Months</v>
      </c>
      <c r="Y6891" s="1" t="str">
        <f t="shared" si="431"/>
        <v>High</v>
      </c>
    </row>
    <row r="6892" spans="1:25" x14ac:dyDescent="0.2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 t="shared" si="428"/>
        <v>0</v>
      </c>
      <c r="W6892">
        <f t="shared" si="429"/>
        <v>1</v>
      </c>
      <c r="X6892" t="str">
        <f t="shared" si="430"/>
        <v>49+ Months</v>
      </c>
      <c r="Y6892" s="1" t="str">
        <f t="shared" si="431"/>
        <v>Medium</v>
      </c>
    </row>
    <row r="6893" spans="1:25" x14ac:dyDescent="0.2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 t="shared" si="428"/>
        <v>0</v>
      </c>
      <c r="W6893">
        <f t="shared" si="429"/>
        <v>1</v>
      </c>
      <c r="X6893" t="str">
        <f t="shared" si="430"/>
        <v>0-12 Months</v>
      </c>
      <c r="Y6893" s="1" t="str">
        <f t="shared" si="431"/>
        <v>Low</v>
      </c>
    </row>
    <row r="6894" spans="1:25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 t="shared" si="428"/>
        <v>0</v>
      </c>
      <c r="W6894">
        <f t="shared" si="429"/>
        <v>1</v>
      </c>
      <c r="X6894" t="str">
        <f t="shared" si="430"/>
        <v>25-48 Months</v>
      </c>
      <c r="Y6894" s="1" t="str">
        <f t="shared" si="431"/>
        <v>High</v>
      </c>
    </row>
    <row r="6895" spans="1:25" x14ac:dyDescent="0.2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 t="shared" si="428"/>
        <v>1</v>
      </c>
      <c r="W6895">
        <f t="shared" si="429"/>
        <v>0</v>
      </c>
      <c r="X6895" t="str">
        <f t="shared" si="430"/>
        <v>0-12 Months</v>
      </c>
      <c r="Y6895" s="1" t="str">
        <f t="shared" si="431"/>
        <v>Medium</v>
      </c>
    </row>
    <row r="6896" spans="1:25" x14ac:dyDescent="0.2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 t="shared" si="428"/>
        <v>1</v>
      </c>
      <c r="W6896">
        <f t="shared" si="429"/>
        <v>0</v>
      </c>
      <c r="X6896" t="str">
        <f t="shared" si="430"/>
        <v>0-12 Months</v>
      </c>
      <c r="Y6896" s="1" t="str">
        <f t="shared" si="431"/>
        <v>High</v>
      </c>
    </row>
    <row r="6897" spans="1:25" x14ac:dyDescent="0.2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 t="shared" si="428"/>
        <v>0</v>
      </c>
      <c r="W6897">
        <f t="shared" si="429"/>
        <v>1</v>
      </c>
      <c r="X6897" t="str">
        <f t="shared" si="430"/>
        <v>49+ Months</v>
      </c>
      <c r="Y6897" s="1" t="str">
        <f t="shared" si="431"/>
        <v>Low</v>
      </c>
    </row>
    <row r="6898" spans="1:25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 t="shared" si="428"/>
        <v>1</v>
      </c>
      <c r="W6898">
        <f t="shared" si="429"/>
        <v>0</v>
      </c>
      <c r="X6898" t="str">
        <f t="shared" si="430"/>
        <v>0-12 Months</v>
      </c>
      <c r="Y6898" s="1" t="str">
        <f t="shared" si="431"/>
        <v>Low</v>
      </c>
    </row>
    <row r="6899" spans="1:25" x14ac:dyDescent="0.2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 t="shared" si="428"/>
        <v>0</v>
      </c>
      <c r="W6899">
        <f t="shared" si="429"/>
        <v>1</v>
      </c>
      <c r="X6899" t="str">
        <f t="shared" si="430"/>
        <v>49+ Months</v>
      </c>
      <c r="Y6899" s="1" t="str">
        <f t="shared" si="431"/>
        <v>High</v>
      </c>
    </row>
    <row r="6900" spans="1:25" x14ac:dyDescent="0.2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 t="shared" si="428"/>
        <v>0</v>
      </c>
      <c r="W6900">
        <f t="shared" si="429"/>
        <v>1</v>
      </c>
      <c r="X6900" t="str">
        <f t="shared" si="430"/>
        <v>13-24 Months</v>
      </c>
      <c r="Y6900" s="1" t="str">
        <f t="shared" si="431"/>
        <v>High</v>
      </c>
    </row>
    <row r="6901" spans="1:25" x14ac:dyDescent="0.2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 t="shared" si="428"/>
        <v>1</v>
      </c>
      <c r="W6901">
        <f t="shared" si="429"/>
        <v>0</v>
      </c>
      <c r="X6901" t="str">
        <f t="shared" si="430"/>
        <v>0-12 Months</v>
      </c>
      <c r="Y6901" s="1" t="str">
        <f t="shared" si="431"/>
        <v>Low</v>
      </c>
    </row>
    <row r="6902" spans="1:25" x14ac:dyDescent="0.2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 t="shared" si="428"/>
        <v>0</v>
      </c>
      <c r="W6902">
        <f t="shared" si="429"/>
        <v>1</v>
      </c>
      <c r="X6902" t="str">
        <f t="shared" si="430"/>
        <v>49+ Months</v>
      </c>
      <c r="Y6902" s="1" t="str">
        <f t="shared" si="431"/>
        <v>High</v>
      </c>
    </row>
    <row r="6903" spans="1:25" x14ac:dyDescent="0.2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 t="shared" si="428"/>
        <v>0</v>
      </c>
      <c r="W6903">
        <f t="shared" si="429"/>
        <v>1</v>
      </c>
      <c r="X6903" t="str">
        <f t="shared" si="430"/>
        <v>25-48 Months</v>
      </c>
      <c r="Y6903" s="1" t="str">
        <f t="shared" si="431"/>
        <v>Medium</v>
      </c>
    </row>
    <row r="6904" spans="1:25" x14ac:dyDescent="0.2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 t="shared" si="428"/>
        <v>0</v>
      </c>
      <c r="W6904">
        <f t="shared" si="429"/>
        <v>1</v>
      </c>
      <c r="X6904" t="str">
        <f t="shared" si="430"/>
        <v>49+ Months</v>
      </c>
      <c r="Y6904" s="1" t="str">
        <f t="shared" si="431"/>
        <v>Medium</v>
      </c>
    </row>
    <row r="6905" spans="1:25" x14ac:dyDescent="0.2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 t="shared" si="428"/>
        <v>0</v>
      </c>
      <c r="W6905">
        <f t="shared" si="429"/>
        <v>1</v>
      </c>
      <c r="X6905" t="str">
        <f t="shared" si="430"/>
        <v>25-48 Months</v>
      </c>
      <c r="Y6905" s="1" t="str">
        <f t="shared" si="431"/>
        <v>Medium</v>
      </c>
    </row>
    <row r="6906" spans="1:25" x14ac:dyDescent="0.2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 t="shared" si="428"/>
        <v>0</v>
      </c>
      <c r="W6906">
        <f t="shared" si="429"/>
        <v>1</v>
      </c>
      <c r="X6906" t="str">
        <f t="shared" si="430"/>
        <v>49+ Months</v>
      </c>
      <c r="Y6906" s="1" t="str">
        <f t="shared" si="431"/>
        <v>Low</v>
      </c>
    </row>
    <row r="6907" spans="1:25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 t="shared" si="428"/>
        <v>0</v>
      </c>
      <c r="W6907">
        <f t="shared" si="429"/>
        <v>1</v>
      </c>
      <c r="X6907" t="str">
        <f t="shared" si="430"/>
        <v>25-48 Months</v>
      </c>
      <c r="Y6907" s="1" t="str">
        <f t="shared" si="431"/>
        <v>Low</v>
      </c>
    </row>
    <row r="6908" spans="1:25" x14ac:dyDescent="0.2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 t="shared" si="428"/>
        <v>0</v>
      </c>
      <c r="W6908">
        <f t="shared" si="429"/>
        <v>1</v>
      </c>
      <c r="X6908" t="str">
        <f t="shared" si="430"/>
        <v>25-48 Months</v>
      </c>
      <c r="Y6908" s="1" t="str">
        <f t="shared" si="431"/>
        <v>Low</v>
      </c>
    </row>
    <row r="6909" spans="1:25" x14ac:dyDescent="0.2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 t="shared" si="428"/>
        <v>1</v>
      </c>
      <c r="W6909">
        <f t="shared" si="429"/>
        <v>0</v>
      </c>
      <c r="X6909" t="str">
        <f t="shared" si="430"/>
        <v>25-48 Months</v>
      </c>
      <c r="Y6909" s="1" t="str">
        <f t="shared" si="431"/>
        <v>Medium</v>
      </c>
    </row>
    <row r="6910" spans="1:25" x14ac:dyDescent="0.2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 t="shared" si="428"/>
        <v>1</v>
      </c>
      <c r="W6910">
        <f t="shared" si="429"/>
        <v>0</v>
      </c>
      <c r="X6910" t="str">
        <f t="shared" si="430"/>
        <v>0-12 Months</v>
      </c>
      <c r="Y6910" s="1" t="str">
        <f t="shared" si="431"/>
        <v>Medium</v>
      </c>
    </row>
    <row r="6911" spans="1:25" x14ac:dyDescent="0.2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 t="shared" si="428"/>
        <v>0</v>
      </c>
      <c r="W6911">
        <f t="shared" si="429"/>
        <v>1</v>
      </c>
      <c r="X6911" t="str">
        <f t="shared" si="430"/>
        <v>0-12 Months</v>
      </c>
      <c r="Y6911" s="1" t="str">
        <f t="shared" si="431"/>
        <v>Medium</v>
      </c>
    </row>
    <row r="6912" spans="1:25" x14ac:dyDescent="0.2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 t="shared" si="428"/>
        <v>0</v>
      </c>
      <c r="W6912">
        <f t="shared" si="429"/>
        <v>1</v>
      </c>
      <c r="X6912" t="str">
        <f t="shared" si="430"/>
        <v>49+ Months</v>
      </c>
      <c r="Y6912" s="1" t="str">
        <f t="shared" si="431"/>
        <v>High</v>
      </c>
    </row>
    <row r="6913" spans="1:25" x14ac:dyDescent="0.2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 t="shared" si="428"/>
        <v>0</v>
      </c>
      <c r="W6913">
        <f t="shared" si="429"/>
        <v>1</v>
      </c>
      <c r="X6913" t="str">
        <f t="shared" si="430"/>
        <v>49+ Months</v>
      </c>
      <c r="Y6913" s="1" t="str">
        <f t="shared" si="431"/>
        <v>Low</v>
      </c>
    </row>
    <row r="6914" spans="1:25" x14ac:dyDescent="0.2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 t="shared" ref="V6914:V6977" si="432">IF(U6914="Yes",1,0)</f>
        <v>0</v>
      </c>
      <c r="W6914">
        <f t="shared" ref="W6914:W6977" si="433">IF(U6914="No",1,0)</f>
        <v>1</v>
      </c>
      <c r="X6914" t="str">
        <f t="shared" ref="X6914:X6977" si="434">IF(F6914&lt;=12,"0-12 Months",IF(F6914&lt;=24,"13-24 Months",IF(F6914&lt;=48,"25-48 Months","49+ Months")))</f>
        <v>0-12 Months</v>
      </c>
      <c r="Y6914" s="1" t="str">
        <f t="shared" ref="Y6914:Y6977" si="435">IF(S6914&lt;50,"Low",IF(S6914&lt;80,"Medium","High"))</f>
        <v>High</v>
      </c>
    </row>
    <row r="6915" spans="1:25" x14ac:dyDescent="0.2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 t="shared" si="432"/>
        <v>0</v>
      </c>
      <c r="W6915">
        <f t="shared" si="433"/>
        <v>1</v>
      </c>
      <c r="X6915" t="str">
        <f t="shared" si="434"/>
        <v>49+ Months</v>
      </c>
      <c r="Y6915" s="1" t="str">
        <f t="shared" si="435"/>
        <v>High</v>
      </c>
    </row>
    <row r="6916" spans="1:25" x14ac:dyDescent="0.2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 t="shared" si="432"/>
        <v>1</v>
      </c>
      <c r="W6916">
        <f t="shared" si="433"/>
        <v>0</v>
      </c>
      <c r="X6916" t="str">
        <f t="shared" si="434"/>
        <v>25-48 Months</v>
      </c>
      <c r="Y6916" s="1" t="str">
        <f t="shared" si="435"/>
        <v>High</v>
      </c>
    </row>
    <row r="6917" spans="1:25" x14ac:dyDescent="0.2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 t="shared" si="432"/>
        <v>0</v>
      </c>
      <c r="W6917">
        <f t="shared" si="433"/>
        <v>1</v>
      </c>
      <c r="X6917" t="str">
        <f t="shared" si="434"/>
        <v>49+ Months</v>
      </c>
      <c r="Y6917" s="1" t="str">
        <f t="shared" si="435"/>
        <v>High</v>
      </c>
    </row>
    <row r="6918" spans="1:25" x14ac:dyDescent="0.2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 t="shared" si="432"/>
        <v>0</v>
      </c>
      <c r="W6918">
        <f t="shared" si="433"/>
        <v>1</v>
      </c>
      <c r="X6918" t="str">
        <f t="shared" si="434"/>
        <v>25-48 Months</v>
      </c>
      <c r="Y6918" s="1" t="str">
        <f t="shared" si="435"/>
        <v>Low</v>
      </c>
    </row>
    <row r="6919" spans="1:25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 t="shared" si="432"/>
        <v>0</v>
      </c>
      <c r="W6919">
        <f t="shared" si="433"/>
        <v>1</v>
      </c>
      <c r="X6919" t="str">
        <f t="shared" si="434"/>
        <v>49+ Months</v>
      </c>
      <c r="Y6919" s="1" t="str">
        <f t="shared" si="435"/>
        <v>High</v>
      </c>
    </row>
    <row r="6920" spans="1:25" x14ac:dyDescent="0.2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 t="shared" si="432"/>
        <v>1</v>
      </c>
      <c r="W6920">
        <f t="shared" si="433"/>
        <v>0</v>
      </c>
      <c r="X6920" t="str">
        <f t="shared" si="434"/>
        <v>25-48 Months</v>
      </c>
      <c r="Y6920" s="1" t="str">
        <f t="shared" si="435"/>
        <v>High</v>
      </c>
    </row>
    <row r="6921" spans="1:25" x14ac:dyDescent="0.2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 t="shared" si="432"/>
        <v>0</v>
      </c>
      <c r="W6921">
        <f t="shared" si="433"/>
        <v>1</v>
      </c>
      <c r="X6921" t="str">
        <f t="shared" si="434"/>
        <v>49+ Months</v>
      </c>
      <c r="Y6921" s="1" t="str">
        <f t="shared" si="435"/>
        <v>High</v>
      </c>
    </row>
    <row r="6922" spans="1:25" x14ac:dyDescent="0.2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 t="shared" si="432"/>
        <v>0</v>
      </c>
      <c r="W6922">
        <f t="shared" si="433"/>
        <v>1</v>
      </c>
      <c r="X6922" t="str">
        <f t="shared" si="434"/>
        <v>25-48 Months</v>
      </c>
      <c r="Y6922" s="1" t="str">
        <f t="shared" si="435"/>
        <v>Low</v>
      </c>
    </row>
    <row r="6923" spans="1:25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 t="shared" si="432"/>
        <v>0</v>
      </c>
      <c r="W6923">
        <f t="shared" si="433"/>
        <v>1</v>
      </c>
      <c r="X6923" t="str">
        <f t="shared" si="434"/>
        <v>49+ Months</v>
      </c>
      <c r="Y6923" s="1" t="str">
        <f t="shared" si="435"/>
        <v>Medium</v>
      </c>
    </row>
    <row r="6924" spans="1:25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 t="shared" si="432"/>
        <v>0</v>
      </c>
      <c r="W6924">
        <f t="shared" si="433"/>
        <v>1</v>
      </c>
      <c r="X6924" t="str">
        <f t="shared" si="434"/>
        <v>0-12 Months</v>
      </c>
      <c r="Y6924" s="1" t="str">
        <f t="shared" si="435"/>
        <v>Medium</v>
      </c>
    </row>
    <row r="6925" spans="1:25" x14ac:dyDescent="0.2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 t="shared" si="432"/>
        <v>0</v>
      </c>
      <c r="W6925">
        <f t="shared" si="433"/>
        <v>1</v>
      </c>
      <c r="X6925" t="str">
        <f t="shared" si="434"/>
        <v>49+ Months</v>
      </c>
      <c r="Y6925" s="1" t="str">
        <f t="shared" si="435"/>
        <v>Medium</v>
      </c>
    </row>
    <row r="6926" spans="1:25" x14ac:dyDescent="0.2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 t="shared" si="432"/>
        <v>1</v>
      </c>
      <c r="W6926">
        <f t="shared" si="433"/>
        <v>0</v>
      </c>
      <c r="X6926" t="str">
        <f t="shared" si="434"/>
        <v>0-12 Months</v>
      </c>
      <c r="Y6926" s="1" t="str">
        <f t="shared" si="435"/>
        <v>Medium</v>
      </c>
    </row>
    <row r="6927" spans="1:25" x14ac:dyDescent="0.2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 t="shared" si="432"/>
        <v>0</v>
      </c>
      <c r="W6927">
        <f t="shared" si="433"/>
        <v>1</v>
      </c>
      <c r="X6927" t="str">
        <f t="shared" si="434"/>
        <v>13-24 Months</v>
      </c>
      <c r="Y6927" s="1" t="str">
        <f t="shared" si="435"/>
        <v>Low</v>
      </c>
    </row>
    <row r="6928" spans="1:25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 t="shared" si="432"/>
        <v>1</v>
      </c>
      <c r="W6928">
        <f t="shared" si="433"/>
        <v>0</v>
      </c>
      <c r="X6928" t="str">
        <f t="shared" si="434"/>
        <v>49+ Months</v>
      </c>
      <c r="Y6928" s="1" t="str">
        <f t="shared" si="435"/>
        <v>Medium</v>
      </c>
    </row>
    <row r="6929" spans="1:25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 t="shared" si="432"/>
        <v>0</v>
      </c>
      <c r="W6929">
        <f t="shared" si="433"/>
        <v>1</v>
      </c>
      <c r="X6929" t="str">
        <f t="shared" si="434"/>
        <v>0-12 Months</v>
      </c>
      <c r="Y6929" s="1" t="str">
        <f t="shared" si="435"/>
        <v>Medium</v>
      </c>
    </row>
    <row r="6930" spans="1:25" x14ac:dyDescent="0.2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 t="shared" si="432"/>
        <v>0</v>
      </c>
      <c r="W6930">
        <f t="shared" si="433"/>
        <v>1</v>
      </c>
      <c r="X6930" t="str">
        <f t="shared" si="434"/>
        <v>25-48 Months</v>
      </c>
      <c r="Y6930" s="1" t="str">
        <f t="shared" si="435"/>
        <v>Medium</v>
      </c>
    </row>
    <row r="6931" spans="1:25" x14ac:dyDescent="0.2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 t="shared" si="432"/>
        <v>0</v>
      </c>
      <c r="W6931">
        <f t="shared" si="433"/>
        <v>1</v>
      </c>
      <c r="X6931" t="str">
        <f t="shared" si="434"/>
        <v>25-48 Months</v>
      </c>
      <c r="Y6931" s="1" t="str">
        <f t="shared" si="435"/>
        <v>Low</v>
      </c>
    </row>
    <row r="6932" spans="1:25" x14ac:dyDescent="0.2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 t="shared" si="432"/>
        <v>1</v>
      </c>
      <c r="W6932">
        <f t="shared" si="433"/>
        <v>0</v>
      </c>
      <c r="X6932" t="str">
        <f t="shared" si="434"/>
        <v>0-12 Months</v>
      </c>
      <c r="Y6932" s="1" t="str">
        <f t="shared" si="435"/>
        <v>Medium</v>
      </c>
    </row>
    <row r="6933" spans="1:25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 t="shared" si="432"/>
        <v>0</v>
      </c>
      <c r="W6933">
        <f t="shared" si="433"/>
        <v>1</v>
      </c>
      <c r="X6933" t="str">
        <f t="shared" si="434"/>
        <v>49+ Months</v>
      </c>
      <c r="Y6933" s="1" t="str">
        <f t="shared" si="435"/>
        <v>High</v>
      </c>
    </row>
    <row r="6934" spans="1:25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 t="shared" si="432"/>
        <v>0</v>
      </c>
      <c r="W6934">
        <f t="shared" si="433"/>
        <v>1</v>
      </c>
      <c r="X6934" t="str">
        <f t="shared" si="434"/>
        <v>0-12 Months</v>
      </c>
      <c r="Y6934" s="1" t="str">
        <f t="shared" si="435"/>
        <v>Medium</v>
      </c>
    </row>
    <row r="6935" spans="1:25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 t="shared" si="432"/>
        <v>1</v>
      </c>
      <c r="W6935">
        <f t="shared" si="433"/>
        <v>0</v>
      </c>
      <c r="X6935" t="str">
        <f t="shared" si="434"/>
        <v>0-12 Months</v>
      </c>
      <c r="Y6935" s="1" t="str">
        <f t="shared" si="435"/>
        <v>Medium</v>
      </c>
    </row>
    <row r="6936" spans="1:25" x14ac:dyDescent="0.2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 t="shared" si="432"/>
        <v>0</v>
      </c>
      <c r="W6936">
        <f t="shared" si="433"/>
        <v>1</v>
      </c>
      <c r="X6936" t="str">
        <f t="shared" si="434"/>
        <v>49+ Months</v>
      </c>
      <c r="Y6936" s="1" t="str">
        <f t="shared" si="435"/>
        <v>High</v>
      </c>
    </row>
    <row r="6937" spans="1:25" x14ac:dyDescent="0.2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 t="shared" si="432"/>
        <v>0</v>
      </c>
      <c r="W6937">
        <f t="shared" si="433"/>
        <v>1</v>
      </c>
      <c r="X6937" t="str">
        <f t="shared" si="434"/>
        <v>49+ Months</v>
      </c>
      <c r="Y6937" s="1" t="str">
        <f t="shared" si="435"/>
        <v>High</v>
      </c>
    </row>
    <row r="6938" spans="1:25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 t="shared" si="432"/>
        <v>1</v>
      </c>
      <c r="W6938">
        <f t="shared" si="433"/>
        <v>0</v>
      </c>
      <c r="X6938" t="str">
        <f t="shared" si="434"/>
        <v>0-12 Months</v>
      </c>
      <c r="Y6938" s="1" t="str">
        <f t="shared" si="435"/>
        <v>High</v>
      </c>
    </row>
    <row r="6939" spans="1:25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 t="shared" si="432"/>
        <v>0</v>
      </c>
      <c r="W6939">
        <f t="shared" si="433"/>
        <v>1</v>
      </c>
      <c r="X6939" t="str">
        <f t="shared" si="434"/>
        <v>25-48 Months</v>
      </c>
      <c r="Y6939" s="1" t="str">
        <f t="shared" si="435"/>
        <v>Low</v>
      </c>
    </row>
    <row r="6940" spans="1:25" x14ac:dyDescent="0.2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 t="shared" si="432"/>
        <v>0</v>
      </c>
      <c r="W6940">
        <f t="shared" si="433"/>
        <v>1</v>
      </c>
      <c r="X6940" t="str">
        <f t="shared" si="434"/>
        <v>49+ Months</v>
      </c>
      <c r="Y6940" s="1" t="str">
        <f t="shared" si="435"/>
        <v>Medium</v>
      </c>
    </row>
    <row r="6941" spans="1:25" x14ac:dyDescent="0.2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 t="shared" si="432"/>
        <v>0</v>
      </c>
      <c r="W6941">
        <f t="shared" si="433"/>
        <v>1</v>
      </c>
      <c r="X6941" t="str">
        <f t="shared" si="434"/>
        <v>25-48 Months</v>
      </c>
      <c r="Y6941" s="1" t="str">
        <f t="shared" si="435"/>
        <v>High</v>
      </c>
    </row>
    <row r="6942" spans="1:25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 t="shared" si="432"/>
        <v>0</v>
      </c>
      <c r="W6942">
        <f t="shared" si="433"/>
        <v>1</v>
      </c>
      <c r="X6942" t="str">
        <f t="shared" si="434"/>
        <v>49+ Months</v>
      </c>
      <c r="Y6942" s="1" t="str">
        <f t="shared" si="435"/>
        <v>Medium</v>
      </c>
    </row>
    <row r="6943" spans="1:25" x14ac:dyDescent="0.2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 t="shared" si="432"/>
        <v>0</v>
      </c>
      <c r="W6943">
        <f t="shared" si="433"/>
        <v>1</v>
      </c>
      <c r="X6943" t="str">
        <f t="shared" si="434"/>
        <v>49+ Months</v>
      </c>
      <c r="Y6943" s="1" t="str">
        <f t="shared" si="435"/>
        <v>Medium</v>
      </c>
    </row>
    <row r="6944" spans="1:25" x14ac:dyDescent="0.2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 t="shared" si="432"/>
        <v>0</v>
      </c>
      <c r="W6944">
        <f t="shared" si="433"/>
        <v>1</v>
      </c>
      <c r="X6944" t="str">
        <f t="shared" si="434"/>
        <v>49+ Months</v>
      </c>
      <c r="Y6944" s="1" t="str">
        <f t="shared" si="435"/>
        <v>Low</v>
      </c>
    </row>
    <row r="6945" spans="1:25" x14ac:dyDescent="0.2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 t="shared" si="432"/>
        <v>1</v>
      </c>
      <c r="W6945">
        <f t="shared" si="433"/>
        <v>0</v>
      </c>
      <c r="X6945" t="str">
        <f t="shared" si="434"/>
        <v>0-12 Months</v>
      </c>
      <c r="Y6945" s="1" t="str">
        <f t="shared" si="435"/>
        <v>Low</v>
      </c>
    </row>
    <row r="6946" spans="1:25" x14ac:dyDescent="0.2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 t="shared" si="432"/>
        <v>0</v>
      </c>
      <c r="W6946">
        <f t="shared" si="433"/>
        <v>1</v>
      </c>
      <c r="X6946" t="str">
        <f t="shared" si="434"/>
        <v>0-12 Months</v>
      </c>
      <c r="Y6946" s="1" t="str">
        <f t="shared" si="435"/>
        <v>Low</v>
      </c>
    </row>
    <row r="6947" spans="1:25" x14ac:dyDescent="0.2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 t="shared" si="432"/>
        <v>1</v>
      </c>
      <c r="W6947">
        <f t="shared" si="433"/>
        <v>0</v>
      </c>
      <c r="X6947" t="str">
        <f t="shared" si="434"/>
        <v>49+ Months</v>
      </c>
      <c r="Y6947" s="1" t="str">
        <f t="shared" si="435"/>
        <v>High</v>
      </c>
    </row>
    <row r="6948" spans="1:25" x14ac:dyDescent="0.2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 t="shared" si="432"/>
        <v>0</v>
      </c>
      <c r="W6948">
        <f t="shared" si="433"/>
        <v>1</v>
      </c>
      <c r="X6948" t="str">
        <f t="shared" si="434"/>
        <v>25-48 Months</v>
      </c>
      <c r="Y6948" s="1" t="str">
        <f t="shared" si="435"/>
        <v>Low</v>
      </c>
    </row>
    <row r="6949" spans="1:25" x14ac:dyDescent="0.2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 t="shared" si="432"/>
        <v>0</v>
      </c>
      <c r="W6949">
        <f t="shared" si="433"/>
        <v>1</v>
      </c>
      <c r="X6949" t="str">
        <f t="shared" si="434"/>
        <v>49+ Months</v>
      </c>
      <c r="Y6949" s="1" t="str">
        <f t="shared" si="435"/>
        <v>High</v>
      </c>
    </row>
    <row r="6950" spans="1:25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 t="shared" si="432"/>
        <v>0</v>
      </c>
      <c r="W6950">
        <f t="shared" si="433"/>
        <v>1</v>
      </c>
      <c r="X6950" t="str">
        <f t="shared" si="434"/>
        <v>25-48 Months</v>
      </c>
      <c r="Y6950" s="1" t="str">
        <f t="shared" si="435"/>
        <v>High</v>
      </c>
    </row>
    <row r="6951" spans="1:25" x14ac:dyDescent="0.2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 t="shared" si="432"/>
        <v>0</v>
      </c>
      <c r="W6951">
        <f t="shared" si="433"/>
        <v>1</v>
      </c>
      <c r="X6951" t="str">
        <f t="shared" si="434"/>
        <v>25-48 Months</v>
      </c>
      <c r="Y6951" s="1" t="str">
        <f t="shared" si="435"/>
        <v>Low</v>
      </c>
    </row>
    <row r="6952" spans="1:25" x14ac:dyDescent="0.2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 t="shared" si="432"/>
        <v>0</v>
      </c>
      <c r="W6952">
        <f t="shared" si="433"/>
        <v>1</v>
      </c>
      <c r="X6952" t="str">
        <f t="shared" si="434"/>
        <v>0-12 Months</v>
      </c>
      <c r="Y6952" s="1" t="str">
        <f t="shared" si="435"/>
        <v>Low</v>
      </c>
    </row>
    <row r="6953" spans="1:25" x14ac:dyDescent="0.2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 t="shared" si="432"/>
        <v>0</v>
      </c>
      <c r="W6953">
        <f t="shared" si="433"/>
        <v>1</v>
      </c>
      <c r="X6953" t="str">
        <f t="shared" si="434"/>
        <v>49+ Months</v>
      </c>
      <c r="Y6953" s="1" t="str">
        <f t="shared" si="435"/>
        <v>Low</v>
      </c>
    </row>
    <row r="6954" spans="1:25" x14ac:dyDescent="0.2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 t="shared" si="432"/>
        <v>1</v>
      </c>
      <c r="W6954">
        <f t="shared" si="433"/>
        <v>0</v>
      </c>
      <c r="X6954" t="str">
        <f t="shared" si="434"/>
        <v>25-48 Months</v>
      </c>
      <c r="Y6954" s="1" t="str">
        <f t="shared" si="435"/>
        <v>High</v>
      </c>
    </row>
    <row r="6955" spans="1:25" x14ac:dyDescent="0.2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 t="shared" si="432"/>
        <v>1</v>
      </c>
      <c r="W6955">
        <f t="shared" si="433"/>
        <v>0</v>
      </c>
      <c r="X6955" t="str">
        <f t="shared" si="434"/>
        <v>13-24 Months</v>
      </c>
      <c r="Y6955" s="1" t="str">
        <f t="shared" si="435"/>
        <v>High</v>
      </c>
    </row>
    <row r="6956" spans="1:25" x14ac:dyDescent="0.2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 t="shared" si="432"/>
        <v>0</v>
      </c>
      <c r="W6956">
        <f t="shared" si="433"/>
        <v>1</v>
      </c>
      <c r="X6956" t="str">
        <f t="shared" si="434"/>
        <v>13-24 Months</v>
      </c>
      <c r="Y6956" s="1" t="str">
        <f t="shared" si="435"/>
        <v>Low</v>
      </c>
    </row>
    <row r="6957" spans="1:25" x14ac:dyDescent="0.2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 t="shared" si="432"/>
        <v>0</v>
      </c>
      <c r="W6957">
        <f t="shared" si="433"/>
        <v>1</v>
      </c>
      <c r="X6957" t="str">
        <f t="shared" si="434"/>
        <v>0-12 Months</v>
      </c>
      <c r="Y6957" s="1" t="str">
        <f t="shared" si="435"/>
        <v>Low</v>
      </c>
    </row>
    <row r="6958" spans="1:25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 t="shared" si="432"/>
        <v>0</v>
      </c>
      <c r="W6958">
        <f t="shared" si="433"/>
        <v>1</v>
      </c>
      <c r="X6958" t="str">
        <f t="shared" si="434"/>
        <v>49+ Months</v>
      </c>
      <c r="Y6958" s="1" t="str">
        <f t="shared" si="435"/>
        <v>Medium</v>
      </c>
    </row>
    <row r="6959" spans="1:25" x14ac:dyDescent="0.2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 t="shared" si="432"/>
        <v>0</v>
      </c>
      <c r="W6959">
        <f t="shared" si="433"/>
        <v>1</v>
      </c>
      <c r="X6959" t="str">
        <f t="shared" si="434"/>
        <v>0-12 Months</v>
      </c>
      <c r="Y6959" s="1" t="str">
        <f t="shared" si="435"/>
        <v>High</v>
      </c>
    </row>
    <row r="6960" spans="1:25" x14ac:dyDescent="0.2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 t="shared" si="432"/>
        <v>0</v>
      </c>
      <c r="W6960">
        <f t="shared" si="433"/>
        <v>1</v>
      </c>
      <c r="X6960" t="str">
        <f t="shared" si="434"/>
        <v>13-24 Months</v>
      </c>
      <c r="Y6960" s="1" t="str">
        <f t="shared" si="435"/>
        <v>Low</v>
      </c>
    </row>
    <row r="6961" spans="1:25" x14ac:dyDescent="0.2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 t="shared" si="432"/>
        <v>0</v>
      </c>
      <c r="W6961">
        <f t="shared" si="433"/>
        <v>1</v>
      </c>
      <c r="X6961" t="str">
        <f t="shared" si="434"/>
        <v>25-48 Months</v>
      </c>
      <c r="Y6961" s="1" t="str">
        <f t="shared" si="435"/>
        <v>High</v>
      </c>
    </row>
    <row r="6962" spans="1:25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 t="shared" si="432"/>
        <v>0</v>
      </c>
      <c r="W6962">
        <f t="shared" si="433"/>
        <v>1</v>
      </c>
      <c r="X6962" t="str">
        <f t="shared" si="434"/>
        <v>25-48 Months</v>
      </c>
      <c r="Y6962" s="1" t="str">
        <f t="shared" si="435"/>
        <v>High</v>
      </c>
    </row>
    <row r="6963" spans="1:25" x14ac:dyDescent="0.2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 t="shared" si="432"/>
        <v>1</v>
      </c>
      <c r="W6963">
        <f t="shared" si="433"/>
        <v>0</v>
      </c>
      <c r="X6963" t="str">
        <f t="shared" si="434"/>
        <v>13-24 Months</v>
      </c>
      <c r="Y6963" s="1" t="str">
        <f t="shared" si="435"/>
        <v>Medium</v>
      </c>
    </row>
    <row r="6964" spans="1:25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 t="shared" si="432"/>
        <v>1</v>
      </c>
      <c r="W6964">
        <f t="shared" si="433"/>
        <v>0</v>
      </c>
      <c r="X6964" t="str">
        <f t="shared" si="434"/>
        <v>25-48 Months</v>
      </c>
      <c r="Y6964" s="1" t="str">
        <f t="shared" si="435"/>
        <v>High</v>
      </c>
    </row>
    <row r="6965" spans="1:25" x14ac:dyDescent="0.2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 t="shared" si="432"/>
        <v>0</v>
      </c>
      <c r="W6965">
        <f t="shared" si="433"/>
        <v>1</v>
      </c>
      <c r="X6965" t="str">
        <f t="shared" si="434"/>
        <v>0-12 Months</v>
      </c>
      <c r="Y6965" s="1" t="str">
        <f t="shared" si="435"/>
        <v>High</v>
      </c>
    </row>
    <row r="6966" spans="1:25" x14ac:dyDescent="0.2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 t="shared" si="432"/>
        <v>0</v>
      </c>
      <c r="W6966">
        <f t="shared" si="433"/>
        <v>1</v>
      </c>
      <c r="X6966" t="str">
        <f t="shared" si="434"/>
        <v>49+ Months</v>
      </c>
      <c r="Y6966" s="1" t="str">
        <f t="shared" si="435"/>
        <v>Medium</v>
      </c>
    </row>
    <row r="6967" spans="1:25" x14ac:dyDescent="0.2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 t="shared" si="432"/>
        <v>0</v>
      </c>
      <c r="W6967">
        <f t="shared" si="433"/>
        <v>1</v>
      </c>
      <c r="X6967" t="str">
        <f t="shared" si="434"/>
        <v>49+ Months</v>
      </c>
      <c r="Y6967" s="1" t="str">
        <f t="shared" si="435"/>
        <v>High</v>
      </c>
    </row>
    <row r="6968" spans="1:25" x14ac:dyDescent="0.2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 t="shared" si="432"/>
        <v>0</v>
      </c>
      <c r="W6968">
        <f t="shared" si="433"/>
        <v>1</v>
      </c>
      <c r="X6968" t="str">
        <f t="shared" si="434"/>
        <v>49+ Months</v>
      </c>
      <c r="Y6968" s="1" t="str">
        <f t="shared" si="435"/>
        <v>Low</v>
      </c>
    </row>
    <row r="6969" spans="1:25" x14ac:dyDescent="0.2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 t="shared" si="432"/>
        <v>1</v>
      </c>
      <c r="W6969">
        <f t="shared" si="433"/>
        <v>0</v>
      </c>
      <c r="X6969" t="str">
        <f t="shared" si="434"/>
        <v>25-48 Months</v>
      </c>
      <c r="Y6969" s="1" t="str">
        <f t="shared" si="435"/>
        <v>High</v>
      </c>
    </row>
    <row r="6970" spans="1:25" x14ac:dyDescent="0.2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 t="shared" si="432"/>
        <v>1</v>
      </c>
      <c r="W6970">
        <f t="shared" si="433"/>
        <v>0</v>
      </c>
      <c r="X6970" t="str">
        <f t="shared" si="434"/>
        <v>13-24 Months</v>
      </c>
      <c r="Y6970" s="1" t="str">
        <f t="shared" si="435"/>
        <v>Medium</v>
      </c>
    </row>
    <row r="6971" spans="1:25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 t="shared" si="432"/>
        <v>1</v>
      </c>
      <c r="W6971">
        <f t="shared" si="433"/>
        <v>0</v>
      </c>
      <c r="X6971" t="str">
        <f t="shared" si="434"/>
        <v>0-12 Months</v>
      </c>
      <c r="Y6971" s="1" t="str">
        <f t="shared" si="435"/>
        <v>Low</v>
      </c>
    </row>
    <row r="6972" spans="1:25" x14ac:dyDescent="0.2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 t="shared" si="432"/>
        <v>1</v>
      </c>
      <c r="W6972">
        <f t="shared" si="433"/>
        <v>0</v>
      </c>
      <c r="X6972" t="str">
        <f t="shared" si="434"/>
        <v>0-12 Months</v>
      </c>
      <c r="Y6972" s="1" t="str">
        <f t="shared" si="435"/>
        <v>Medium</v>
      </c>
    </row>
    <row r="6973" spans="1:25" x14ac:dyDescent="0.2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 t="shared" si="432"/>
        <v>1</v>
      </c>
      <c r="W6973">
        <f t="shared" si="433"/>
        <v>0</v>
      </c>
      <c r="X6973" t="str">
        <f t="shared" si="434"/>
        <v>13-24 Months</v>
      </c>
      <c r="Y6973" s="1" t="str">
        <f t="shared" si="435"/>
        <v>High</v>
      </c>
    </row>
    <row r="6974" spans="1:25" x14ac:dyDescent="0.2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 t="shared" si="432"/>
        <v>1</v>
      </c>
      <c r="W6974">
        <f t="shared" si="433"/>
        <v>0</v>
      </c>
      <c r="X6974" t="str">
        <f t="shared" si="434"/>
        <v>49+ Months</v>
      </c>
      <c r="Y6974" s="1" t="str">
        <f t="shared" si="435"/>
        <v>High</v>
      </c>
    </row>
    <row r="6975" spans="1:25" x14ac:dyDescent="0.2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 t="shared" si="432"/>
        <v>0</v>
      </c>
      <c r="W6975">
        <f t="shared" si="433"/>
        <v>1</v>
      </c>
      <c r="X6975" t="str">
        <f t="shared" si="434"/>
        <v>49+ Months</v>
      </c>
      <c r="Y6975" s="1" t="str">
        <f t="shared" si="435"/>
        <v>High</v>
      </c>
    </row>
    <row r="6976" spans="1:25" x14ac:dyDescent="0.2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 t="shared" si="432"/>
        <v>0</v>
      </c>
      <c r="W6976">
        <f t="shared" si="433"/>
        <v>1</v>
      </c>
      <c r="X6976" t="str">
        <f t="shared" si="434"/>
        <v>49+ Months</v>
      </c>
      <c r="Y6976" s="1" t="str">
        <f t="shared" si="435"/>
        <v>High</v>
      </c>
    </row>
    <row r="6977" spans="1:25" x14ac:dyDescent="0.2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 t="shared" si="432"/>
        <v>0</v>
      </c>
      <c r="W6977">
        <f t="shared" si="433"/>
        <v>1</v>
      </c>
      <c r="X6977" t="str">
        <f t="shared" si="434"/>
        <v>13-24 Months</v>
      </c>
      <c r="Y6977" s="1" t="str">
        <f t="shared" si="435"/>
        <v>Medium</v>
      </c>
    </row>
    <row r="6978" spans="1:25" x14ac:dyDescent="0.2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 t="shared" ref="V6978:V7041" si="436">IF(U6978="Yes",1,0)</f>
        <v>0</v>
      </c>
      <c r="W6978">
        <f t="shared" ref="W6978:W7044" si="437">IF(U6978="No",1,0)</f>
        <v>1</v>
      </c>
      <c r="X6978" t="str">
        <f t="shared" ref="X6978:X7044" si="438">IF(F6978&lt;=12,"0-12 Months",IF(F6978&lt;=24,"13-24 Months",IF(F6978&lt;=48,"25-48 Months","49+ Months")))</f>
        <v>49+ Months</v>
      </c>
      <c r="Y6978" s="1" t="str">
        <f t="shared" ref="Y6978:Y7044" si="439">IF(S6978&lt;50,"Low",IF(S6978&lt;80,"Medium","High"))</f>
        <v>Medium</v>
      </c>
    </row>
    <row r="6979" spans="1:25" x14ac:dyDescent="0.2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 t="shared" si="436"/>
        <v>0</v>
      </c>
      <c r="W6979">
        <f t="shared" si="437"/>
        <v>1</v>
      </c>
      <c r="X6979" t="str">
        <f t="shared" si="438"/>
        <v>13-24 Months</v>
      </c>
      <c r="Y6979" s="1" t="str">
        <f t="shared" si="439"/>
        <v>Low</v>
      </c>
    </row>
    <row r="6980" spans="1:25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 t="shared" si="436"/>
        <v>0</v>
      </c>
      <c r="W6980">
        <f t="shared" si="437"/>
        <v>1</v>
      </c>
      <c r="X6980" t="str">
        <f t="shared" si="438"/>
        <v>49+ Months</v>
      </c>
      <c r="Y6980" s="1" t="str">
        <f t="shared" si="439"/>
        <v>High</v>
      </c>
    </row>
    <row r="6981" spans="1:25" x14ac:dyDescent="0.2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 t="shared" si="436"/>
        <v>0</v>
      </c>
      <c r="W6981">
        <f t="shared" si="437"/>
        <v>1</v>
      </c>
      <c r="X6981" t="str">
        <f t="shared" si="438"/>
        <v>0-12 Months</v>
      </c>
      <c r="Y6981" s="1" t="str">
        <f t="shared" si="439"/>
        <v>Low</v>
      </c>
    </row>
    <row r="6982" spans="1:25" x14ac:dyDescent="0.2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 t="shared" si="436"/>
        <v>1</v>
      </c>
      <c r="W6982">
        <f t="shared" si="437"/>
        <v>0</v>
      </c>
      <c r="X6982" t="str">
        <f t="shared" si="438"/>
        <v>13-24 Months</v>
      </c>
      <c r="Y6982" s="1" t="str">
        <f t="shared" si="439"/>
        <v>Low</v>
      </c>
    </row>
    <row r="6983" spans="1:25" x14ac:dyDescent="0.2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 t="shared" si="436"/>
        <v>0</v>
      </c>
      <c r="W6983">
        <f t="shared" si="437"/>
        <v>1</v>
      </c>
      <c r="X6983" t="str">
        <f t="shared" si="438"/>
        <v>0-12 Months</v>
      </c>
      <c r="Y6983" s="1" t="str">
        <f t="shared" si="439"/>
        <v>Medium</v>
      </c>
    </row>
    <row r="6984" spans="1:25" x14ac:dyDescent="0.2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 t="shared" si="436"/>
        <v>0</v>
      </c>
      <c r="W6984">
        <f t="shared" si="437"/>
        <v>1</v>
      </c>
      <c r="X6984" t="str">
        <f t="shared" si="438"/>
        <v>49+ Months</v>
      </c>
      <c r="Y6984" s="1" t="str">
        <f t="shared" si="439"/>
        <v>Medium</v>
      </c>
    </row>
    <row r="6985" spans="1:25" x14ac:dyDescent="0.2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 t="shared" si="436"/>
        <v>0</v>
      </c>
      <c r="W6985">
        <f t="shared" si="437"/>
        <v>1</v>
      </c>
      <c r="X6985" t="str">
        <f t="shared" si="438"/>
        <v>13-24 Months</v>
      </c>
      <c r="Y6985" s="1" t="str">
        <f t="shared" si="439"/>
        <v>High</v>
      </c>
    </row>
    <row r="6986" spans="1:25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 t="shared" si="436"/>
        <v>0</v>
      </c>
      <c r="W6986">
        <f t="shared" si="437"/>
        <v>1</v>
      </c>
      <c r="X6986" t="str">
        <f t="shared" si="438"/>
        <v>25-48 Months</v>
      </c>
      <c r="Y6986" s="1" t="str">
        <f t="shared" si="439"/>
        <v>Low</v>
      </c>
    </row>
    <row r="6987" spans="1:25" x14ac:dyDescent="0.2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 t="shared" si="436"/>
        <v>0</v>
      </c>
      <c r="W6987">
        <f t="shared" si="437"/>
        <v>1</v>
      </c>
      <c r="X6987" t="str">
        <f t="shared" si="438"/>
        <v>25-48 Months</v>
      </c>
      <c r="Y6987" s="1" t="str">
        <f t="shared" si="439"/>
        <v>Low</v>
      </c>
    </row>
    <row r="6988" spans="1:25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 t="shared" si="436"/>
        <v>1</v>
      </c>
      <c r="W6988">
        <f t="shared" si="437"/>
        <v>0</v>
      </c>
      <c r="X6988" t="str">
        <f t="shared" si="438"/>
        <v>25-48 Months</v>
      </c>
      <c r="Y6988" s="1" t="str">
        <f t="shared" si="439"/>
        <v>High</v>
      </c>
    </row>
    <row r="6989" spans="1:25" x14ac:dyDescent="0.2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 t="shared" si="436"/>
        <v>0</v>
      </c>
      <c r="W6989">
        <f t="shared" si="437"/>
        <v>1</v>
      </c>
      <c r="X6989" t="str">
        <f t="shared" si="438"/>
        <v>25-48 Months</v>
      </c>
      <c r="Y6989" s="1" t="str">
        <f t="shared" si="439"/>
        <v>High</v>
      </c>
    </row>
    <row r="6990" spans="1:25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 t="shared" si="436"/>
        <v>0</v>
      </c>
      <c r="W6990">
        <f t="shared" si="437"/>
        <v>1</v>
      </c>
      <c r="X6990" t="str">
        <f t="shared" si="438"/>
        <v>13-24 Months</v>
      </c>
      <c r="Y6990" s="1" t="str">
        <f t="shared" si="439"/>
        <v>Medium</v>
      </c>
    </row>
    <row r="6991" spans="1:25" x14ac:dyDescent="0.2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 t="shared" si="436"/>
        <v>0</v>
      </c>
      <c r="W6991">
        <f t="shared" si="437"/>
        <v>1</v>
      </c>
      <c r="X6991" t="str">
        <f t="shared" si="438"/>
        <v>13-24 Months</v>
      </c>
      <c r="Y6991" s="1" t="str">
        <f t="shared" si="439"/>
        <v>Medium</v>
      </c>
    </row>
    <row r="6992" spans="1:25" x14ac:dyDescent="0.2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 t="shared" si="436"/>
        <v>0</v>
      </c>
      <c r="W6992">
        <f t="shared" si="437"/>
        <v>1</v>
      </c>
      <c r="X6992" t="str">
        <f t="shared" si="438"/>
        <v>25-48 Months</v>
      </c>
      <c r="Y6992" s="1" t="str">
        <f t="shared" si="439"/>
        <v>High</v>
      </c>
    </row>
    <row r="6993" spans="1:25" x14ac:dyDescent="0.2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 t="shared" si="436"/>
        <v>1</v>
      </c>
      <c r="W6993">
        <f t="shared" si="437"/>
        <v>0</v>
      </c>
      <c r="X6993" t="str">
        <f t="shared" si="438"/>
        <v>0-12 Months</v>
      </c>
      <c r="Y6993" s="1" t="str">
        <f t="shared" si="439"/>
        <v>High</v>
      </c>
    </row>
    <row r="6994" spans="1:25" x14ac:dyDescent="0.2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 t="shared" si="436"/>
        <v>0</v>
      </c>
      <c r="W6994">
        <f t="shared" si="437"/>
        <v>1</v>
      </c>
      <c r="X6994" t="str">
        <f t="shared" si="438"/>
        <v>49+ Months</v>
      </c>
      <c r="Y6994" s="1" t="str">
        <f t="shared" si="439"/>
        <v>High</v>
      </c>
    </row>
    <row r="6995" spans="1:25" x14ac:dyDescent="0.2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 t="shared" si="436"/>
        <v>1</v>
      </c>
      <c r="W6995">
        <f t="shared" si="437"/>
        <v>0</v>
      </c>
      <c r="X6995" t="str">
        <f t="shared" si="438"/>
        <v>49+ Months</v>
      </c>
      <c r="Y6995" s="1" t="str">
        <f t="shared" si="439"/>
        <v>High</v>
      </c>
    </row>
    <row r="6996" spans="1:25" x14ac:dyDescent="0.2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 t="shared" si="436"/>
        <v>0</v>
      </c>
      <c r="W6996">
        <f t="shared" si="437"/>
        <v>1</v>
      </c>
      <c r="X6996" t="str">
        <f t="shared" si="438"/>
        <v>25-48 Months</v>
      </c>
      <c r="Y6996" s="1" t="str">
        <f t="shared" si="439"/>
        <v>Low</v>
      </c>
    </row>
    <row r="6997" spans="1:25" x14ac:dyDescent="0.2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 t="shared" si="436"/>
        <v>0</v>
      </c>
      <c r="W6997">
        <f t="shared" si="437"/>
        <v>1</v>
      </c>
      <c r="X6997" t="str">
        <f t="shared" si="438"/>
        <v>49+ Months</v>
      </c>
      <c r="Y6997" s="1" t="str">
        <f t="shared" si="439"/>
        <v>High</v>
      </c>
    </row>
    <row r="6998" spans="1:25" x14ac:dyDescent="0.2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 t="shared" si="436"/>
        <v>1</v>
      </c>
      <c r="W6998">
        <f t="shared" si="437"/>
        <v>0</v>
      </c>
      <c r="X6998" t="str">
        <f t="shared" si="438"/>
        <v>25-48 Months</v>
      </c>
      <c r="Y6998" s="1" t="str">
        <f t="shared" si="439"/>
        <v>Medium</v>
      </c>
    </row>
    <row r="6999" spans="1:25" x14ac:dyDescent="0.2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 t="shared" si="436"/>
        <v>0</v>
      </c>
      <c r="W6999">
        <f t="shared" si="437"/>
        <v>1</v>
      </c>
      <c r="X6999" t="str">
        <f t="shared" si="438"/>
        <v>25-48 Months</v>
      </c>
      <c r="Y6999" s="1" t="str">
        <f t="shared" si="439"/>
        <v>Medium</v>
      </c>
    </row>
    <row r="7000" spans="1:25" x14ac:dyDescent="0.2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 t="shared" si="436"/>
        <v>0</v>
      </c>
      <c r="W7000">
        <f t="shared" si="437"/>
        <v>1</v>
      </c>
      <c r="X7000" t="str">
        <f t="shared" si="438"/>
        <v>13-24 Months</v>
      </c>
      <c r="Y7000" s="1" t="str">
        <f t="shared" si="439"/>
        <v>High</v>
      </c>
    </row>
    <row r="7001" spans="1:25" x14ac:dyDescent="0.2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 t="shared" si="436"/>
        <v>1</v>
      </c>
      <c r="W7001">
        <f t="shared" si="437"/>
        <v>0</v>
      </c>
      <c r="X7001" t="str">
        <f t="shared" si="438"/>
        <v>0-12 Months</v>
      </c>
      <c r="Y7001" s="1" t="str">
        <f t="shared" si="439"/>
        <v>Low</v>
      </c>
    </row>
    <row r="7002" spans="1:25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 t="shared" si="436"/>
        <v>0</v>
      </c>
      <c r="W7002">
        <f t="shared" si="437"/>
        <v>1</v>
      </c>
      <c r="X7002" t="str">
        <f t="shared" si="438"/>
        <v>49+ Months</v>
      </c>
      <c r="Y7002" s="1" t="str">
        <f t="shared" si="439"/>
        <v>Low</v>
      </c>
    </row>
    <row r="7003" spans="1:25" x14ac:dyDescent="0.2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 t="shared" si="436"/>
        <v>1</v>
      </c>
      <c r="W7003">
        <f t="shared" si="437"/>
        <v>0</v>
      </c>
      <c r="X7003" t="str">
        <f t="shared" si="438"/>
        <v>0-12 Months</v>
      </c>
      <c r="Y7003" s="1" t="str">
        <f t="shared" si="439"/>
        <v>Low</v>
      </c>
    </row>
    <row r="7004" spans="1:25" x14ac:dyDescent="0.2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 t="shared" si="436"/>
        <v>0</v>
      </c>
      <c r="W7004">
        <f t="shared" si="437"/>
        <v>1</v>
      </c>
      <c r="X7004" t="str">
        <f t="shared" si="438"/>
        <v>49+ Months</v>
      </c>
      <c r="Y7004" s="1" t="str">
        <f t="shared" si="439"/>
        <v>High</v>
      </c>
    </row>
    <row r="7005" spans="1:25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 t="shared" si="436"/>
        <v>0</v>
      </c>
      <c r="W7005">
        <f t="shared" si="437"/>
        <v>1</v>
      </c>
      <c r="X7005" t="str">
        <f t="shared" si="438"/>
        <v>25-48 Months</v>
      </c>
      <c r="Y7005" s="1" t="str">
        <f t="shared" si="439"/>
        <v>Low</v>
      </c>
    </row>
    <row r="7006" spans="1:25" x14ac:dyDescent="0.2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 t="shared" si="436"/>
        <v>0</v>
      </c>
      <c r="W7006">
        <f t="shared" si="437"/>
        <v>1</v>
      </c>
      <c r="X7006" t="str">
        <f t="shared" si="438"/>
        <v>25-48 Months</v>
      </c>
      <c r="Y7006" s="1" t="str">
        <f t="shared" si="439"/>
        <v>High</v>
      </c>
    </row>
    <row r="7007" spans="1:25" x14ac:dyDescent="0.2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 t="shared" si="436"/>
        <v>0</v>
      </c>
      <c r="W7007">
        <f t="shared" si="437"/>
        <v>1</v>
      </c>
      <c r="X7007" t="str">
        <f t="shared" si="438"/>
        <v>13-24 Months</v>
      </c>
      <c r="Y7007" s="1" t="str">
        <f t="shared" si="439"/>
        <v>Low</v>
      </c>
    </row>
    <row r="7008" spans="1:25" x14ac:dyDescent="0.2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 t="shared" si="436"/>
        <v>1</v>
      </c>
      <c r="W7008">
        <f t="shared" si="437"/>
        <v>0</v>
      </c>
      <c r="X7008" t="str">
        <f t="shared" si="438"/>
        <v>25-48 Months</v>
      </c>
      <c r="Y7008" s="1" t="str">
        <f t="shared" si="439"/>
        <v>High</v>
      </c>
    </row>
    <row r="7009" spans="1:25" x14ac:dyDescent="0.2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 t="shared" si="436"/>
        <v>0</v>
      </c>
      <c r="W7009">
        <f t="shared" si="437"/>
        <v>1</v>
      </c>
      <c r="X7009" t="str">
        <f t="shared" si="438"/>
        <v>49+ Months</v>
      </c>
      <c r="Y7009" s="1" t="str">
        <f t="shared" si="439"/>
        <v>Medium</v>
      </c>
    </row>
    <row r="7010" spans="1:25" x14ac:dyDescent="0.2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 t="shared" si="436"/>
        <v>1</v>
      </c>
      <c r="W7010">
        <f t="shared" si="437"/>
        <v>0</v>
      </c>
      <c r="X7010" t="str">
        <f t="shared" si="438"/>
        <v>0-12 Months</v>
      </c>
      <c r="Y7010" s="1" t="str">
        <f t="shared" si="439"/>
        <v>Medium</v>
      </c>
    </row>
    <row r="7011" spans="1:25" x14ac:dyDescent="0.2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 t="shared" si="436"/>
        <v>1</v>
      </c>
      <c r="W7011">
        <f t="shared" si="437"/>
        <v>0</v>
      </c>
      <c r="X7011" t="str">
        <f t="shared" si="438"/>
        <v>13-24 Months</v>
      </c>
      <c r="Y7011" s="1" t="str">
        <f t="shared" si="439"/>
        <v>High</v>
      </c>
    </row>
    <row r="7012" spans="1:25" x14ac:dyDescent="0.2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 t="shared" si="436"/>
        <v>1</v>
      </c>
      <c r="W7012">
        <f t="shared" si="437"/>
        <v>0</v>
      </c>
      <c r="X7012" t="str">
        <f t="shared" si="438"/>
        <v>0-12 Months</v>
      </c>
      <c r="Y7012" s="1" t="str">
        <f t="shared" si="439"/>
        <v>Medium</v>
      </c>
    </row>
    <row r="7013" spans="1:25" x14ac:dyDescent="0.2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 t="shared" si="436"/>
        <v>1</v>
      </c>
      <c r="W7013">
        <f t="shared" si="437"/>
        <v>0</v>
      </c>
      <c r="X7013" t="str">
        <f t="shared" si="438"/>
        <v>0-12 Months</v>
      </c>
      <c r="Y7013" s="1" t="str">
        <f t="shared" si="439"/>
        <v>Medium</v>
      </c>
    </row>
    <row r="7014" spans="1:25" x14ac:dyDescent="0.2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 t="shared" si="436"/>
        <v>0</v>
      </c>
      <c r="W7014">
        <f t="shared" si="437"/>
        <v>1</v>
      </c>
      <c r="X7014" t="str">
        <f t="shared" si="438"/>
        <v>49+ Months</v>
      </c>
      <c r="Y7014" s="1" t="str">
        <f t="shared" si="439"/>
        <v>High</v>
      </c>
    </row>
    <row r="7015" spans="1:25" x14ac:dyDescent="0.2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 t="shared" si="436"/>
        <v>0</v>
      </c>
      <c r="W7015">
        <f t="shared" si="437"/>
        <v>1</v>
      </c>
      <c r="X7015" t="str">
        <f t="shared" si="438"/>
        <v>25-48 Months</v>
      </c>
      <c r="Y7015" s="1" t="str">
        <f t="shared" si="439"/>
        <v>High</v>
      </c>
    </row>
    <row r="7016" spans="1:25" x14ac:dyDescent="0.2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 t="shared" si="436"/>
        <v>0</v>
      </c>
      <c r="W7016">
        <f t="shared" si="437"/>
        <v>1</v>
      </c>
      <c r="X7016" t="str">
        <f t="shared" si="438"/>
        <v>25-48 Months</v>
      </c>
      <c r="Y7016" s="1" t="str">
        <f t="shared" si="439"/>
        <v>High</v>
      </c>
    </row>
    <row r="7017" spans="1:25" x14ac:dyDescent="0.2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 t="shared" si="436"/>
        <v>0</v>
      </c>
      <c r="W7017">
        <f t="shared" si="437"/>
        <v>1</v>
      </c>
      <c r="X7017" t="str">
        <f t="shared" si="438"/>
        <v>25-48 Months</v>
      </c>
      <c r="Y7017" s="1" t="str">
        <f t="shared" si="439"/>
        <v>High</v>
      </c>
    </row>
    <row r="7018" spans="1:25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 t="shared" si="436"/>
        <v>0</v>
      </c>
      <c r="W7018">
        <f t="shared" si="437"/>
        <v>1</v>
      </c>
      <c r="X7018" t="str">
        <f t="shared" si="438"/>
        <v>0-12 Months</v>
      </c>
      <c r="Y7018" s="1" t="str">
        <f t="shared" si="439"/>
        <v>Low</v>
      </c>
    </row>
    <row r="7019" spans="1:25" x14ac:dyDescent="0.2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 t="shared" si="436"/>
        <v>0</v>
      </c>
      <c r="W7019">
        <f t="shared" si="437"/>
        <v>1</v>
      </c>
      <c r="X7019" t="str">
        <f t="shared" si="438"/>
        <v>49+ Months</v>
      </c>
      <c r="Y7019" s="1" t="str">
        <f t="shared" si="439"/>
        <v>Low</v>
      </c>
    </row>
    <row r="7020" spans="1:25" x14ac:dyDescent="0.2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 t="shared" si="436"/>
        <v>1</v>
      </c>
      <c r="W7020">
        <f t="shared" si="437"/>
        <v>0</v>
      </c>
      <c r="X7020" t="str">
        <f t="shared" si="438"/>
        <v>0-12 Months</v>
      </c>
      <c r="Y7020" s="1" t="str">
        <f t="shared" si="439"/>
        <v>Medium</v>
      </c>
    </row>
    <row r="7021" spans="1:25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 t="shared" si="436"/>
        <v>0</v>
      </c>
      <c r="W7021">
        <f t="shared" si="437"/>
        <v>1</v>
      </c>
      <c r="X7021" t="str">
        <f t="shared" si="438"/>
        <v>25-48 Months</v>
      </c>
      <c r="Y7021" s="1" t="str">
        <f t="shared" si="439"/>
        <v>Low</v>
      </c>
    </row>
    <row r="7022" spans="1:25" x14ac:dyDescent="0.2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 t="shared" si="436"/>
        <v>0</v>
      </c>
      <c r="W7022">
        <f t="shared" si="437"/>
        <v>1</v>
      </c>
      <c r="X7022" t="str">
        <f t="shared" si="438"/>
        <v>0-12 Months</v>
      </c>
      <c r="Y7022" s="1" t="str">
        <f t="shared" si="439"/>
        <v>Low</v>
      </c>
    </row>
    <row r="7023" spans="1:25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 t="shared" si="436"/>
        <v>1</v>
      </c>
      <c r="W7023">
        <f t="shared" si="437"/>
        <v>0</v>
      </c>
      <c r="X7023" t="str">
        <f t="shared" si="438"/>
        <v>0-12 Months</v>
      </c>
      <c r="Y7023" s="1" t="str">
        <f t="shared" si="439"/>
        <v>Medium</v>
      </c>
    </row>
    <row r="7024" spans="1:25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 t="shared" si="436"/>
        <v>0</v>
      </c>
      <c r="W7024">
        <f t="shared" si="437"/>
        <v>1</v>
      </c>
      <c r="X7024" t="str">
        <f t="shared" si="438"/>
        <v>49+ Months</v>
      </c>
      <c r="Y7024" s="1" t="str">
        <f t="shared" si="439"/>
        <v>High</v>
      </c>
    </row>
    <row r="7025" spans="1:25" x14ac:dyDescent="0.2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 t="shared" si="436"/>
        <v>0</v>
      </c>
      <c r="W7025">
        <f t="shared" si="437"/>
        <v>1</v>
      </c>
      <c r="X7025" t="str">
        <f t="shared" si="438"/>
        <v>49+ Months</v>
      </c>
      <c r="Y7025" s="1" t="str">
        <f t="shared" si="439"/>
        <v>High</v>
      </c>
    </row>
    <row r="7026" spans="1:25" x14ac:dyDescent="0.2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 t="shared" si="436"/>
        <v>0</v>
      </c>
      <c r="W7026">
        <f t="shared" si="437"/>
        <v>1</v>
      </c>
      <c r="X7026" t="str">
        <f t="shared" si="438"/>
        <v>25-48 Months</v>
      </c>
      <c r="Y7026" s="1" t="str">
        <f t="shared" si="439"/>
        <v>High</v>
      </c>
    </row>
    <row r="7027" spans="1:25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 t="shared" si="436"/>
        <v>0</v>
      </c>
      <c r="W7027">
        <f t="shared" si="437"/>
        <v>1</v>
      </c>
      <c r="X7027" t="str">
        <f t="shared" si="438"/>
        <v>13-24 Months</v>
      </c>
      <c r="Y7027" s="1" t="str">
        <f t="shared" si="439"/>
        <v>High</v>
      </c>
    </row>
    <row r="7028" spans="1:25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 t="shared" si="436"/>
        <v>1</v>
      </c>
      <c r="W7028">
        <f t="shared" si="437"/>
        <v>0</v>
      </c>
      <c r="X7028" t="str">
        <f t="shared" si="438"/>
        <v>0-12 Months</v>
      </c>
      <c r="Y7028" s="1" t="str">
        <f t="shared" si="439"/>
        <v>Low</v>
      </c>
    </row>
    <row r="7029" spans="1:25" x14ac:dyDescent="0.2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 t="shared" si="436"/>
        <v>0</v>
      </c>
      <c r="W7029">
        <f t="shared" si="437"/>
        <v>1</v>
      </c>
      <c r="X7029" t="str">
        <f t="shared" si="438"/>
        <v>13-24 Months</v>
      </c>
      <c r="Y7029" s="1" t="str">
        <f t="shared" si="439"/>
        <v>Medium</v>
      </c>
    </row>
    <row r="7030" spans="1:25" x14ac:dyDescent="0.2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 t="shared" si="436"/>
        <v>0</v>
      </c>
      <c r="W7030">
        <f t="shared" si="437"/>
        <v>1</v>
      </c>
      <c r="X7030" t="str">
        <f t="shared" si="438"/>
        <v>49+ Months</v>
      </c>
      <c r="Y7030" s="1" t="str">
        <f t="shared" si="439"/>
        <v>Medium</v>
      </c>
    </row>
    <row r="7031" spans="1:25" x14ac:dyDescent="0.2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 t="shared" si="436"/>
        <v>0</v>
      </c>
      <c r="W7031">
        <f t="shared" si="437"/>
        <v>1</v>
      </c>
      <c r="X7031" t="str">
        <f t="shared" si="438"/>
        <v>0-12 Months</v>
      </c>
      <c r="Y7031" s="1" t="str">
        <f t="shared" si="439"/>
        <v>Low</v>
      </c>
    </row>
    <row r="7032" spans="1:25" x14ac:dyDescent="0.2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 t="shared" si="436"/>
        <v>0</v>
      </c>
      <c r="W7032">
        <f t="shared" si="437"/>
        <v>1</v>
      </c>
      <c r="X7032" t="str">
        <f t="shared" si="438"/>
        <v>0-12 Months</v>
      </c>
      <c r="Y7032" s="1" t="str">
        <f t="shared" si="439"/>
        <v>Low</v>
      </c>
    </row>
    <row r="7033" spans="1:25" x14ac:dyDescent="0.2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 t="shared" si="436"/>
        <v>0</v>
      </c>
      <c r="W7033">
        <f t="shared" si="437"/>
        <v>1</v>
      </c>
      <c r="X7033" t="str">
        <f t="shared" si="438"/>
        <v>49+ Months</v>
      </c>
      <c r="Y7033" s="1" t="str">
        <f t="shared" si="439"/>
        <v>Medium</v>
      </c>
    </row>
    <row r="7034" spans="1:25" x14ac:dyDescent="0.2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 t="shared" si="436"/>
        <v>1</v>
      </c>
      <c r="W7034">
        <f t="shared" si="437"/>
        <v>0</v>
      </c>
      <c r="X7034" t="str">
        <f t="shared" si="438"/>
        <v>0-12 Months</v>
      </c>
      <c r="Y7034" s="1" t="str">
        <f t="shared" si="439"/>
        <v>Medium</v>
      </c>
    </row>
    <row r="7035" spans="1:25" x14ac:dyDescent="0.2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 t="shared" si="436"/>
        <v>0</v>
      </c>
      <c r="W7035">
        <f t="shared" si="437"/>
        <v>1</v>
      </c>
      <c r="X7035" t="str">
        <f t="shared" si="438"/>
        <v>25-48 Months</v>
      </c>
      <c r="Y7035" s="1" t="str">
        <f t="shared" si="439"/>
        <v>Medium</v>
      </c>
    </row>
    <row r="7036" spans="1:25" x14ac:dyDescent="0.2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 t="shared" si="436"/>
        <v>1</v>
      </c>
      <c r="W7036">
        <f t="shared" si="437"/>
        <v>0</v>
      </c>
      <c r="X7036" t="str">
        <f t="shared" si="438"/>
        <v>49+ Months</v>
      </c>
      <c r="Y7036" s="1" t="str">
        <f t="shared" si="439"/>
        <v>High</v>
      </c>
    </row>
    <row r="7037" spans="1:25" x14ac:dyDescent="0.2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 t="shared" si="436"/>
        <v>0</v>
      </c>
      <c r="W7037">
        <f t="shared" si="437"/>
        <v>1</v>
      </c>
      <c r="X7037" t="str">
        <f t="shared" si="438"/>
        <v>13-24 Months</v>
      </c>
      <c r="Y7037" s="1" t="str">
        <f t="shared" si="439"/>
        <v>Medium</v>
      </c>
    </row>
    <row r="7038" spans="1:25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 t="shared" si="436"/>
        <v>0</v>
      </c>
      <c r="W7038">
        <f t="shared" si="437"/>
        <v>1</v>
      </c>
      <c r="X7038" t="str">
        <f t="shared" si="438"/>
        <v>0-12 Months</v>
      </c>
      <c r="Y7038" s="1" t="str">
        <f t="shared" si="439"/>
        <v>Medium</v>
      </c>
    </row>
    <row r="7039" spans="1:25" x14ac:dyDescent="0.2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 t="shared" si="436"/>
        <v>0</v>
      </c>
      <c r="W7039">
        <f t="shared" si="437"/>
        <v>1</v>
      </c>
      <c r="X7039" t="str">
        <f t="shared" si="438"/>
        <v>49+ Months</v>
      </c>
      <c r="Y7039" s="1" t="str">
        <f t="shared" si="439"/>
        <v>Low</v>
      </c>
    </row>
    <row r="7040" spans="1:25" x14ac:dyDescent="0.2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 t="shared" si="436"/>
        <v>0</v>
      </c>
      <c r="W7040">
        <f t="shared" si="437"/>
        <v>1</v>
      </c>
      <c r="X7040" t="str">
        <f t="shared" si="438"/>
        <v>13-24 Months</v>
      </c>
      <c r="Y7040" s="1" t="str">
        <f t="shared" si="439"/>
        <v>High</v>
      </c>
    </row>
    <row r="7041" spans="1:25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 t="shared" si="436"/>
        <v>0</v>
      </c>
      <c r="W7041">
        <f t="shared" si="437"/>
        <v>1</v>
      </c>
      <c r="X7041" t="str">
        <f t="shared" si="438"/>
        <v>49+ Months</v>
      </c>
      <c r="Y7041" s="1" t="str">
        <f t="shared" si="439"/>
        <v>High</v>
      </c>
    </row>
    <row r="7042" spans="1:25" x14ac:dyDescent="0.2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 t="shared" ref="V7042:V7105" si="440">IF(U7042="Yes",1,0)</f>
        <v>0</v>
      </c>
      <c r="W7042">
        <f t="shared" si="437"/>
        <v>1</v>
      </c>
      <c r="X7042" t="str">
        <f t="shared" si="438"/>
        <v>0-12 Months</v>
      </c>
      <c r="Y7042" s="1" t="str">
        <f t="shared" si="439"/>
        <v>Low</v>
      </c>
    </row>
    <row r="7043" spans="1:25" x14ac:dyDescent="0.2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 t="shared" si="440"/>
        <v>1</v>
      </c>
      <c r="W7043">
        <f t="shared" si="437"/>
        <v>0</v>
      </c>
      <c r="X7043" t="str">
        <f t="shared" si="438"/>
        <v>0-12 Months</v>
      </c>
      <c r="Y7043" s="1" t="str">
        <f t="shared" si="439"/>
        <v>Medium</v>
      </c>
    </row>
    <row r="7044" spans="1:25" x14ac:dyDescent="0.2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 t="shared" si="440"/>
        <v>0</v>
      </c>
      <c r="W7044">
        <f t="shared" si="437"/>
        <v>1</v>
      </c>
      <c r="X7044" t="str">
        <f t="shared" si="438"/>
        <v>49+ Months</v>
      </c>
      <c r="Y7044" s="1" t="str">
        <f t="shared" si="439"/>
        <v>High</v>
      </c>
    </row>
  </sheetData>
  <conditionalFormatting sqref="A2:A1048576">
    <cfRule type="duplicateValues" dxfId="4" priority="2"/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varshini R</cp:lastModifiedBy>
  <dcterms:created xsi:type="dcterms:W3CDTF">2026-06-01T13:45:33Z</dcterms:created>
  <dcterms:modified xsi:type="dcterms:W3CDTF">2026-06-01T15:36:58Z</dcterms:modified>
</cp:coreProperties>
</file>